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mr_tx\Documents\"/>
    </mc:Choice>
  </mc:AlternateContent>
  <xr:revisionPtr revIDLastSave="0" documentId="8_{B9DF61D1-5D1D-436C-A9F1-986BBAD5A842}" xr6:coauthVersionLast="47" xr6:coauthVersionMax="47" xr10:uidLastSave="{00000000-0000-0000-0000-000000000000}"/>
  <bookViews>
    <workbookView xWindow="-120" yWindow="-120" windowWidth="29040" windowHeight="15720" xr2:uid="{00000000-000D-0000-FFFF-FFFF00000000}"/>
  </bookViews>
  <sheets>
    <sheet name="Raw_Data" sheetId="6" r:id="rId1"/>
    <sheet name="Data" sheetId="1" r:id="rId2"/>
    <sheet name="Pivots" sheetId="2" r:id="rId3"/>
    <sheet name="Dashboard" sheetId="3" r:id="rId4"/>
    <sheet name="Notes" sheetId="4" r:id="rId5"/>
  </sheets>
  <definedNames>
    <definedName name="Slicer_Assigned_Team">#N/A</definedName>
    <definedName name="Slicer_Product_Line">#N/A</definedName>
  </definedNames>
  <calcPr calcId="191029"/>
  <pivotCaches>
    <pivotCache cacheId="5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5" i="1" l="1"/>
  <c r="Q84" i="1"/>
  <c r="Q82" i="1"/>
  <c r="Q83"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alcChain>
</file>

<file path=xl/sharedStrings.xml><?xml version="1.0" encoding="utf-8"?>
<sst xmlns="http://schemas.openxmlformats.org/spreadsheetml/2006/main" count="897" uniqueCount="391">
  <si>
    <t>Initiative_ID</t>
  </si>
  <si>
    <t>Initiative_Name</t>
  </si>
  <si>
    <t>Product_Line</t>
  </si>
  <si>
    <t>Status</t>
  </si>
  <si>
    <t>Start_Date</t>
  </si>
  <si>
    <t>Target_Completion_Date</t>
  </si>
  <si>
    <t>Actual_Completion_Date</t>
  </si>
  <si>
    <t>Team_Size</t>
  </si>
  <si>
    <t>Budget_Allocated</t>
  </si>
  <si>
    <t>Budget_Spent</t>
  </si>
  <si>
    <t>Resource_Utilization</t>
  </si>
  <si>
    <t>Expected_Revenue_Impact</t>
  </si>
  <si>
    <t>Actual_Revenue_Impact</t>
  </si>
  <si>
    <t>Progress_Percentage</t>
  </si>
  <si>
    <t>Assigned_Team</t>
  </si>
  <si>
    <t>INIT0001</t>
  </si>
  <si>
    <t>INIT0002</t>
  </si>
  <si>
    <t>INIT0003</t>
  </si>
  <si>
    <t>INIT0004</t>
  </si>
  <si>
    <t>INIT0005</t>
  </si>
  <si>
    <t>INIT0006</t>
  </si>
  <si>
    <t>INIT0007</t>
  </si>
  <si>
    <t>INIT0008</t>
  </si>
  <si>
    <t>INIT0009</t>
  </si>
  <si>
    <t>INIT0010</t>
  </si>
  <si>
    <t>INIT0011</t>
  </si>
  <si>
    <t>INIT0012</t>
  </si>
  <si>
    <t>INIT0013</t>
  </si>
  <si>
    <t>INIT0014</t>
  </si>
  <si>
    <t>INIT0015</t>
  </si>
  <si>
    <t>INIT0016</t>
  </si>
  <si>
    <t>INIT0017</t>
  </si>
  <si>
    <t>INIT0018</t>
  </si>
  <si>
    <t>INIT0019</t>
  </si>
  <si>
    <t>INIT0020</t>
  </si>
  <si>
    <t>INIT0021</t>
  </si>
  <si>
    <t>INIT0022</t>
  </si>
  <si>
    <t>INIT0023</t>
  </si>
  <si>
    <t>INIT0024</t>
  </si>
  <si>
    <t>INIT0025</t>
  </si>
  <si>
    <t>INIT0026</t>
  </si>
  <si>
    <t>INIT0027</t>
  </si>
  <si>
    <t>INIT0028</t>
  </si>
  <si>
    <t>INIT0029</t>
  </si>
  <si>
    <t>INIT0030</t>
  </si>
  <si>
    <t>INIT0031</t>
  </si>
  <si>
    <t>INIT0032</t>
  </si>
  <si>
    <t>INIT0033</t>
  </si>
  <si>
    <t>INIT0034</t>
  </si>
  <si>
    <t>INIT0035</t>
  </si>
  <si>
    <t>INIT0036</t>
  </si>
  <si>
    <t>INIT0037</t>
  </si>
  <si>
    <t>INIT0038</t>
  </si>
  <si>
    <t>INIT0039</t>
  </si>
  <si>
    <t>INIT0040</t>
  </si>
  <si>
    <t>INIT0041</t>
  </si>
  <si>
    <t>INIT0042</t>
  </si>
  <si>
    <t>INIT0043</t>
  </si>
  <si>
    <t>INIT0044</t>
  </si>
  <si>
    <t>INIT0045</t>
  </si>
  <si>
    <t>INIT0046</t>
  </si>
  <si>
    <t>INIT0047</t>
  </si>
  <si>
    <t>INIT0048</t>
  </si>
  <si>
    <t>INIT0049</t>
  </si>
  <si>
    <t>INIT0050</t>
  </si>
  <si>
    <t>INIT0051</t>
  </si>
  <si>
    <t>INIT0052</t>
  </si>
  <si>
    <t>INIT0053</t>
  </si>
  <si>
    <t>INIT0054</t>
  </si>
  <si>
    <t>INIT0055</t>
  </si>
  <si>
    <t>INIT0056</t>
  </si>
  <si>
    <t>INIT0057</t>
  </si>
  <si>
    <t>INIT0058</t>
  </si>
  <si>
    <t>INIT0059</t>
  </si>
  <si>
    <t>INIT0060</t>
  </si>
  <si>
    <t>INIT0061</t>
  </si>
  <si>
    <t>INIT0062</t>
  </si>
  <si>
    <t>INIT0063</t>
  </si>
  <si>
    <t>INIT0064</t>
  </si>
  <si>
    <t>INIT0065</t>
  </si>
  <si>
    <t>INIT0066</t>
  </si>
  <si>
    <t>INIT0067</t>
  </si>
  <si>
    <t>INIT0068</t>
  </si>
  <si>
    <t>INIT0069</t>
  </si>
  <si>
    <t>INIT0070</t>
  </si>
  <si>
    <t>INIT0071</t>
  </si>
  <si>
    <t>INIT0072</t>
  </si>
  <si>
    <t>INIT0073</t>
  </si>
  <si>
    <t>INIT0074</t>
  </si>
  <si>
    <t>INIT0075</t>
  </si>
  <si>
    <t>INIT0076</t>
  </si>
  <si>
    <t>INIT0077</t>
  </si>
  <si>
    <t>INIT0078</t>
  </si>
  <si>
    <t>INIT0079</t>
  </si>
  <si>
    <t>INIT0080</t>
  </si>
  <si>
    <t>Analytics Suite - Feature 1</t>
  </si>
  <si>
    <t>Mobile App - Feature 2</t>
  </si>
  <si>
    <t>Analytics Suite - Feature 3</t>
  </si>
  <si>
    <t>Mobile App - Feature 4</t>
  </si>
  <si>
    <t>Data Infrastructure - Feature 5</t>
  </si>
  <si>
    <t>Web Platform - Feature 6</t>
  </si>
  <si>
    <t>Data Infrastructure - Feature 7</t>
  </si>
  <si>
    <t>Web Platform - Feature 8</t>
  </si>
  <si>
    <t>Analytics Suite - Feature 9</t>
  </si>
  <si>
    <t>API - Feature 10</t>
  </si>
  <si>
    <t>Web Platform - Feature 11</t>
  </si>
  <si>
    <t>Web Platform - Feature 12</t>
  </si>
  <si>
    <t>Analytics Suite - Feature 13</t>
  </si>
  <si>
    <t>API - Feature 14</t>
  </si>
  <si>
    <t>Web Platform - Feature 15</t>
  </si>
  <si>
    <t>API - Feature 16</t>
  </si>
  <si>
    <t>Web Platform - Feature 17</t>
  </si>
  <si>
    <t>Mobile App - Feature 18</t>
  </si>
  <si>
    <t>API - Feature 19</t>
  </si>
  <si>
    <t>Data Infrastructure - Feature 20</t>
  </si>
  <si>
    <t>API - Feature 21</t>
  </si>
  <si>
    <t>API - Feature 22</t>
  </si>
  <si>
    <t>Data Infrastructure - Feature 23</t>
  </si>
  <si>
    <t>Mobile App - Feature 24</t>
  </si>
  <si>
    <t>Mobile App - Feature 25</t>
  </si>
  <si>
    <t>Data Infrastructure - Feature 26</t>
  </si>
  <si>
    <t>Analytics Suite - Feature 27</t>
  </si>
  <si>
    <t>Analytics Suite - Feature 28</t>
  </si>
  <si>
    <t>Data Infrastructure - Feature 29</t>
  </si>
  <si>
    <t>Data Infrastructure - Feature 30</t>
  </si>
  <si>
    <t>API - Feature 31</t>
  </si>
  <si>
    <t>Analytics Suite - Feature 32</t>
  </si>
  <si>
    <t>Mobile App - Feature 33</t>
  </si>
  <si>
    <t>Web Platform - Feature 34</t>
  </si>
  <si>
    <t>Data Infrastructure - Feature 35</t>
  </si>
  <si>
    <t>Analytics Suite - Feature 36</t>
  </si>
  <si>
    <t>Mobile App - Feature 37</t>
  </si>
  <si>
    <t>API - Feature 38</t>
  </si>
  <si>
    <t>Analytics Suite - Feature 39</t>
  </si>
  <si>
    <t>Data Infrastructure - Feature 40</t>
  </si>
  <si>
    <t>Web Platform - Feature 41</t>
  </si>
  <si>
    <t>Data Infrastructure - Feature 42</t>
  </si>
  <si>
    <t>Analytics Suite - Feature 43</t>
  </si>
  <si>
    <t>API - Feature 44</t>
  </si>
  <si>
    <t>Data Infrastructure - Feature 45</t>
  </si>
  <si>
    <t>Web Platform - Feature 46</t>
  </si>
  <si>
    <t>Data Infrastructure - Feature 47</t>
  </si>
  <si>
    <t>Web Platform - Feature 48</t>
  </si>
  <si>
    <t>API - Feature 49</t>
  </si>
  <si>
    <t>Analytics Suite - Feature 50</t>
  </si>
  <si>
    <t>Mobile App - Feature 51</t>
  </si>
  <si>
    <t>Mobile App - Feature 52</t>
  </si>
  <si>
    <t>Analytics Suite - Feature 53</t>
  </si>
  <si>
    <t>Analytics Suite - Feature 54</t>
  </si>
  <si>
    <t>Web Platform - Feature 55</t>
  </si>
  <si>
    <t>API - Feature 56</t>
  </si>
  <si>
    <t>Analytics Suite - Feature 57</t>
  </si>
  <si>
    <t>Analytics Suite - Feature 58</t>
  </si>
  <si>
    <t>Web Platform - Feature 59</t>
  </si>
  <si>
    <t>Web Platform - Feature 60</t>
  </si>
  <si>
    <t>API - Feature 61</t>
  </si>
  <si>
    <t>API - Feature 62</t>
  </si>
  <si>
    <t>Analytics Suite - Feature 63</t>
  </si>
  <si>
    <t>Data Infrastructure - Feature 64</t>
  </si>
  <si>
    <t>API - Feature 65</t>
  </si>
  <si>
    <t>Data Infrastructure - Feature 66</t>
  </si>
  <si>
    <t>Analytics Suite - Feature 67</t>
  </si>
  <si>
    <t>API - Feature 68</t>
  </si>
  <si>
    <t>Web Platform - Feature 69</t>
  </si>
  <si>
    <t>Analytics Suite - Feature 70</t>
  </si>
  <si>
    <t>Web Platform - Feature 71</t>
  </si>
  <si>
    <t>Analytics Suite - Feature 72</t>
  </si>
  <si>
    <t>Web Platform - Feature 73</t>
  </si>
  <si>
    <t>Analytics Suite - Feature 74</t>
  </si>
  <si>
    <t>API - Feature 75</t>
  </si>
  <si>
    <t>Web Platform - Feature 76</t>
  </si>
  <si>
    <t>Mobile App - Feature 77</t>
  </si>
  <si>
    <t>Analytics Suite - Feature 78</t>
  </si>
  <si>
    <t>Data Infrastructure - Feature 79</t>
  </si>
  <si>
    <t>Analytics Suite - Feature 80</t>
  </si>
  <si>
    <t>Analytics Suite</t>
  </si>
  <si>
    <t>Mobile App</t>
  </si>
  <si>
    <t>Data Infrastructure</t>
  </si>
  <si>
    <t>Web Platform</t>
  </si>
  <si>
    <t>API</t>
  </si>
  <si>
    <t>Testing</t>
  </si>
  <si>
    <t>On Hold</t>
  </si>
  <si>
    <t>Planning</t>
  </si>
  <si>
    <t>In Development</t>
  </si>
  <si>
    <t>Launched</t>
  </si>
  <si>
    <t>2023-02-14</t>
  </si>
  <si>
    <t>2023-08-01</t>
  </si>
  <si>
    <t>2023-06-26</t>
  </si>
  <si>
    <t>2023-03-15</t>
  </si>
  <si>
    <t>2023-06-22</t>
  </si>
  <si>
    <t>2023-05-18</t>
  </si>
  <si>
    <t>2023-09-21</t>
  </si>
  <si>
    <t>2023-08-22</t>
  </si>
  <si>
    <t>2023-05-04</t>
  </si>
  <si>
    <t>2023-07-17</t>
  </si>
  <si>
    <t>2023-09-20</t>
  </si>
  <si>
    <t>2023-08-05</t>
  </si>
  <si>
    <t>2023-02-22</t>
  </si>
  <si>
    <t>2023-11-04</t>
  </si>
  <si>
    <t>2023-07-18</t>
  </si>
  <si>
    <t>2023-09-17</t>
  </si>
  <si>
    <t>2023-10-14</t>
  </si>
  <si>
    <t>2023-05-31</t>
  </si>
  <si>
    <t>2023-09-29</t>
  </si>
  <si>
    <t>2023-06-11</t>
  </si>
  <si>
    <t>2023-03-23</t>
  </si>
  <si>
    <t>2023-01-03</t>
  </si>
  <si>
    <t>2023-06-09</t>
  </si>
  <si>
    <t>2023-07-26</t>
  </si>
  <si>
    <t>2023-07-07</t>
  </si>
  <si>
    <t>2023-01-25</t>
  </si>
  <si>
    <t>2023-06-04</t>
  </si>
  <si>
    <t>2023-02-28</t>
  </si>
  <si>
    <t>2023-01-21</t>
  </si>
  <si>
    <t>2023-09-19</t>
  </si>
  <si>
    <t>2023-07-04</t>
  </si>
  <si>
    <t>2023-08-13</t>
  </si>
  <si>
    <t>2023-11-09</t>
  </si>
  <si>
    <t>2023-02-02</t>
  </si>
  <si>
    <t>2023-12-05</t>
  </si>
  <si>
    <t>2023-11-26</t>
  </si>
  <si>
    <t>2023-05-23</t>
  </si>
  <si>
    <t>2023-10-21</t>
  </si>
  <si>
    <t>2023-07-31</t>
  </si>
  <si>
    <t>2023-06-24</t>
  </si>
  <si>
    <t>2023-12-04</t>
  </si>
  <si>
    <t>2023-05-11</t>
  </si>
  <si>
    <t>2023-01-24</t>
  </si>
  <si>
    <t>2023-08-10</t>
  </si>
  <si>
    <t>2023-11-07</t>
  </si>
  <si>
    <t>2023-08-20</t>
  </si>
  <si>
    <t>2023-11-16</t>
  </si>
  <si>
    <t>2023-10-20</t>
  </si>
  <si>
    <t>2023-12-10</t>
  </si>
  <si>
    <t>2023-11-21</t>
  </si>
  <si>
    <t>2023-04-06</t>
  </si>
  <si>
    <t>2023-08-27</t>
  </si>
  <si>
    <t>2023-10-09</t>
  </si>
  <si>
    <t>2023-11-15</t>
  </si>
  <si>
    <t>2023-09-18</t>
  </si>
  <si>
    <t>2023-10-03</t>
  </si>
  <si>
    <t>2023-12-26</t>
  </si>
  <si>
    <t>2023-01-28</t>
  </si>
  <si>
    <t>2023-09-15</t>
  </si>
  <si>
    <t>2023-10-11</t>
  </si>
  <si>
    <t>2023-04-18</t>
  </si>
  <si>
    <t>2023-05-10</t>
  </si>
  <si>
    <t>2023-02-05</t>
  </si>
  <si>
    <t>2023-08-08</t>
  </si>
  <si>
    <t>2023-09-03</t>
  </si>
  <si>
    <t>2023-03-13</t>
  </si>
  <si>
    <t>2023-10-24</t>
  </si>
  <si>
    <t>2023-07-06</t>
  </si>
  <si>
    <t>2023-04-02</t>
  </si>
  <si>
    <t>Medium</t>
  </si>
  <si>
    <t>Low</t>
  </si>
  <si>
    <t>High</t>
  </si>
  <si>
    <t>Critical</t>
  </si>
  <si>
    <t>Team Alpha</t>
  </si>
  <si>
    <t>Team Epsilon</t>
  </si>
  <si>
    <t>Team Delta</t>
  </si>
  <si>
    <t>Team Gamma</t>
  </si>
  <si>
    <t>Team Beta</t>
  </si>
  <si>
    <t>Display_Status</t>
  </si>
  <si>
    <t>Priorityy</t>
  </si>
  <si>
    <t>Grand Total</t>
  </si>
  <si>
    <t>Sum of Variance</t>
  </si>
  <si>
    <t>Pivot – Budget Performance by Product Line</t>
  </si>
  <si>
    <t>Product Line</t>
  </si>
  <si>
    <t>(blank)</t>
  </si>
  <si>
    <t>Display Status</t>
  </si>
  <si>
    <t>In Progress</t>
  </si>
  <si>
    <t>Completed</t>
  </si>
  <si>
    <t>(All)</t>
  </si>
  <si>
    <t>Pivot – Average Progress by Status</t>
  </si>
  <si>
    <t>Avg Resource Utilization (%)</t>
  </si>
  <si>
    <t>Team</t>
  </si>
  <si>
    <t>Team Size</t>
  </si>
  <si>
    <t>Pivot – Team Size &amp; Average Utilization by Team</t>
  </si>
  <si>
    <t>Column Labels</t>
  </si>
  <si>
    <t>Initiative</t>
  </si>
  <si>
    <t>Values</t>
  </si>
  <si>
    <t>Pivot - Schedule Overview (Target Vs Actual)</t>
  </si>
  <si>
    <t>Actual Date</t>
  </si>
  <si>
    <t>Target Date</t>
  </si>
  <si>
    <t>Initiative Performance Dashboard – October 2025</t>
  </si>
  <si>
    <t>Budget Allocated</t>
  </si>
  <si>
    <t>Budget Spent</t>
  </si>
  <si>
    <t>Budget Performance by Product Line</t>
  </si>
  <si>
    <t>Sum of Progress_True (%)</t>
  </si>
  <si>
    <t>Progress by Status (%)</t>
  </si>
  <si>
    <t>Team Utilization Overview</t>
  </si>
  <si>
    <t>Initiative Timeline (Target vs Actual</t>
  </si>
  <si>
    <t>Prepared by Lewis T – October 2025</t>
  </si>
  <si>
    <t>Key Insights:</t>
  </si>
  <si>
    <t>• Overall progress: 65% completed</t>
  </si>
  <si>
    <t>• Budget variance: £X under budget</t>
  </si>
  <si>
    <t>• Teams: 3 of 5 fully utilized</t>
  </si>
  <si>
    <t>Total Initiatives</t>
  </si>
  <si>
    <t>KPI</t>
  </si>
  <si>
    <t>% Completed</t>
  </si>
  <si>
    <t>Budget Utilization</t>
  </si>
  <si>
    <t>Avg Resource Utilization</t>
  </si>
  <si>
    <t>Output</t>
  </si>
  <si>
    <t>Initiative Name</t>
  </si>
  <si>
    <t>Expected Revenue (£)</t>
  </si>
  <si>
    <t>Actual Revenue (£)</t>
  </si>
  <si>
    <t>Revenue Impact (Expected vs Actual)</t>
  </si>
  <si>
    <t>Count of Initiative_Name</t>
  </si>
  <si>
    <t>Initiatives by Product Line &amp; Status</t>
  </si>
  <si>
    <t>Initiative_ID,Initiative_Name,Product_Line,Status,Start_Date,Target_Completion_Date,Actual_Completion_Date,Team_Size,Budget_Allocated,Budget_Spent,Resource_Utilization,Priority,Expected_Revenue_Impact,Actual_Revenue_Impact,Progress_Percentage,Assigned_Team</t>
  </si>
  <si>
    <t>INIT0001,Analytics Suite - Feature 1,Analytics Suite,Testing,2023-02-14,2023-06-23,,8,1000000,617883,77,Medium,5000000,,80,Team Alpha</t>
  </si>
  <si>
    <t>INIT0002,Mobile App - Feature 2,Mobile App,On Hold,2023-08-01,2023-10-08,,12,100000,75327,66,Low,100000,,25,Team Alpha</t>
  </si>
  <si>
    <t>INIT0003,Analytics Suite - Feature 3,Analytics Suite,Planning,2023-06-26,2023-11-08,,10,250000,151608,96,Medium,5000000,,10,Team Epsilon</t>
  </si>
  <si>
    <t>INIT0004,Mobile App - Feature 4,Mobile App,In Development,2023-03-15,2023-07-25,,8,50000,30831,75,Medium,100000,,50,Team Delta</t>
  </si>
  <si>
    <t>INIT0005,Data Infrastructure - Feature 5,Data Infrastructure,Testing,2023-06-22,2023-10-07,,10,250000,131069,66,Medium,500000,,80,Team Alpha</t>
  </si>
  <si>
    <t>INIT0006,Web Platform - Feature 6,Web Platform,Testing,2023-05-18,2023-10-01,,6,1000000,816443,88,Low,500000,,80,Team Gamma</t>
  </si>
  <si>
    <t>INIT0007,Data Infrastructure - Feature 7,Data Infrastructure,Launched,2023-09-21,2023-11-30,2023-12-03,11,500000,204259,96,Medium,100000,62161,100,Team Alpha</t>
  </si>
  <si>
    <t>INIT0008,Web Platform - Feature 8,Web Platform,Planning,2023-08-22,2023-10-03,,7,250000,215926,83,High,5000000,,10,Team Alpha</t>
  </si>
  <si>
    <t>INIT0009,Analytics Suite - Feature 9,Analytics Suite,Launched,2023-05-04,2023-09-06,2023-09-08,10,100000,106841,97,Critical,1000000,740974,100,Team Alpha</t>
  </si>
  <si>
    <t>INIT0010,API - Feature 10,API,Planning,2023-07-17,2023-08-28,,15,100000,98305,73,Medium,500000,,10,Team Alpha</t>
  </si>
  <si>
    <t>INIT0011,Web Platform - Feature 11,Web Platform,In Development,2023-09-20,2023-10-25,,5,50000,33963,71,Medium,100000,,50,Team Delta</t>
  </si>
  <si>
    <t>INIT0012,Web Platform - Feature 12,Web Platform,Testing,2023-08-05,2023-12-09,,6,250000,166799,89,Medium,1000000,,80,Team Gamma</t>
  </si>
  <si>
    <t>INIT0013,Analytics Suite - Feature 13,Analytics Suite,On Hold,2023-02-22,2023-03-25,,8,1000000,1099543,95,Low,1000000,,25,Team Epsilon</t>
  </si>
  <si>
    <t>INIT0014,API - Feature 14,API,Planning,2023-06-22,2023-09-30,,7,250000,247298,79,Low,500000,,10,Team Alpha</t>
  </si>
  <si>
    <t>INIT0015,Web Platform - Feature 15,Web Platform,On Hold,2023-11-04,2024-03-16,,14,250000,211151,61,High,5000000,,25,Team Alpha</t>
  </si>
  <si>
    <t>INIT0016,API - Feature 16,API,Testing,2023-07-18,2023-08-26,,12,1000000,866455,72,Low,1000000,,80,Team Delta</t>
  </si>
  <si>
    <t>INIT0017,Web Platform - Feature 17,Web Platform,On Hold,2023-09-17,2024-01-01,,11,100000,97251,71,Low,1000000,,25,Team Gamma</t>
  </si>
  <si>
    <t>INIT0018,Mobile App - Feature 18,Mobile App,Launched,2023-10-14,2023-12-29,2024-01-24,6,50000,23890,79,High,5000000,5258316,100,Team Gamma</t>
  </si>
  <si>
    <t>INIT0019,API - Feature 19,API,Testing,2023-05-31,2023-10-26,,13,50000,33821,97,Medium,100000,,80,Team Epsilon</t>
  </si>
  <si>
    <t>INIT0020,Data Infrastructure - Feature 20,Data Infrastructure,In Development,2023-09-29,2024-01-13,,5,500000,171624,68,Critical,500000,,50,Team Delta</t>
  </si>
  <si>
    <t>INIT0021,API - Feature 21,API,Launched,2023-06-11,2023-08-26,2023-10-01,5,250000,201206,80,Low,100000,50329,100,Team Beta</t>
  </si>
  <si>
    <t>INIT0022,API - Feature 22,API,In Development,2023-03-23,2023-08-25,,9,50000,20176,100,High,5000000,,50,Team Epsilon</t>
  </si>
  <si>
    <t>INIT0023,Data Infrastructure - Feature 23,Data Infrastructure,Launched,2023-01-03,2023-02-11,2023-02-11,15,50000,50680,93,Low,500000,256270,100,Team Delta</t>
  </si>
  <si>
    <t>INIT0024,Mobile App - Feature 24,Mobile App,In Development,2023-06-09,2023-08-11,,12,50000,30342,79,High,500000,,50,Team Gamma</t>
  </si>
  <si>
    <t>INIT0025,Mobile App - Feature 25,Mobile App,Planning,2023-08-22,2024-02-01,,9,1000000,719294,68,Medium,1000000,,10,Team Gamma</t>
  </si>
  <si>
    <t>INIT0026,Data Infrastructure - Feature 26,Data Infrastructure,Testing,2023-07-26,2023-08-29,,5,100000,47945,73,High,100000,,80,Team Beta</t>
  </si>
  <si>
    <t>INIT0027,Analytics Suite - Feature 27,Analytics Suite,On Hold,2023-07-07,2023-08-15,,7,500000,500617,94,High,100000,,25,Team Alpha</t>
  </si>
  <si>
    <t>INIT0028,Analytics Suite - Feature 28,Analytics Suite,Planning,2023-01-25,2023-03-25,,4,500000,327725,95,Critical,1000000,,10,Team Alpha</t>
  </si>
  <si>
    <t>INIT0029,Data Infrastructure - Feature 29,Data Infrastructure,In Development,2023-06-04,2023-10-19,,7,50000,41499,99,High,500000,,50,Team Alpha</t>
  </si>
  <si>
    <t>INIT0030,Data Infrastructure - Feature 30,Data Infrastructure,Planning,2023-02-28,2023-04-26,,6,500000,229458,76,Critical,500000,,10,Team Gamma</t>
  </si>
  <si>
    <t>INIT0031,API - Feature 31,API,Launched,2023-01-21,2023-07-10,2023-07-08,3,500000,282241,60,Medium,100000,113481,100,Team Beta</t>
  </si>
  <si>
    <t>INIT0032,Analytics Suite - Feature 32,Analytics Suite,Launched,2023-09-19,2023-11-07,2023-11-18,10,250000,203867,78,High,1000000,824994,100,Team Alpha</t>
  </si>
  <si>
    <t>INIT0033,Mobile App - Feature 33,Mobile App,In Development,2023-07-04,2023-10-22,,4,500000,445416,62,Critical,100000,,50,Team Gamma</t>
  </si>
  <si>
    <t>INIT0034,Web Platform - Feature 34,Web Platform,In Development,2023-08-13,2023-11-19,,8,50000,29904,71,Medium,100000,,50,Team Gamma</t>
  </si>
  <si>
    <t>INIT0035,Data Infrastructure - Feature 35,Data Infrastructure,Launched,2023-07-17,2023-12-16,2024-01-31,14,100000,39044,63,Low,500000,286299,100,Team Gamma</t>
  </si>
  <si>
    <t>INIT0036,Analytics Suite - Feature 36,Analytics Suite,Launched,2023-11-09,2024-03-15,2024-04-28,14,50000,49503,68,Low,5000000,5721392,100,Team Beta</t>
  </si>
  <si>
    <t>INIT0037,Mobile App - Feature 37,Mobile App,Launched,2023-02-02,2023-05-09,2023-05-04,12,1000000,914022,96,Low,500000,592263,100,Team Alpha</t>
  </si>
  <si>
    <t>INIT0038,API - Feature 38,API,On Hold,2023-12-05,2024-03-07,,13,500000,288299,84,Critical,500000,,25,Team Delta</t>
  </si>
  <si>
    <t>INIT0039,Analytics Suite - Feature 39,Analytics Suite,On Hold,2023-11-26,2024-02-04,,10,1000000,979076,70,Critical,100000,,25,Team Alpha</t>
  </si>
  <si>
    <t>INIT0040,Data Infrastructure - Feature 40,Data Infrastructure,Testing,2023-05-23,2023-07-04,,13,1000000,478165,84,High,5000000,,80,Team Gamma</t>
  </si>
  <si>
    <t>INIT0041,Web Platform - Feature 41,Web Platform,Planning,2023-10-21,2024-03-13,,10,50000,49263,80,Low,100000,,10,Team Delta</t>
  </si>
  <si>
    <t>INIT0042,Data Infrastructure - Feature 42,Data Infrastructure,Planning,2023-07-31,2023-09-08,,4,1000000,739279,98,Critical,1000000,,10,Team Delta</t>
  </si>
  <si>
    <t>INIT0043,Analytics Suite - Feature 43,Analytics Suite,On Hold,2023-06-24,2023-10-25,,10,50000,47663,81,High,5000000,,25,Team Delta</t>
  </si>
  <si>
    <t>INIT0044,API - Feature 44,API,Launched,2023-12-04,2024-02-28,2024-02-28,8,250000,184538,66,Critical,100000,112781,100,Team Alpha</t>
  </si>
  <si>
    <t>INIT0045,Data Infrastructure - Feature 45,Data Infrastructure,In Development,2023-05-11,2023-07-30,,9,100000,39659,73,Low,5000000,,50,Team Alpha</t>
  </si>
  <si>
    <t>INIT0046,Web Platform - Feature 46,Web Platform,Testing,2023-01-24,2023-07-23,,10,50000,45885,89,Critical,500000,,80,Team Delta</t>
  </si>
  <si>
    <t>INIT0047,Data Infrastructure - Feature 47,Data Infrastructure,Planning,2023-08-10,2024-02-05,,15,500000,519748,71,Critical,500000,,10,Team Epsilon</t>
  </si>
  <si>
    <t>INIT0048,Web Platform - Feature 48,Web Platform,Planning,2023-11-07,2024-02-27,,9,1000000,1005112,98,Low,500000,,10,Team Epsilon</t>
  </si>
  <si>
    <t>INIT0049,API - Feature 49,API,Launched,2023-08-20,2023-10-23,2023-10-27,14,1000000,539130,95,Medium,1000000,998312,100,Team Gamma</t>
  </si>
  <si>
    <t>INIT0050,Analytics Suite - Feature 50,Analytics Suite,In Development,2023-11-16,2024-02-28,,5,250000,259238,71,High,1000000,,50,Team Beta</t>
  </si>
  <si>
    <t>INIT0051,Mobile App - Feature 51,Mobile App,Testing,2023-10-20,2024-03-04,,9,1000000,528742,60,Low,100000,,80,Team Epsilon</t>
  </si>
  <si>
    <t>INIT0052,Mobile App - Feature 52,Mobile App,Launched,2023-12-10,2024-01-23,2024-01-20,5,250000,211678,63,High,1000000,642800,100,Team Alpha</t>
  </si>
  <si>
    <t>INIT0053,Analytics Suite - Feature 53,Analytics Suite,Planning,2023-02-22,2023-08-14,,11,100000,89393,84,Medium,500000,,10,Team Delta</t>
  </si>
  <si>
    <t>INIT0054,Analytics Suite - Feature 54,Analytics Suite,Testing,2023-07-18,2023-12-01,,3,250000,268166,60,Critical,1000000,,80,Team Delta</t>
  </si>
  <si>
    <t>INIT0055,Web Platform - Feature 55,Web Platform,On Hold,2023-11-21,2024-03-24,,12,1000000,737292,72,Low,500000,,25,Team Beta</t>
  </si>
  <si>
    <t>INIT0056,API - Feature 56,API,Launched,2023-04-06,2023-06-19,2023-07-01,7,500000,166253,95,High,1000000,591046,100,Team Alpha</t>
  </si>
  <si>
    <t>INIT0057,Analytics Suite - Feature 57,Analytics Suite,Testing,2023-08-27,2023-11-04,,8,50000,21148,98,Critical,100000,,80,Team Gamma</t>
  </si>
  <si>
    <t>INIT0058,Analytics Suite - Feature 58,Analytics Suite,Testing,2023-10-09,2024-02-07,,8,50000,46361,93,Low,500000,,80,Team Epsilon</t>
  </si>
  <si>
    <t>INIT0059,Web Platform - Feature 59,Web Platform,On Hold,2023-03-23,2023-08-06,,4,1000000,729628,82,Critical,500000,,25,Team Epsilon</t>
  </si>
  <si>
    <t>INIT0060,Web Platform - Feature 60,Web Platform,Testing,2023-05-31,2023-08-24,,11,1000000,724399,60,Medium,100000,,80,Team Gamma</t>
  </si>
  <si>
    <t>INIT0061,API - Feature 61,API,Launched,2023-11-15,2024-02-15,2024-04-03,15,250000,151274,67,High,5000000,3398066,100,Team Epsilon</t>
  </si>
  <si>
    <t>INIT0062,API - Feature 62,API,Planning,2023-09-18,2024-02-09,,13,500000,167540,72,Medium,1000000,,10,Team Epsilon</t>
  </si>
  <si>
    <t>INIT0063,Analytics Suite - Feature 63,Analytics Suite,Planning,2023-10-03,2024-03-17,,6,50000,40077,100,Critical,500000,,10,Team Beta</t>
  </si>
  <si>
    <t>INIT0064,Data Infrastructure - Feature 64,Data Infrastructure,Planning,2023-12-26,2024-05-15,,5,50000,44875,61,High,5000000,,10,Team Epsilon</t>
  </si>
  <si>
    <t>INIT0065,API - Feature 65,API,Planning,2023-01-28,2023-04-13,,12,250000,186616,74,Critical,1000000,,10,Team Alpha</t>
  </si>
  <si>
    <t>INIT0066,Data Infrastructure - Feature 66,Data Infrastructure,Launched,2023-08-10,2023-11-28,2023-12-03,13,50000,36393,99,Low,100000,102917,100,Team Delta</t>
  </si>
  <si>
    <t>INIT0067,Analytics Suite - Feature 67,Analytics Suite,Planning,2023-09-15,2023-11-11,,7,250000,232378,98,Critical,100000,,10,Team Gamma</t>
  </si>
  <si>
    <t>INIT0068,API - Feature 68,API,Launched,2023-12-05,2024-01-11,2024-01-14,9,100000,40910,94,Low,1000000,1172093,100,Team Delta</t>
  </si>
  <si>
    <t>INIT0069,Web Platform - Feature 69,Web Platform,Testing,2023-10-11,2024-03-31,,3,100000,39858,96,Medium,5000000,,80,Team Alpha</t>
  </si>
  <si>
    <t>INIT0070,Analytics Suite - Feature 70,Analytics Suite,On Hold,2023-04-18,2023-08-14,,13,100000,63012,92,Critical,500000,,25,Team Gamma</t>
  </si>
  <si>
    <t>INIT0071,Web Platform - Feature 71,Web Platform,In Development,2023-05-10,2023-07-28,,15,50000,22254,96,High,100000,,50,Team Epsilon</t>
  </si>
  <si>
    <t>INIT0072,Analytics Suite - Feature 72,Analytics Suite,Launched,2023-12-10,2024-01-26,2024-01-24,8,1000000,689752,82,Critical,500000,484953,100,Team Gamma</t>
  </si>
  <si>
    <t>INIT0073,Web Platform - Feature 73,Web Platform,Planning,2023-02-05,2023-04-25,,8,250000,172172,99,Medium,1000000,,10,Team Epsilon</t>
  </si>
  <si>
    <t>INIT0074,Analytics Suite - Feature 74,Analytics Suite,In Development,2023-08-08,2023-10-20,,15,50000,27528,74,Medium,5000000,,50,Team Gamma</t>
  </si>
  <si>
    <t>INIT0075,API - Feature 75,API,Testing,2023-09-03,2024-01-29,,7,500000,293496,91,High,100000,,80,Team Gamma</t>
  </si>
  <si>
    <t>INIT0076,Web Platform - Feature 76,Web Platform,On Hold,2023-03-13,2023-08-27,,13,100000,51058,64,Critical,100000,,25,Team Gamma</t>
  </si>
  <si>
    <t>INIT0077,Mobile App - Feature 77,Mobile App,On Hold,2023-10-24,2024-03-05,,3,1000000,470208,95,Critical,1000000,,25,Team Epsilon</t>
  </si>
  <si>
    <t>INIT0078,Analytics Suite - Feature 78,Analytics Suite,On Hold,2023-07-07,2023-11-14,,12,100000,101315,78,Low,500000,,25,Team Beta</t>
  </si>
  <si>
    <t>INIT0079,Data Infrastructure - Feature 79,Data Infrastructure,On Hold,2023-07-06,2023-12-11,,15,50000,41507,99,Critical,500000,,25,Team Delta</t>
  </si>
  <si>
    <t>INIT0080,Analytics Suite - Feature 80,Analytics Suite,In Development,2023-04-02,2023-09-23,,5,1000000,827530,90,Low,1000000,,50,Team 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</si>
</sst>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9" formatCode="0.0"/>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14"/>
      <color theme="1"/>
      <name val="Calibri"/>
      <family val="2"/>
      <scheme val="minor"/>
    </font>
    <font>
      <sz val="11"/>
      <color theme="4" tint="0.79998168889431442"/>
      <name val="Calibri"/>
      <family val="2"/>
      <scheme val="minor"/>
    </font>
    <font>
      <b/>
      <sz val="16"/>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34">
    <xf numFmtId="0" fontId="0" fillId="0" borderId="0" xfId="0"/>
    <xf numFmtId="0" fontId="1" fillId="0" borderId="1" xfId="0" applyFont="1" applyBorder="1" applyAlignment="1">
      <alignment horizontal="left" vertical="top"/>
    </xf>
    <xf numFmtId="0" fontId="1" fillId="0" borderId="2" xfId="0" applyFont="1" applyFill="1" applyBorder="1" applyAlignment="1">
      <alignment horizontal="left" vertical="top"/>
    </xf>
    <xf numFmtId="0" fontId="0" fillId="0" borderId="0" xfId="0" applyAlignment="1">
      <alignment horizontal="left"/>
    </xf>
    <xf numFmtId="0" fontId="0" fillId="0" borderId="0" xfId="0" pivotButton="1"/>
    <xf numFmtId="0" fontId="0" fillId="0" borderId="0" xfId="0" applyNumberFormat="1"/>
    <xf numFmtId="164" fontId="0" fillId="0" borderId="0" xfId="0" applyNumberFormat="1"/>
    <xf numFmtId="0" fontId="4" fillId="2" borderId="0" xfId="0" applyFont="1" applyFill="1"/>
    <xf numFmtId="0" fontId="0" fillId="2" borderId="0" xfId="0" applyFill="1"/>
    <xf numFmtId="164" fontId="0" fillId="2" borderId="0" xfId="0" applyNumberFormat="1" applyFill="1"/>
    <xf numFmtId="9" fontId="0" fillId="0" borderId="0" xfId="0" applyNumberFormat="1"/>
    <xf numFmtId="1" fontId="0" fillId="0" borderId="0" xfId="0" applyNumberFormat="1"/>
    <xf numFmtId="9" fontId="0" fillId="0" borderId="0" xfId="1" applyFont="1"/>
    <xf numFmtId="0" fontId="1" fillId="0" borderId="0" xfId="0" pivotButton="1" applyFont="1"/>
    <xf numFmtId="0" fontId="1" fillId="0" borderId="0" xfId="0" applyFont="1"/>
    <xf numFmtId="164" fontId="1" fillId="0" borderId="0" xfId="0" applyNumberFormat="1" applyFont="1"/>
    <xf numFmtId="0" fontId="1" fillId="2" borderId="0" xfId="0" applyFont="1" applyFill="1"/>
    <xf numFmtId="14" fontId="0" fillId="0" borderId="0" xfId="0" applyNumberFormat="1"/>
    <xf numFmtId="14" fontId="0" fillId="0" borderId="0" xfId="0" pivotButton="1" applyNumberFormat="1"/>
    <xf numFmtId="0" fontId="4" fillId="2" borderId="0" xfId="0" applyFont="1" applyFill="1" applyAlignment="1">
      <alignment horizontal="left"/>
    </xf>
    <xf numFmtId="1" fontId="1" fillId="2" borderId="0" xfId="0" applyNumberFormat="1" applyFont="1" applyFill="1"/>
    <xf numFmtId="0" fontId="5" fillId="0" borderId="0" xfId="0" pivotButton="1" applyFont="1"/>
    <xf numFmtId="1" fontId="0" fillId="2" borderId="0" xfId="0" applyNumberFormat="1" applyFill="1"/>
    <xf numFmtId="0" fontId="6" fillId="4" borderId="0" xfId="0" applyFont="1" applyFill="1"/>
    <xf numFmtId="0" fontId="0" fillId="4" borderId="0" xfId="0" applyFill="1"/>
    <xf numFmtId="0" fontId="4" fillId="4" borderId="0" xfId="0" applyFont="1" applyFill="1"/>
    <xf numFmtId="0" fontId="1" fillId="4" borderId="0" xfId="0" applyFont="1" applyFill="1"/>
    <xf numFmtId="0" fontId="6" fillId="3" borderId="0" xfId="0" applyFont="1" applyFill="1"/>
    <xf numFmtId="0" fontId="1" fillId="3" borderId="0" xfId="0" applyFont="1" applyFill="1"/>
    <xf numFmtId="0" fontId="4" fillId="4" borderId="0" xfId="0" applyFont="1" applyFill="1" applyAlignment="1">
      <alignment horizontal="center" vertical="top" wrapText="1"/>
    </xf>
    <xf numFmtId="0" fontId="3" fillId="4" borderId="0" xfId="0" applyFont="1" applyFill="1" applyAlignment="1">
      <alignment vertical="top" wrapText="1"/>
    </xf>
    <xf numFmtId="9" fontId="3" fillId="4" borderId="0" xfId="0" applyNumberFormat="1" applyFont="1" applyFill="1" applyAlignment="1">
      <alignment vertical="top" wrapText="1"/>
    </xf>
    <xf numFmtId="164" fontId="0" fillId="0" borderId="0" xfId="0" applyNumberFormat="1" applyFill="1"/>
    <xf numFmtId="164" fontId="1" fillId="0" borderId="0" xfId="0" applyNumberFormat="1" applyFont="1" applyFill="1"/>
  </cellXfs>
  <cellStyles count="2">
    <cellStyle name="Normal" xfId="0" builtinId="0"/>
    <cellStyle name="Percent" xfId="1" builtinId="5"/>
  </cellStyles>
  <dxfs count="46">
    <dxf>
      <font>
        <b/>
        <i val="0"/>
        <color theme="0"/>
      </font>
      <fill>
        <patternFill>
          <bgColor theme="9" tint="-0.24994659260841701"/>
        </patternFill>
      </fill>
    </dxf>
    <dxf>
      <font>
        <b/>
        <i val="0"/>
        <color theme="0"/>
      </font>
      <fill>
        <patternFill>
          <bgColor rgb="FF00B050"/>
        </patternFill>
      </fill>
    </dxf>
    <dxf>
      <font>
        <b/>
        <i val="0"/>
        <color theme="1"/>
      </font>
      <fill>
        <patternFill>
          <bgColor rgb="FFFFFF00"/>
        </patternFill>
      </fill>
    </dxf>
    <dxf>
      <font>
        <b/>
        <i val="0"/>
        <color theme="1"/>
      </font>
      <fill>
        <patternFill>
          <bgColor rgb="FFFF0000"/>
        </patternFill>
      </fill>
    </dxf>
    <dxf>
      <font>
        <b/>
        <i val="0"/>
        <color theme="1"/>
      </font>
      <fill>
        <patternFill>
          <bgColor rgb="FFFFFF00"/>
        </patternFill>
      </fill>
    </dxf>
    <dxf>
      <font>
        <b/>
        <i val="0"/>
        <color theme="0"/>
      </font>
      <fill>
        <patternFill>
          <bgColor rgb="FF00B050"/>
        </patternFill>
      </fill>
    </dxf>
    <dxf>
      <font>
        <b/>
        <i val="0"/>
        <color theme="0"/>
      </font>
      <fill>
        <patternFill>
          <bgColor theme="9" tint="-0.24994659260841701"/>
        </patternFill>
      </fill>
    </dxf>
    <dxf>
      <font>
        <b/>
        <i val="0"/>
        <color theme="0"/>
      </font>
      <fill>
        <patternFill>
          <bgColor rgb="FF00B050"/>
        </patternFill>
      </fill>
    </dxf>
    <dxf>
      <font>
        <b/>
        <i val="0"/>
        <color theme="1"/>
      </font>
      <fill>
        <patternFill>
          <bgColor rgb="FFFFFF00"/>
        </patternFill>
      </fill>
    </dxf>
    <dxf>
      <font>
        <b/>
        <i val="0"/>
        <color theme="1"/>
      </font>
      <fill>
        <patternFill>
          <bgColor rgb="FFFFFF00"/>
        </patternFill>
      </fill>
    </dxf>
    <dxf>
      <font>
        <b/>
        <i val="0"/>
        <color theme="0"/>
      </font>
      <fill>
        <patternFill>
          <bgColor rgb="FF00B050"/>
        </patternFill>
      </fill>
    </dxf>
    <dxf>
      <font>
        <b/>
        <i val="0"/>
        <color theme="0"/>
      </font>
      <fill>
        <patternFill>
          <bgColor rgb="FF00B050"/>
        </patternFill>
      </fill>
    </dxf>
    <dxf>
      <font>
        <b/>
        <i val="0"/>
        <color theme="0"/>
      </font>
      <fill>
        <patternFill patternType="solid">
          <bgColor rgb="FF00B050"/>
        </patternFill>
      </fill>
    </dxf>
    <dxf>
      <fill>
        <patternFill>
          <bgColor rgb="FFFFFF00"/>
        </patternFill>
      </fill>
    </dxf>
    <dxf>
      <fill>
        <patternFill>
          <bgColor rgb="FF00B050"/>
        </patternFill>
      </fill>
    </dxf>
    <dxf>
      <fill>
        <patternFill>
          <bgColor rgb="FF00B050"/>
        </patternFill>
      </fill>
    </dxf>
    <dxf>
      <fill>
        <patternFill>
          <bgColor rgb="FF00B050"/>
        </patternFill>
      </fill>
    </dxf>
    <dxf>
      <font>
        <b/>
        <i val="0"/>
        <color theme="0"/>
      </font>
      <fill>
        <patternFill>
          <bgColor rgb="FF00B050"/>
        </patternFill>
      </fill>
    </dxf>
    <dxf>
      <font>
        <b/>
        <i val="0"/>
        <color theme="0"/>
      </font>
      <fill>
        <patternFill patternType="solid">
          <bgColor rgb="FF00B050"/>
        </patternFill>
      </fill>
    </dxf>
    <dxf>
      <fill>
        <patternFill>
          <bgColor rgb="FFFFFF00"/>
        </patternFill>
      </fill>
    </dxf>
    <dxf>
      <fill>
        <patternFill>
          <bgColor rgb="FF00B050"/>
        </patternFill>
      </fill>
    </dxf>
    <dxf>
      <fill>
        <patternFill>
          <bgColor rgb="FF00B050"/>
        </patternFill>
      </fill>
    </dxf>
    <dxf>
      <font>
        <b/>
        <i val="0"/>
        <color theme="0"/>
      </font>
      <fill>
        <patternFill patternType="solid">
          <bgColor rgb="FF00B050"/>
        </patternFill>
      </fill>
    </dxf>
    <dxf>
      <fill>
        <patternFill>
          <bgColor rgb="FF00B050"/>
        </patternFill>
      </fill>
    </dxf>
    <dxf>
      <fill>
        <patternFill>
          <bgColor rgb="FF00B050"/>
        </patternFill>
      </fill>
    </dxf>
    <dxf>
      <fill>
        <patternFill>
          <bgColor rgb="FFFF0000"/>
        </patternFill>
      </fill>
    </dxf>
    <dxf>
      <numFmt numFmtId="164" formatCode="&quot;£&quot;#,##0"/>
    </dxf>
    <dxf>
      <numFmt numFmtId="164" formatCode="&quot;£&quot;#,##0"/>
    </dxf>
    <dxf>
      <numFmt numFmtId="164" formatCode="&quot;£&quot;#,##0"/>
    </dxf>
    <dxf>
      <numFmt numFmtId="164" formatCode="&quot;£&quot;#,##0"/>
    </dxf>
    <dxf>
      <numFmt numFmtId="164" formatCode="&quot;£&quot;#,##0"/>
    </dxf>
    <dxf>
      <numFmt numFmtId="19" formatCode="dd/mm/yyyy"/>
    </dxf>
    <dxf>
      <numFmt numFmtId="19" formatCode="dd/mm/yyyy"/>
    </dxf>
    <dxf>
      <font>
        <color theme="4" tint="0.79998168889431442"/>
      </font>
    </dxf>
    <dxf>
      <font>
        <color theme="4" tint="0.79998168889431442"/>
      </font>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3" formatCode="0%"/>
    </dxf>
    <dxf>
      <font>
        <b/>
      </font>
    </dxf>
    <dxf>
      <font>
        <b/>
      </font>
    </dxf>
    <dxf>
      <numFmt numFmtId="0" formatCode="General"/>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[Initiatives.xlsx]Pivots!PivotTable2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c:f>
              <c:strCache>
                <c:ptCount val="1"/>
                <c:pt idx="0">
                  <c:v>Budget Allocated</c:v>
                </c:pt>
              </c:strCache>
            </c:strRef>
          </c:tx>
          <c:spPr>
            <a:solidFill>
              <a:schemeClr val="accent1"/>
            </a:solidFill>
            <a:ln>
              <a:noFill/>
            </a:ln>
            <a:effectLst/>
          </c:spPr>
          <c:invertIfNegative val="0"/>
          <c:cat>
            <c:strRef>
              <c:f>Pivots!$A$3:$A$9</c:f>
              <c:strCache>
                <c:ptCount val="6"/>
                <c:pt idx="0">
                  <c:v>Analytics Suite</c:v>
                </c:pt>
                <c:pt idx="1">
                  <c:v>API</c:v>
                </c:pt>
                <c:pt idx="2">
                  <c:v>Data Infrastructure</c:v>
                </c:pt>
                <c:pt idx="3">
                  <c:v>Mobile App</c:v>
                </c:pt>
                <c:pt idx="4">
                  <c:v>Web Platform</c:v>
                </c:pt>
                <c:pt idx="5">
                  <c:v>(blank)</c:v>
                </c:pt>
              </c:strCache>
            </c:strRef>
          </c:cat>
          <c:val>
            <c:numRef>
              <c:f>Pivots!$B$3:$B$9</c:f>
              <c:numCache>
                <c:formatCode>"£"#,##0</c:formatCode>
                <c:ptCount val="6"/>
                <c:pt idx="0">
                  <c:v>7950000</c:v>
                </c:pt>
                <c:pt idx="1">
                  <c:v>6050000</c:v>
                </c:pt>
                <c:pt idx="2">
                  <c:v>4800000</c:v>
                </c:pt>
                <c:pt idx="3">
                  <c:v>5000000</c:v>
                </c:pt>
                <c:pt idx="4">
                  <c:v>6550000</c:v>
                </c:pt>
              </c:numCache>
            </c:numRef>
          </c:val>
          <c:extLst>
            <c:ext xmlns:c16="http://schemas.microsoft.com/office/drawing/2014/chart" uri="{C3380CC4-5D6E-409C-BE32-E72D297353CC}">
              <c16:uniqueId val="{00000000-2B89-49AC-9EB4-2F8796818B5C}"/>
            </c:ext>
          </c:extLst>
        </c:ser>
        <c:ser>
          <c:idx val="1"/>
          <c:order val="1"/>
          <c:tx>
            <c:strRef>
              <c:f>Pivots!$C$2</c:f>
              <c:strCache>
                <c:ptCount val="1"/>
                <c:pt idx="0">
                  <c:v>Budget Spent</c:v>
                </c:pt>
              </c:strCache>
            </c:strRef>
          </c:tx>
          <c:spPr>
            <a:solidFill>
              <a:schemeClr val="accent2"/>
            </a:solidFill>
            <a:ln>
              <a:noFill/>
            </a:ln>
            <a:effectLst/>
          </c:spPr>
          <c:invertIfNegative val="0"/>
          <c:cat>
            <c:strRef>
              <c:f>Pivots!$A$3:$A$9</c:f>
              <c:strCache>
                <c:ptCount val="6"/>
                <c:pt idx="0">
                  <c:v>Analytics Suite</c:v>
                </c:pt>
                <c:pt idx="1">
                  <c:v>API</c:v>
                </c:pt>
                <c:pt idx="2">
                  <c:v>Data Infrastructure</c:v>
                </c:pt>
                <c:pt idx="3">
                  <c:v>Mobile App</c:v>
                </c:pt>
                <c:pt idx="4">
                  <c:v>Web Platform</c:v>
                </c:pt>
                <c:pt idx="5">
                  <c:v>(blank)</c:v>
                </c:pt>
              </c:strCache>
            </c:strRef>
          </c:cat>
          <c:val>
            <c:numRef>
              <c:f>Pivots!$C$3:$C$9</c:f>
              <c:numCache>
                <c:formatCode>"£"#,##0</c:formatCode>
                <c:ptCount val="6"/>
                <c:pt idx="0">
                  <c:v>6750224</c:v>
                </c:pt>
                <c:pt idx="1">
                  <c:v>3767558</c:v>
                </c:pt>
                <c:pt idx="2">
                  <c:v>2815204</c:v>
                </c:pt>
                <c:pt idx="3">
                  <c:v>3449750</c:v>
                </c:pt>
                <c:pt idx="4">
                  <c:v>5148358</c:v>
                </c:pt>
              </c:numCache>
            </c:numRef>
          </c:val>
          <c:extLst>
            <c:ext xmlns:c16="http://schemas.microsoft.com/office/drawing/2014/chart" uri="{C3380CC4-5D6E-409C-BE32-E72D297353CC}">
              <c16:uniqueId val="{00000001-2B89-49AC-9EB4-2F8796818B5C}"/>
            </c:ext>
          </c:extLst>
        </c:ser>
        <c:ser>
          <c:idx val="2"/>
          <c:order val="2"/>
          <c:tx>
            <c:strRef>
              <c:f>Pivots!$D$2</c:f>
              <c:strCache>
                <c:ptCount val="1"/>
                <c:pt idx="0">
                  <c:v>Sum of Variance</c:v>
                </c:pt>
              </c:strCache>
            </c:strRef>
          </c:tx>
          <c:spPr>
            <a:solidFill>
              <a:schemeClr val="accent3"/>
            </a:solidFill>
            <a:ln>
              <a:noFill/>
            </a:ln>
            <a:effectLst/>
          </c:spPr>
          <c:invertIfNegative val="0"/>
          <c:cat>
            <c:strRef>
              <c:f>Pivots!$A$3:$A$9</c:f>
              <c:strCache>
                <c:ptCount val="6"/>
                <c:pt idx="0">
                  <c:v>Analytics Suite</c:v>
                </c:pt>
                <c:pt idx="1">
                  <c:v>API</c:v>
                </c:pt>
                <c:pt idx="2">
                  <c:v>Data Infrastructure</c:v>
                </c:pt>
                <c:pt idx="3">
                  <c:v>Mobile App</c:v>
                </c:pt>
                <c:pt idx="4">
                  <c:v>Web Platform</c:v>
                </c:pt>
                <c:pt idx="5">
                  <c:v>(blank)</c:v>
                </c:pt>
              </c:strCache>
            </c:strRef>
          </c:cat>
          <c:val>
            <c:numRef>
              <c:f>Pivots!$D$3:$D$9</c:f>
              <c:numCache>
                <c:formatCode>"£"#,##0</c:formatCode>
                <c:ptCount val="6"/>
                <c:pt idx="0">
                  <c:v>1199776</c:v>
                </c:pt>
                <c:pt idx="1">
                  <c:v>2282442</c:v>
                </c:pt>
                <c:pt idx="2">
                  <c:v>1984796</c:v>
                </c:pt>
                <c:pt idx="3">
                  <c:v>1550250</c:v>
                </c:pt>
                <c:pt idx="4">
                  <c:v>1401642</c:v>
                </c:pt>
                <c:pt idx="5">
                  <c:v>0</c:v>
                </c:pt>
              </c:numCache>
            </c:numRef>
          </c:val>
          <c:extLst>
            <c:ext xmlns:c16="http://schemas.microsoft.com/office/drawing/2014/chart" uri="{C3380CC4-5D6E-409C-BE32-E72D297353CC}">
              <c16:uniqueId val="{00000002-2B89-49AC-9EB4-2F8796818B5C}"/>
            </c:ext>
          </c:extLst>
        </c:ser>
        <c:dLbls>
          <c:showLegendKey val="0"/>
          <c:showVal val="0"/>
          <c:showCatName val="0"/>
          <c:showSerName val="0"/>
          <c:showPercent val="0"/>
          <c:showBubbleSize val="0"/>
        </c:dLbls>
        <c:gapWidth val="219"/>
        <c:overlap val="-27"/>
        <c:axId val="1941976639"/>
        <c:axId val="1941973279"/>
      </c:barChart>
      <c:catAx>
        <c:axId val="194197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973279"/>
        <c:crosses val="autoZero"/>
        <c:auto val="1"/>
        <c:lblAlgn val="ctr"/>
        <c:lblOffset val="100"/>
        <c:noMultiLvlLbl val="0"/>
      </c:catAx>
      <c:valAx>
        <c:axId val="1941973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97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[Initiatives.xlsx]Pivots!PivotTable3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solidFill>
              <a:srgbClr val="FFC000"/>
            </a:solidFill>
          </a:ln>
          <a:effectLst/>
        </c:spPr>
      </c:pivotFmt>
      <c:pivotFmt>
        <c:idx val="3"/>
        <c:spPr>
          <a:solidFill>
            <a:srgbClr val="00B050"/>
          </a:solidFill>
          <a:ln>
            <a:solidFill>
              <a:srgbClr val="FFC000"/>
            </a:solidFill>
          </a:ln>
          <a:effectLst/>
        </c:spPr>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pivotFmt>
    </c:pivotFmts>
    <c:plotArea>
      <c:layout/>
      <c:barChart>
        <c:barDir val="col"/>
        <c:grouping val="clustered"/>
        <c:varyColors val="0"/>
        <c:ser>
          <c:idx val="0"/>
          <c:order val="0"/>
          <c:tx>
            <c:strRef>
              <c:f>Pivots!$B$14</c:f>
              <c:strCache>
                <c:ptCount val="1"/>
                <c:pt idx="0">
                  <c:v>Total</c:v>
                </c:pt>
              </c:strCache>
            </c:strRef>
          </c:tx>
          <c:spPr>
            <a:solidFill>
              <a:srgbClr val="FFFF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2-A5BC-48CC-86CD-E50F23F844FC}"/>
              </c:ext>
            </c:extLst>
          </c:dPt>
          <c:cat>
            <c:strRef>
              <c:f>Pivots!$A$15:$A$17</c:f>
              <c:strCache>
                <c:ptCount val="2"/>
                <c:pt idx="0">
                  <c:v>In Progress</c:v>
                </c:pt>
                <c:pt idx="1">
                  <c:v>Completed</c:v>
                </c:pt>
              </c:strCache>
            </c:strRef>
          </c:cat>
          <c:val>
            <c:numRef>
              <c:f>Pivots!$B$15:$B$17</c:f>
              <c:numCache>
                <c:formatCode>0%</c:formatCode>
                <c:ptCount val="2"/>
                <c:pt idx="0">
                  <c:v>0.24850000000000011</c:v>
                </c:pt>
                <c:pt idx="1">
                  <c:v>0.18</c:v>
                </c:pt>
              </c:numCache>
            </c:numRef>
          </c:val>
          <c:extLst>
            <c:ext xmlns:c16="http://schemas.microsoft.com/office/drawing/2014/chart" uri="{C3380CC4-5D6E-409C-BE32-E72D297353CC}">
              <c16:uniqueId val="{00000000-A5BC-48CC-86CD-E50F23F844FC}"/>
            </c:ext>
          </c:extLst>
        </c:ser>
        <c:dLbls>
          <c:showLegendKey val="0"/>
          <c:showVal val="0"/>
          <c:showCatName val="0"/>
          <c:showSerName val="0"/>
          <c:showPercent val="0"/>
          <c:showBubbleSize val="0"/>
        </c:dLbls>
        <c:gapWidth val="219"/>
        <c:overlap val="-27"/>
        <c:axId val="1789825839"/>
        <c:axId val="1789826799"/>
      </c:barChart>
      <c:catAx>
        <c:axId val="178982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26799"/>
        <c:crosses val="autoZero"/>
        <c:auto val="1"/>
        <c:lblAlgn val="ctr"/>
        <c:lblOffset val="100"/>
        <c:noMultiLvlLbl val="0"/>
      </c:catAx>
      <c:valAx>
        <c:axId val="17898267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2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[Initiatives.xlsx]Pivots!PivotTable4</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Pivots!$B$20</c:f>
              <c:strCache>
                <c:ptCount val="1"/>
                <c:pt idx="0">
                  <c:v>Team Size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17-40E2-B216-BF5C599F9E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17-40E2-B216-BF5C599F9E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17-40E2-B216-BF5C599F9E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17-40E2-B216-BF5C599F9E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17-40E2-B216-BF5C599F9EE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D17-40E2-B216-BF5C599F9EE3}"/>
              </c:ext>
            </c:extLst>
          </c:dPt>
          <c:cat>
            <c:strRef>
              <c:f>Pivots!$A$21:$A$27</c:f>
              <c:strCache>
                <c:ptCount val="6"/>
                <c:pt idx="0">
                  <c:v>Team Alpha</c:v>
                </c:pt>
                <c:pt idx="1">
                  <c:v>Team Beta</c:v>
                </c:pt>
                <c:pt idx="2">
                  <c:v>Team Delta</c:v>
                </c:pt>
                <c:pt idx="3">
                  <c:v>Team Epsilon</c:v>
                </c:pt>
                <c:pt idx="4">
                  <c:v>Team Gamma</c:v>
                </c:pt>
                <c:pt idx="5">
                  <c:v>(blank)</c:v>
                </c:pt>
              </c:strCache>
            </c:strRef>
          </c:cat>
          <c:val>
            <c:numRef>
              <c:f>Pivots!$B$21:$B$27</c:f>
              <c:numCache>
                <c:formatCode>0</c:formatCode>
                <c:ptCount val="6"/>
                <c:pt idx="0">
                  <c:v>188</c:v>
                </c:pt>
                <c:pt idx="1">
                  <c:v>67</c:v>
                </c:pt>
                <c:pt idx="2">
                  <c:v>143</c:v>
                </c:pt>
                <c:pt idx="3">
                  <c:v>144</c:v>
                </c:pt>
                <c:pt idx="4">
                  <c:v>191</c:v>
                </c:pt>
              </c:numCache>
            </c:numRef>
          </c:val>
          <c:extLst>
            <c:ext xmlns:c16="http://schemas.microsoft.com/office/drawing/2014/chart" uri="{C3380CC4-5D6E-409C-BE32-E72D297353CC}">
              <c16:uniqueId val="{0000000C-0D17-40E2-B216-BF5C599F9EE3}"/>
            </c:ext>
          </c:extLst>
        </c:ser>
        <c:ser>
          <c:idx val="1"/>
          <c:order val="1"/>
          <c:tx>
            <c:strRef>
              <c:f>Pivots!$C$20</c:f>
              <c:strCache>
                <c:ptCount val="1"/>
                <c:pt idx="0">
                  <c:v>Avg Resource Utilization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D17-40E2-B216-BF5C599F9E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0D17-40E2-B216-BF5C599F9E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0D17-40E2-B216-BF5C599F9E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0D17-40E2-B216-BF5C599F9E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0D17-40E2-B216-BF5C599F9EE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0D17-40E2-B216-BF5C599F9EE3}"/>
              </c:ext>
            </c:extLst>
          </c:dPt>
          <c:cat>
            <c:strRef>
              <c:f>Pivots!$A$21:$A$27</c:f>
              <c:strCache>
                <c:ptCount val="6"/>
                <c:pt idx="0">
                  <c:v>Team Alpha</c:v>
                </c:pt>
                <c:pt idx="1">
                  <c:v>Team Beta</c:v>
                </c:pt>
                <c:pt idx="2">
                  <c:v>Team Delta</c:v>
                </c:pt>
                <c:pt idx="3">
                  <c:v>Team Epsilon</c:v>
                </c:pt>
                <c:pt idx="4">
                  <c:v>Team Gamma</c:v>
                </c:pt>
                <c:pt idx="5">
                  <c:v>(blank)</c:v>
                </c:pt>
              </c:strCache>
            </c:strRef>
          </c:cat>
          <c:val>
            <c:numRef>
              <c:f>Pivots!$C$21:$C$27</c:f>
              <c:numCache>
                <c:formatCode>0</c:formatCode>
                <c:ptCount val="6"/>
                <c:pt idx="0">
                  <c:v>80.80952380952381</c:v>
                </c:pt>
                <c:pt idx="1">
                  <c:v>76.888888888888886</c:v>
                </c:pt>
                <c:pt idx="2">
                  <c:v>83.13333333333334</c:v>
                </c:pt>
                <c:pt idx="3">
                  <c:v>85.466666666666669</c:v>
                </c:pt>
                <c:pt idx="4">
                  <c:v>79.2</c:v>
                </c:pt>
              </c:numCache>
            </c:numRef>
          </c:val>
          <c:extLst>
            <c:ext xmlns:c16="http://schemas.microsoft.com/office/drawing/2014/chart" uri="{C3380CC4-5D6E-409C-BE32-E72D297353CC}">
              <c16:uniqueId val="{00000019-0D17-40E2-B216-BF5C599F9E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[Initiatives.xlsx]Pivots!PivotTable5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Pivots!$B$30:$B$32</c:f>
              <c:strCache>
                <c:ptCount val="1"/>
                <c:pt idx="0">
                  <c:v>Completed - Target Date</c:v>
                </c:pt>
              </c:strCache>
            </c:strRef>
          </c:tx>
          <c:spPr>
            <a:solidFill>
              <a:schemeClr val="accent1"/>
            </a:solidFill>
            <a:ln>
              <a:noFill/>
            </a:ln>
            <a:effectLst/>
          </c:spPr>
          <c:invertIfNegative val="0"/>
          <c:cat>
            <c:strRef>
              <c:f>Pivots!$A$33:$A$112</c:f>
              <c:strCache>
                <c:ptCount val="80"/>
                <c:pt idx="0">
                  <c:v>Analytics Suite - Feature 1</c:v>
                </c:pt>
                <c:pt idx="1">
                  <c:v>Analytics Suite - Feature 13</c:v>
                </c:pt>
                <c:pt idx="2">
                  <c:v>Analytics Suite - Feature 27</c:v>
                </c:pt>
                <c:pt idx="3">
                  <c:v>Analytics Suite - Feature 28</c:v>
                </c:pt>
                <c:pt idx="4">
                  <c:v>Analytics Suite - Feature 3</c:v>
                </c:pt>
                <c:pt idx="5">
                  <c:v>Analytics Suite - Feature 32</c:v>
                </c:pt>
                <c:pt idx="6">
                  <c:v>Analytics Suite - Feature 36</c:v>
                </c:pt>
                <c:pt idx="7">
                  <c:v>Analytics Suite - Feature 39</c:v>
                </c:pt>
                <c:pt idx="8">
                  <c:v>Analytics Suite - Feature 43</c:v>
                </c:pt>
                <c:pt idx="9">
                  <c:v>Analytics Suite - Feature 50</c:v>
                </c:pt>
                <c:pt idx="10">
                  <c:v>Analytics Suite - Feature 53</c:v>
                </c:pt>
                <c:pt idx="11">
                  <c:v>Analytics Suite - Feature 54</c:v>
                </c:pt>
                <c:pt idx="12">
                  <c:v>Analytics Suite - Feature 57</c:v>
                </c:pt>
                <c:pt idx="13">
                  <c:v>Analytics Suite - Feature 58</c:v>
                </c:pt>
                <c:pt idx="14">
                  <c:v>Analytics Suite - Feature 63</c:v>
                </c:pt>
                <c:pt idx="15">
                  <c:v>Analytics Suite - Feature 67</c:v>
                </c:pt>
                <c:pt idx="16">
                  <c:v>Analytics Suite - Feature 70</c:v>
                </c:pt>
                <c:pt idx="17">
                  <c:v>Analytics Suite - Feature 72</c:v>
                </c:pt>
                <c:pt idx="18">
                  <c:v>Analytics Suite - Feature 74</c:v>
                </c:pt>
                <c:pt idx="19">
                  <c:v>Analytics Suite - Feature 78</c:v>
                </c:pt>
                <c:pt idx="20">
                  <c:v>Analytics Suite - Feature 80</c:v>
                </c:pt>
                <c:pt idx="21">
                  <c:v>Analytics Suite - Feature 9</c:v>
                </c:pt>
                <c:pt idx="22">
                  <c:v>API - Feature 10</c:v>
                </c:pt>
                <c:pt idx="23">
                  <c:v>API - Feature 14</c:v>
                </c:pt>
                <c:pt idx="24">
                  <c:v>API - Feature 16</c:v>
                </c:pt>
                <c:pt idx="25">
                  <c:v>API - Feature 19</c:v>
                </c:pt>
                <c:pt idx="26">
                  <c:v>API - Feature 21</c:v>
                </c:pt>
                <c:pt idx="27">
                  <c:v>API - Feature 22</c:v>
                </c:pt>
                <c:pt idx="28">
                  <c:v>API - Feature 31</c:v>
                </c:pt>
                <c:pt idx="29">
                  <c:v>API - Feature 38</c:v>
                </c:pt>
                <c:pt idx="30">
                  <c:v>API - Feature 44</c:v>
                </c:pt>
                <c:pt idx="31">
                  <c:v>API - Feature 49</c:v>
                </c:pt>
                <c:pt idx="32">
                  <c:v>API - Feature 56</c:v>
                </c:pt>
                <c:pt idx="33">
                  <c:v>API - Feature 61</c:v>
                </c:pt>
                <c:pt idx="34">
                  <c:v>API - Feature 62</c:v>
                </c:pt>
                <c:pt idx="35">
                  <c:v>API - Feature 65</c:v>
                </c:pt>
                <c:pt idx="36">
                  <c:v>API - Feature 68</c:v>
                </c:pt>
                <c:pt idx="37">
                  <c:v>API - Feature 75</c:v>
                </c:pt>
                <c:pt idx="38">
                  <c:v>Data Infrastructure - Feature 20</c:v>
                </c:pt>
                <c:pt idx="39">
                  <c:v>Data Infrastructure - Feature 23</c:v>
                </c:pt>
                <c:pt idx="40">
                  <c:v>Data Infrastructure - Feature 26</c:v>
                </c:pt>
                <c:pt idx="41">
                  <c:v>Data Infrastructure - Feature 29</c:v>
                </c:pt>
                <c:pt idx="42">
                  <c:v>Data Infrastructure - Feature 30</c:v>
                </c:pt>
                <c:pt idx="43">
                  <c:v>Data Infrastructure - Feature 35</c:v>
                </c:pt>
                <c:pt idx="44">
                  <c:v>Data Infrastructure - Feature 40</c:v>
                </c:pt>
                <c:pt idx="45">
                  <c:v>Data Infrastructure - Feature 42</c:v>
                </c:pt>
                <c:pt idx="46">
                  <c:v>Data Infrastructure - Feature 45</c:v>
                </c:pt>
                <c:pt idx="47">
                  <c:v>Data Infrastructure - Feature 47</c:v>
                </c:pt>
                <c:pt idx="48">
                  <c:v>Data Infrastructure - Feature 5</c:v>
                </c:pt>
                <c:pt idx="49">
                  <c:v>Data Infrastructure - Feature 64</c:v>
                </c:pt>
                <c:pt idx="50">
                  <c:v>Data Infrastructure - Feature 66</c:v>
                </c:pt>
                <c:pt idx="51">
                  <c:v>Data Infrastructure - Feature 7</c:v>
                </c:pt>
                <c:pt idx="52">
                  <c:v>Data Infrastructure - Feature 79</c:v>
                </c:pt>
                <c:pt idx="53">
                  <c:v>Mobile App - Feature 18</c:v>
                </c:pt>
                <c:pt idx="54">
                  <c:v>Mobile App - Feature 2</c:v>
                </c:pt>
                <c:pt idx="55">
                  <c:v>Mobile App - Feature 24</c:v>
                </c:pt>
                <c:pt idx="56">
                  <c:v>Mobile App - Feature 25</c:v>
                </c:pt>
                <c:pt idx="57">
                  <c:v>Mobile App - Feature 33</c:v>
                </c:pt>
                <c:pt idx="58">
                  <c:v>Mobile App - Feature 37</c:v>
                </c:pt>
                <c:pt idx="59">
                  <c:v>Mobile App - Feature 4</c:v>
                </c:pt>
                <c:pt idx="60">
                  <c:v>Mobile App - Feature 51</c:v>
                </c:pt>
                <c:pt idx="61">
                  <c:v>Mobile App - Feature 52</c:v>
                </c:pt>
                <c:pt idx="62">
                  <c:v>Mobile App - Feature 77</c:v>
                </c:pt>
                <c:pt idx="63">
                  <c:v>Web Platform - Feature 11</c:v>
                </c:pt>
                <c:pt idx="64">
                  <c:v>Web Platform - Feature 12</c:v>
                </c:pt>
                <c:pt idx="65">
                  <c:v>Web Platform - Feature 15</c:v>
                </c:pt>
                <c:pt idx="66">
                  <c:v>Web Platform - Feature 17</c:v>
                </c:pt>
                <c:pt idx="67">
                  <c:v>Web Platform - Feature 34</c:v>
                </c:pt>
                <c:pt idx="68">
                  <c:v>Web Platform - Feature 41</c:v>
                </c:pt>
                <c:pt idx="69">
                  <c:v>Web Platform - Feature 46</c:v>
                </c:pt>
                <c:pt idx="70">
                  <c:v>Web Platform - Feature 48</c:v>
                </c:pt>
                <c:pt idx="71">
                  <c:v>Web Platform - Feature 55</c:v>
                </c:pt>
                <c:pt idx="72">
                  <c:v>Web Platform - Feature 59</c:v>
                </c:pt>
                <c:pt idx="73">
                  <c:v>Web Platform - Feature 6</c:v>
                </c:pt>
                <c:pt idx="74">
                  <c:v>Web Platform - Feature 60</c:v>
                </c:pt>
                <c:pt idx="75">
                  <c:v>Web Platform - Feature 69</c:v>
                </c:pt>
                <c:pt idx="76">
                  <c:v>Web Platform - Feature 71</c:v>
                </c:pt>
                <c:pt idx="77">
                  <c:v>Web Platform - Feature 73</c:v>
                </c:pt>
                <c:pt idx="78">
                  <c:v>Web Platform - Feature 76</c:v>
                </c:pt>
                <c:pt idx="79">
                  <c:v>Web Platform - Feature 8</c:v>
                </c:pt>
              </c:strCache>
            </c:strRef>
          </c:cat>
          <c:val>
            <c:numRef>
              <c:f>Pivots!$B$33:$B$112</c:f>
              <c:numCache>
                <c:formatCode>m/d/yyyy</c:formatCode>
                <c:ptCount val="80"/>
                <c:pt idx="5">
                  <c:v>45237</c:v>
                </c:pt>
                <c:pt idx="6">
                  <c:v>45366</c:v>
                </c:pt>
                <c:pt idx="17">
                  <c:v>45317</c:v>
                </c:pt>
                <c:pt idx="21">
                  <c:v>45175</c:v>
                </c:pt>
                <c:pt idx="26">
                  <c:v>45164</c:v>
                </c:pt>
                <c:pt idx="28">
                  <c:v>45117</c:v>
                </c:pt>
                <c:pt idx="30">
                  <c:v>45350</c:v>
                </c:pt>
                <c:pt idx="31">
                  <c:v>45222</c:v>
                </c:pt>
                <c:pt idx="32">
                  <c:v>45096</c:v>
                </c:pt>
                <c:pt idx="33">
                  <c:v>45337</c:v>
                </c:pt>
                <c:pt idx="36">
                  <c:v>45302</c:v>
                </c:pt>
                <c:pt idx="39">
                  <c:v>44968</c:v>
                </c:pt>
                <c:pt idx="43">
                  <c:v>45276</c:v>
                </c:pt>
                <c:pt idx="50">
                  <c:v>45258</c:v>
                </c:pt>
                <c:pt idx="51">
                  <c:v>45260</c:v>
                </c:pt>
                <c:pt idx="53">
                  <c:v>45289</c:v>
                </c:pt>
                <c:pt idx="58">
                  <c:v>45055</c:v>
                </c:pt>
                <c:pt idx="61">
                  <c:v>45314</c:v>
                </c:pt>
              </c:numCache>
            </c:numRef>
          </c:val>
          <c:extLst>
            <c:ext xmlns:c16="http://schemas.microsoft.com/office/drawing/2014/chart" uri="{C3380CC4-5D6E-409C-BE32-E72D297353CC}">
              <c16:uniqueId val="{00000000-B429-49DE-BA3B-BFBCB12B14FF}"/>
            </c:ext>
          </c:extLst>
        </c:ser>
        <c:ser>
          <c:idx val="1"/>
          <c:order val="1"/>
          <c:tx>
            <c:strRef>
              <c:f>Pivots!$C$30:$C$32</c:f>
              <c:strCache>
                <c:ptCount val="1"/>
                <c:pt idx="0">
                  <c:v>Completed - Actual Date</c:v>
                </c:pt>
              </c:strCache>
            </c:strRef>
          </c:tx>
          <c:spPr>
            <a:solidFill>
              <a:schemeClr val="accent2"/>
            </a:solidFill>
            <a:ln>
              <a:noFill/>
            </a:ln>
            <a:effectLst/>
          </c:spPr>
          <c:invertIfNegative val="0"/>
          <c:cat>
            <c:strRef>
              <c:f>Pivots!$A$33:$A$112</c:f>
              <c:strCache>
                <c:ptCount val="80"/>
                <c:pt idx="0">
                  <c:v>Analytics Suite - Feature 1</c:v>
                </c:pt>
                <c:pt idx="1">
                  <c:v>Analytics Suite - Feature 13</c:v>
                </c:pt>
                <c:pt idx="2">
                  <c:v>Analytics Suite - Feature 27</c:v>
                </c:pt>
                <c:pt idx="3">
                  <c:v>Analytics Suite - Feature 28</c:v>
                </c:pt>
                <c:pt idx="4">
                  <c:v>Analytics Suite - Feature 3</c:v>
                </c:pt>
                <c:pt idx="5">
                  <c:v>Analytics Suite - Feature 32</c:v>
                </c:pt>
                <c:pt idx="6">
                  <c:v>Analytics Suite - Feature 36</c:v>
                </c:pt>
                <c:pt idx="7">
                  <c:v>Analytics Suite - Feature 39</c:v>
                </c:pt>
                <c:pt idx="8">
                  <c:v>Analytics Suite - Feature 43</c:v>
                </c:pt>
                <c:pt idx="9">
                  <c:v>Analytics Suite - Feature 50</c:v>
                </c:pt>
                <c:pt idx="10">
                  <c:v>Analytics Suite - Feature 53</c:v>
                </c:pt>
                <c:pt idx="11">
                  <c:v>Analytics Suite - Feature 54</c:v>
                </c:pt>
                <c:pt idx="12">
                  <c:v>Analytics Suite - Feature 57</c:v>
                </c:pt>
                <c:pt idx="13">
                  <c:v>Analytics Suite - Feature 58</c:v>
                </c:pt>
                <c:pt idx="14">
                  <c:v>Analytics Suite - Feature 63</c:v>
                </c:pt>
                <c:pt idx="15">
                  <c:v>Analytics Suite - Feature 67</c:v>
                </c:pt>
                <c:pt idx="16">
                  <c:v>Analytics Suite - Feature 70</c:v>
                </c:pt>
                <c:pt idx="17">
                  <c:v>Analytics Suite - Feature 72</c:v>
                </c:pt>
                <c:pt idx="18">
                  <c:v>Analytics Suite - Feature 74</c:v>
                </c:pt>
                <c:pt idx="19">
                  <c:v>Analytics Suite - Feature 78</c:v>
                </c:pt>
                <c:pt idx="20">
                  <c:v>Analytics Suite - Feature 80</c:v>
                </c:pt>
                <c:pt idx="21">
                  <c:v>Analytics Suite - Feature 9</c:v>
                </c:pt>
                <c:pt idx="22">
                  <c:v>API - Feature 10</c:v>
                </c:pt>
                <c:pt idx="23">
                  <c:v>API - Feature 14</c:v>
                </c:pt>
                <c:pt idx="24">
                  <c:v>API - Feature 16</c:v>
                </c:pt>
                <c:pt idx="25">
                  <c:v>API - Feature 19</c:v>
                </c:pt>
                <c:pt idx="26">
                  <c:v>API - Feature 21</c:v>
                </c:pt>
                <c:pt idx="27">
                  <c:v>API - Feature 22</c:v>
                </c:pt>
                <c:pt idx="28">
                  <c:v>API - Feature 31</c:v>
                </c:pt>
                <c:pt idx="29">
                  <c:v>API - Feature 38</c:v>
                </c:pt>
                <c:pt idx="30">
                  <c:v>API - Feature 44</c:v>
                </c:pt>
                <c:pt idx="31">
                  <c:v>API - Feature 49</c:v>
                </c:pt>
                <c:pt idx="32">
                  <c:v>API - Feature 56</c:v>
                </c:pt>
                <c:pt idx="33">
                  <c:v>API - Feature 61</c:v>
                </c:pt>
                <c:pt idx="34">
                  <c:v>API - Feature 62</c:v>
                </c:pt>
                <c:pt idx="35">
                  <c:v>API - Feature 65</c:v>
                </c:pt>
                <c:pt idx="36">
                  <c:v>API - Feature 68</c:v>
                </c:pt>
                <c:pt idx="37">
                  <c:v>API - Feature 75</c:v>
                </c:pt>
                <c:pt idx="38">
                  <c:v>Data Infrastructure - Feature 20</c:v>
                </c:pt>
                <c:pt idx="39">
                  <c:v>Data Infrastructure - Feature 23</c:v>
                </c:pt>
                <c:pt idx="40">
                  <c:v>Data Infrastructure - Feature 26</c:v>
                </c:pt>
                <c:pt idx="41">
                  <c:v>Data Infrastructure - Feature 29</c:v>
                </c:pt>
                <c:pt idx="42">
                  <c:v>Data Infrastructure - Feature 30</c:v>
                </c:pt>
                <c:pt idx="43">
                  <c:v>Data Infrastructure - Feature 35</c:v>
                </c:pt>
                <c:pt idx="44">
                  <c:v>Data Infrastructure - Feature 40</c:v>
                </c:pt>
                <c:pt idx="45">
                  <c:v>Data Infrastructure - Feature 42</c:v>
                </c:pt>
                <c:pt idx="46">
                  <c:v>Data Infrastructure - Feature 45</c:v>
                </c:pt>
                <c:pt idx="47">
                  <c:v>Data Infrastructure - Feature 47</c:v>
                </c:pt>
                <c:pt idx="48">
                  <c:v>Data Infrastructure - Feature 5</c:v>
                </c:pt>
                <c:pt idx="49">
                  <c:v>Data Infrastructure - Feature 64</c:v>
                </c:pt>
                <c:pt idx="50">
                  <c:v>Data Infrastructure - Feature 66</c:v>
                </c:pt>
                <c:pt idx="51">
                  <c:v>Data Infrastructure - Feature 7</c:v>
                </c:pt>
                <c:pt idx="52">
                  <c:v>Data Infrastructure - Feature 79</c:v>
                </c:pt>
                <c:pt idx="53">
                  <c:v>Mobile App - Feature 18</c:v>
                </c:pt>
                <c:pt idx="54">
                  <c:v>Mobile App - Feature 2</c:v>
                </c:pt>
                <c:pt idx="55">
                  <c:v>Mobile App - Feature 24</c:v>
                </c:pt>
                <c:pt idx="56">
                  <c:v>Mobile App - Feature 25</c:v>
                </c:pt>
                <c:pt idx="57">
                  <c:v>Mobile App - Feature 33</c:v>
                </c:pt>
                <c:pt idx="58">
                  <c:v>Mobile App - Feature 37</c:v>
                </c:pt>
                <c:pt idx="59">
                  <c:v>Mobile App - Feature 4</c:v>
                </c:pt>
                <c:pt idx="60">
                  <c:v>Mobile App - Feature 51</c:v>
                </c:pt>
                <c:pt idx="61">
                  <c:v>Mobile App - Feature 52</c:v>
                </c:pt>
                <c:pt idx="62">
                  <c:v>Mobile App - Feature 77</c:v>
                </c:pt>
                <c:pt idx="63">
                  <c:v>Web Platform - Feature 11</c:v>
                </c:pt>
                <c:pt idx="64">
                  <c:v>Web Platform - Feature 12</c:v>
                </c:pt>
                <c:pt idx="65">
                  <c:v>Web Platform - Feature 15</c:v>
                </c:pt>
                <c:pt idx="66">
                  <c:v>Web Platform - Feature 17</c:v>
                </c:pt>
                <c:pt idx="67">
                  <c:v>Web Platform - Feature 34</c:v>
                </c:pt>
                <c:pt idx="68">
                  <c:v>Web Platform - Feature 41</c:v>
                </c:pt>
                <c:pt idx="69">
                  <c:v>Web Platform - Feature 46</c:v>
                </c:pt>
                <c:pt idx="70">
                  <c:v>Web Platform - Feature 48</c:v>
                </c:pt>
                <c:pt idx="71">
                  <c:v>Web Platform - Feature 55</c:v>
                </c:pt>
                <c:pt idx="72">
                  <c:v>Web Platform - Feature 59</c:v>
                </c:pt>
                <c:pt idx="73">
                  <c:v>Web Platform - Feature 6</c:v>
                </c:pt>
                <c:pt idx="74">
                  <c:v>Web Platform - Feature 60</c:v>
                </c:pt>
                <c:pt idx="75">
                  <c:v>Web Platform - Feature 69</c:v>
                </c:pt>
                <c:pt idx="76">
                  <c:v>Web Platform - Feature 71</c:v>
                </c:pt>
                <c:pt idx="77">
                  <c:v>Web Platform - Feature 73</c:v>
                </c:pt>
                <c:pt idx="78">
                  <c:v>Web Platform - Feature 76</c:v>
                </c:pt>
                <c:pt idx="79">
                  <c:v>Web Platform - Feature 8</c:v>
                </c:pt>
              </c:strCache>
            </c:strRef>
          </c:cat>
          <c:val>
            <c:numRef>
              <c:f>Pivots!$C$33:$C$112</c:f>
              <c:numCache>
                <c:formatCode>m/d/yyyy</c:formatCode>
                <c:ptCount val="80"/>
                <c:pt idx="5">
                  <c:v>45248</c:v>
                </c:pt>
                <c:pt idx="6">
                  <c:v>45410</c:v>
                </c:pt>
                <c:pt idx="17">
                  <c:v>45315</c:v>
                </c:pt>
                <c:pt idx="21">
                  <c:v>45177</c:v>
                </c:pt>
                <c:pt idx="26">
                  <c:v>45200</c:v>
                </c:pt>
                <c:pt idx="28">
                  <c:v>45115</c:v>
                </c:pt>
                <c:pt idx="30">
                  <c:v>45350</c:v>
                </c:pt>
                <c:pt idx="31">
                  <c:v>45226</c:v>
                </c:pt>
                <c:pt idx="32">
                  <c:v>45108</c:v>
                </c:pt>
                <c:pt idx="33">
                  <c:v>45385</c:v>
                </c:pt>
                <c:pt idx="36">
                  <c:v>45305</c:v>
                </c:pt>
                <c:pt idx="39">
                  <c:v>44968</c:v>
                </c:pt>
                <c:pt idx="43">
                  <c:v>45322</c:v>
                </c:pt>
                <c:pt idx="50">
                  <c:v>45263</c:v>
                </c:pt>
                <c:pt idx="51">
                  <c:v>45263</c:v>
                </c:pt>
                <c:pt idx="53">
                  <c:v>45315</c:v>
                </c:pt>
                <c:pt idx="58">
                  <c:v>45050</c:v>
                </c:pt>
                <c:pt idx="61">
                  <c:v>45311</c:v>
                </c:pt>
              </c:numCache>
            </c:numRef>
          </c:val>
          <c:extLst>
            <c:ext xmlns:c16="http://schemas.microsoft.com/office/drawing/2014/chart" uri="{C3380CC4-5D6E-409C-BE32-E72D297353CC}">
              <c16:uniqueId val="{00000001-B429-49DE-BA3B-BFBCB12B14FF}"/>
            </c:ext>
          </c:extLst>
        </c:ser>
        <c:ser>
          <c:idx val="2"/>
          <c:order val="2"/>
          <c:tx>
            <c:strRef>
              <c:f>Pivots!$D$30:$D$32</c:f>
              <c:strCache>
                <c:ptCount val="1"/>
                <c:pt idx="0">
                  <c:v>In Progress - Target Date</c:v>
                </c:pt>
              </c:strCache>
            </c:strRef>
          </c:tx>
          <c:spPr>
            <a:solidFill>
              <a:schemeClr val="accent3"/>
            </a:solidFill>
            <a:ln>
              <a:noFill/>
            </a:ln>
            <a:effectLst/>
          </c:spPr>
          <c:invertIfNegative val="0"/>
          <c:cat>
            <c:strRef>
              <c:f>Pivots!$A$33:$A$112</c:f>
              <c:strCache>
                <c:ptCount val="80"/>
                <c:pt idx="0">
                  <c:v>Analytics Suite - Feature 1</c:v>
                </c:pt>
                <c:pt idx="1">
                  <c:v>Analytics Suite - Feature 13</c:v>
                </c:pt>
                <c:pt idx="2">
                  <c:v>Analytics Suite - Feature 27</c:v>
                </c:pt>
                <c:pt idx="3">
                  <c:v>Analytics Suite - Feature 28</c:v>
                </c:pt>
                <c:pt idx="4">
                  <c:v>Analytics Suite - Feature 3</c:v>
                </c:pt>
                <c:pt idx="5">
                  <c:v>Analytics Suite - Feature 32</c:v>
                </c:pt>
                <c:pt idx="6">
                  <c:v>Analytics Suite - Feature 36</c:v>
                </c:pt>
                <c:pt idx="7">
                  <c:v>Analytics Suite - Feature 39</c:v>
                </c:pt>
                <c:pt idx="8">
                  <c:v>Analytics Suite - Feature 43</c:v>
                </c:pt>
                <c:pt idx="9">
                  <c:v>Analytics Suite - Feature 50</c:v>
                </c:pt>
                <c:pt idx="10">
                  <c:v>Analytics Suite - Feature 53</c:v>
                </c:pt>
                <c:pt idx="11">
                  <c:v>Analytics Suite - Feature 54</c:v>
                </c:pt>
                <c:pt idx="12">
                  <c:v>Analytics Suite - Feature 57</c:v>
                </c:pt>
                <c:pt idx="13">
                  <c:v>Analytics Suite - Feature 58</c:v>
                </c:pt>
                <c:pt idx="14">
                  <c:v>Analytics Suite - Feature 63</c:v>
                </c:pt>
                <c:pt idx="15">
                  <c:v>Analytics Suite - Feature 67</c:v>
                </c:pt>
                <c:pt idx="16">
                  <c:v>Analytics Suite - Feature 70</c:v>
                </c:pt>
                <c:pt idx="17">
                  <c:v>Analytics Suite - Feature 72</c:v>
                </c:pt>
                <c:pt idx="18">
                  <c:v>Analytics Suite - Feature 74</c:v>
                </c:pt>
                <c:pt idx="19">
                  <c:v>Analytics Suite - Feature 78</c:v>
                </c:pt>
                <c:pt idx="20">
                  <c:v>Analytics Suite - Feature 80</c:v>
                </c:pt>
                <c:pt idx="21">
                  <c:v>Analytics Suite - Feature 9</c:v>
                </c:pt>
                <c:pt idx="22">
                  <c:v>API - Feature 10</c:v>
                </c:pt>
                <c:pt idx="23">
                  <c:v>API - Feature 14</c:v>
                </c:pt>
                <c:pt idx="24">
                  <c:v>API - Feature 16</c:v>
                </c:pt>
                <c:pt idx="25">
                  <c:v>API - Feature 19</c:v>
                </c:pt>
                <c:pt idx="26">
                  <c:v>API - Feature 21</c:v>
                </c:pt>
                <c:pt idx="27">
                  <c:v>API - Feature 22</c:v>
                </c:pt>
                <c:pt idx="28">
                  <c:v>API - Feature 31</c:v>
                </c:pt>
                <c:pt idx="29">
                  <c:v>API - Feature 38</c:v>
                </c:pt>
                <c:pt idx="30">
                  <c:v>API - Feature 44</c:v>
                </c:pt>
                <c:pt idx="31">
                  <c:v>API - Feature 49</c:v>
                </c:pt>
                <c:pt idx="32">
                  <c:v>API - Feature 56</c:v>
                </c:pt>
                <c:pt idx="33">
                  <c:v>API - Feature 61</c:v>
                </c:pt>
                <c:pt idx="34">
                  <c:v>API - Feature 62</c:v>
                </c:pt>
                <c:pt idx="35">
                  <c:v>API - Feature 65</c:v>
                </c:pt>
                <c:pt idx="36">
                  <c:v>API - Feature 68</c:v>
                </c:pt>
                <c:pt idx="37">
                  <c:v>API - Feature 75</c:v>
                </c:pt>
                <c:pt idx="38">
                  <c:v>Data Infrastructure - Feature 20</c:v>
                </c:pt>
                <c:pt idx="39">
                  <c:v>Data Infrastructure - Feature 23</c:v>
                </c:pt>
                <c:pt idx="40">
                  <c:v>Data Infrastructure - Feature 26</c:v>
                </c:pt>
                <c:pt idx="41">
                  <c:v>Data Infrastructure - Feature 29</c:v>
                </c:pt>
                <c:pt idx="42">
                  <c:v>Data Infrastructure - Feature 30</c:v>
                </c:pt>
                <c:pt idx="43">
                  <c:v>Data Infrastructure - Feature 35</c:v>
                </c:pt>
                <c:pt idx="44">
                  <c:v>Data Infrastructure - Feature 40</c:v>
                </c:pt>
                <c:pt idx="45">
                  <c:v>Data Infrastructure - Feature 42</c:v>
                </c:pt>
                <c:pt idx="46">
                  <c:v>Data Infrastructure - Feature 45</c:v>
                </c:pt>
                <c:pt idx="47">
                  <c:v>Data Infrastructure - Feature 47</c:v>
                </c:pt>
                <c:pt idx="48">
                  <c:v>Data Infrastructure - Feature 5</c:v>
                </c:pt>
                <c:pt idx="49">
                  <c:v>Data Infrastructure - Feature 64</c:v>
                </c:pt>
                <c:pt idx="50">
                  <c:v>Data Infrastructure - Feature 66</c:v>
                </c:pt>
                <c:pt idx="51">
                  <c:v>Data Infrastructure - Feature 7</c:v>
                </c:pt>
                <c:pt idx="52">
                  <c:v>Data Infrastructure - Feature 79</c:v>
                </c:pt>
                <c:pt idx="53">
                  <c:v>Mobile App - Feature 18</c:v>
                </c:pt>
                <c:pt idx="54">
                  <c:v>Mobile App - Feature 2</c:v>
                </c:pt>
                <c:pt idx="55">
                  <c:v>Mobile App - Feature 24</c:v>
                </c:pt>
                <c:pt idx="56">
                  <c:v>Mobile App - Feature 25</c:v>
                </c:pt>
                <c:pt idx="57">
                  <c:v>Mobile App - Feature 33</c:v>
                </c:pt>
                <c:pt idx="58">
                  <c:v>Mobile App - Feature 37</c:v>
                </c:pt>
                <c:pt idx="59">
                  <c:v>Mobile App - Feature 4</c:v>
                </c:pt>
                <c:pt idx="60">
                  <c:v>Mobile App - Feature 51</c:v>
                </c:pt>
                <c:pt idx="61">
                  <c:v>Mobile App - Feature 52</c:v>
                </c:pt>
                <c:pt idx="62">
                  <c:v>Mobile App - Feature 77</c:v>
                </c:pt>
                <c:pt idx="63">
                  <c:v>Web Platform - Feature 11</c:v>
                </c:pt>
                <c:pt idx="64">
                  <c:v>Web Platform - Feature 12</c:v>
                </c:pt>
                <c:pt idx="65">
                  <c:v>Web Platform - Feature 15</c:v>
                </c:pt>
                <c:pt idx="66">
                  <c:v>Web Platform - Feature 17</c:v>
                </c:pt>
                <c:pt idx="67">
                  <c:v>Web Platform - Feature 34</c:v>
                </c:pt>
                <c:pt idx="68">
                  <c:v>Web Platform - Feature 41</c:v>
                </c:pt>
                <c:pt idx="69">
                  <c:v>Web Platform - Feature 46</c:v>
                </c:pt>
                <c:pt idx="70">
                  <c:v>Web Platform - Feature 48</c:v>
                </c:pt>
                <c:pt idx="71">
                  <c:v>Web Platform - Feature 55</c:v>
                </c:pt>
                <c:pt idx="72">
                  <c:v>Web Platform - Feature 59</c:v>
                </c:pt>
                <c:pt idx="73">
                  <c:v>Web Platform - Feature 6</c:v>
                </c:pt>
                <c:pt idx="74">
                  <c:v>Web Platform - Feature 60</c:v>
                </c:pt>
                <c:pt idx="75">
                  <c:v>Web Platform - Feature 69</c:v>
                </c:pt>
                <c:pt idx="76">
                  <c:v>Web Platform - Feature 71</c:v>
                </c:pt>
                <c:pt idx="77">
                  <c:v>Web Platform - Feature 73</c:v>
                </c:pt>
                <c:pt idx="78">
                  <c:v>Web Platform - Feature 76</c:v>
                </c:pt>
                <c:pt idx="79">
                  <c:v>Web Platform - Feature 8</c:v>
                </c:pt>
              </c:strCache>
            </c:strRef>
          </c:cat>
          <c:val>
            <c:numRef>
              <c:f>Pivots!$D$33:$D$112</c:f>
              <c:numCache>
                <c:formatCode>m/d/yyyy</c:formatCode>
                <c:ptCount val="80"/>
                <c:pt idx="0">
                  <c:v>45100</c:v>
                </c:pt>
                <c:pt idx="1">
                  <c:v>45010</c:v>
                </c:pt>
                <c:pt idx="2">
                  <c:v>45153</c:v>
                </c:pt>
                <c:pt idx="3">
                  <c:v>45010</c:v>
                </c:pt>
                <c:pt idx="4">
                  <c:v>45238</c:v>
                </c:pt>
                <c:pt idx="7">
                  <c:v>45326</c:v>
                </c:pt>
                <c:pt idx="8">
                  <c:v>45224</c:v>
                </c:pt>
                <c:pt idx="9">
                  <c:v>45350</c:v>
                </c:pt>
                <c:pt idx="10">
                  <c:v>45152</c:v>
                </c:pt>
                <c:pt idx="11">
                  <c:v>45261</c:v>
                </c:pt>
                <c:pt idx="12">
                  <c:v>45234</c:v>
                </c:pt>
                <c:pt idx="13">
                  <c:v>45329</c:v>
                </c:pt>
                <c:pt idx="14">
                  <c:v>45368</c:v>
                </c:pt>
                <c:pt idx="15">
                  <c:v>45241</c:v>
                </c:pt>
                <c:pt idx="16">
                  <c:v>45152</c:v>
                </c:pt>
                <c:pt idx="18">
                  <c:v>45219</c:v>
                </c:pt>
                <c:pt idx="19">
                  <c:v>45244</c:v>
                </c:pt>
                <c:pt idx="20">
                  <c:v>45192</c:v>
                </c:pt>
                <c:pt idx="22">
                  <c:v>45166</c:v>
                </c:pt>
                <c:pt idx="23">
                  <c:v>45199</c:v>
                </c:pt>
                <c:pt idx="24">
                  <c:v>45164</c:v>
                </c:pt>
                <c:pt idx="25">
                  <c:v>45225</c:v>
                </c:pt>
                <c:pt idx="27">
                  <c:v>45163</c:v>
                </c:pt>
                <c:pt idx="29">
                  <c:v>45358</c:v>
                </c:pt>
                <c:pt idx="34">
                  <c:v>45331</c:v>
                </c:pt>
                <c:pt idx="35">
                  <c:v>45029</c:v>
                </c:pt>
                <c:pt idx="37">
                  <c:v>45320</c:v>
                </c:pt>
                <c:pt idx="38">
                  <c:v>45304</c:v>
                </c:pt>
                <c:pt idx="40">
                  <c:v>45167</c:v>
                </c:pt>
                <c:pt idx="41">
                  <c:v>45218</c:v>
                </c:pt>
                <c:pt idx="42">
                  <c:v>45042</c:v>
                </c:pt>
                <c:pt idx="44">
                  <c:v>45111</c:v>
                </c:pt>
                <c:pt idx="45">
                  <c:v>45177</c:v>
                </c:pt>
                <c:pt idx="46">
                  <c:v>45137</c:v>
                </c:pt>
                <c:pt idx="47">
                  <c:v>45327</c:v>
                </c:pt>
                <c:pt idx="48">
                  <c:v>45206</c:v>
                </c:pt>
                <c:pt idx="49">
                  <c:v>45427</c:v>
                </c:pt>
                <c:pt idx="52">
                  <c:v>45271</c:v>
                </c:pt>
                <c:pt idx="54">
                  <c:v>45207</c:v>
                </c:pt>
                <c:pt idx="55">
                  <c:v>45149</c:v>
                </c:pt>
                <c:pt idx="56">
                  <c:v>45323</c:v>
                </c:pt>
                <c:pt idx="57">
                  <c:v>45221</c:v>
                </c:pt>
                <c:pt idx="59">
                  <c:v>45132</c:v>
                </c:pt>
                <c:pt idx="60">
                  <c:v>45355</c:v>
                </c:pt>
                <c:pt idx="62">
                  <c:v>45356</c:v>
                </c:pt>
                <c:pt idx="63">
                  <c:v>45224</c:v>
                </c:pt>
                <c:pt idx="64">
                  <c:v>45269</c:v>
                </c:pt>
                <c:pt idx="65">
                  <c:v>45367</c:v>
                </c:pt>
                <c:pt idx="66">
                  <c:v>45292</c:v>
                </c:pt>
                <c:pt idx="67">
                  <c:v>45249</c:v>
                </c:pt>
                <c:pt idx="68">
                  <c:v>45364</c:v>
                </c:pt>
                <c:pt idx="69">
                  <c:v>45130</c:v>
                </c:pt>
                <c:pt idx="70">
                  <c:v>45349</c:v>
                </c:pt>
                <c:pt idx="71">
                  <c:v>45375</c:v>
                </c:pt>
                <c:pt idx="72">
                  <c:v>45144</c:v>
                </c:pt>
                <c:pt idx="73">
                  <c:v>45200</c:v>
                </c:pt>
                <c:pt idx="74">
                  <c:v>45162</c:v>
                </c:pt>
                <c:pt idx="75">
                  <c:v>45382</c:v>
                </c:pt>
                <c:pt idx="76">
                  <c:v>45135</c:v>
                </c:pt>
                <c:pt idx="77">
                  <c:v>45041</c:v>
                </c:pt>
                <c:pt idx="78">
                  <c:v>45165</c:v>
                </c:pt>
                <c:pt idx="79">
                  <c:v>45202</c:v>
                </c:pt>
              </c:numCache>
            </c:numRef>
          </c:val>
          <c:extLst>
            <c:ext xmlns:c16="http://schemas.microsoft.com/office/drawing/2014/chart" uri="{C3380CC4-5D6E-409C-BE32-E72D297353CC}">
              <c16:uniqueId val="{00000002-B429-49DE-BA3B-BFBCB12B14FF}"/>
            </c:ext>
          </c:extLst>
        </c:ser>
        <c:ser>
          <c:idx val="3"/>
          <c:order val="3"/>
          <c:tx>
            <c:strRef>
              <c:f>Pivots!$E$30:$E$32</c:f>
              <c:strCache>
                <c:ptCount val="1"/>
                <c:pt idx="0">
                  <c:v>In Progress - Actual Date</c:v>
                </c:pt>
              </c:strCache>
            </c:strRef>
          </c:tx>
          <c:spPr>
            <a:solidFill>
              <a:schemeClr val="accent4"/>
            </a:solidFill>
            <a:ln>
              <a:noFill/>
            </a:ln>
            <a:effectLst/>
          </c:spPr>
          <c:invertIfNegative val="0"/>
          <c:cat>
            <c:strRef>
              <c:f>Pivots!$A$33:$A$112</c:f>
              <c:strCache>
                <c:ptCount val="80"/>
                <c:pt idx="0">
                  <c:v>Analytics Suite - Feature 1</c:v>
                </c:pt>
                <c:pt idx="1">
                  <c:v>Analytics Suite - Feature 13</c:v>
                </c:pt>
                <c:pt idx="2">
                  <c:v>Analytics Suite - Feature 27</c:v>
                </c:pt>
                <c:pt idx="3">
                  <c:v>Analytics Suite - Feature 28</c:v>
                </c:pt>
                <c:pt idx="4">
                  <c:v>Analytics Suite - Feature 3</c:v>
                </c:pt>
                <c:pt idx="5">
                  <c:v>Analytics Suite - Feature 32</c:v>
                </c:pt>
                <c:pt idx="6">
                  <c:v>Analytics Suite - Feature 36</c:v>
                </c:pt>
                <c:pt idx="7">
                  <c:v>Analytics Suite - Feature 39</c:v>
                </c:pt>
                <c:pt idx="8">
                  <c:v>Analytics Suite - Feature 43</c:v>
                </c:pt>
                <c:pt idx="9">
                  <c:v>Analytics Suite - Feature 50</c:v>
                </c:pt>
                <c:pt idx="10">
                  <c:v>Analytics Suite - Feature 53</c:v>
                </c:pt>
                <c:pt idx="11">
                  <c:v>Analytics Suite - Feature 54</c:v>
                </c:pt>
                <c:pt idx="12">
                  <c:v>Analytics Suite - Feature 57</c:v>
                </c:pt>
                <c:pt idx="13">
                  <c:v>Analytics Suite - Feature 58</c:v>
                </c:pt>
                <c:pt idx="14">
                  <c:v>Analytics Suite - Feature 63</c:v>
                </c:pt>
                <c:pt idx="15">
                  <c:v>Analytics Suite - Feature 67</c:v>
                </c:pt>
                <c:pt idx="16">
                  <c:v>Analytics Suite - Feature 70</c:v>
                </c:pt>
                <c:pt idx="17">
                  <c:v>Analytics Suite - Feature 72</c:v>
                </c:pt>
                <c:pt idx="18">
                  <c:v>Analytics Suite - Feature 74</c:v>
                </c:pt>
                <c:pt idx="19">
                  <c:v>Analytics Suite - Feature 78</c:v>
                </c:pt>
                <c:pt idx="20">
                  <c:v>Analytics Suite - Feature 80</c:v>
                </c:pt>
                <c:pt idx="21">
                  <c:v>Analytics Suite - Feature 9</c:v>
                </c:pt>
                <c:pt idx="22">
                  <c:v>API - Feature 10</c:v>
                </c:pt>
                <c:pt idx="23">
                  <c:v>API - Feature 14</c:v>
                </c:pt>
                <c:pt idx="24">
                  <c:v>API - Feature 16</c:v>
                </c:pt>
                <c:pt idx="25">
                  <c:v>API - Feature 19</c:v>
                </c:pt>
                <c:pt idx="26">
                  <c:v>API - Feature 21</c:v>
                </c:pt>
                <c:pt idx="27">
                  <c:v>API - Feature 22</c:v>
                </c:pt>
                <c:pt idx="28">
                  <c:v>API - Feature 31</c:v>
                </c:pt>
                <c:pt idx="29">
                  <c:v>API - Feature 38</c:v>
                </c:pt>
                <c:pt idx="30">
                  <c:v>API - Feature 44</c:v>
                </c:pt>
                <c:pt idx="31">
                  <c:v>API - Feature 49</c:v>
                </c:pt>
                <c:pt idx="32">
                  <c:v>API - Feature 56</c:v>
                </c:pt>
                <c:pt idx="33">
                  <c:v>API - Feature 61</c:v>
                </c:pt>
                <c:pt idx="34">
                  <c:v>API - Feature 62</c:v>
                </c:pt>
                <c:pt idx="35">
                  <c:v>API - Feature 65</c:v>
                </c:pt>
                <c:pt idx="36">
                  <c:v>API - Feature 68</c:v>
                </c:pt>
                <c:pt idx="37">
                  <c:v>API - Feature 75</c:v>
                </c:pt>
                <c:pt idx="38">
                  <c:v>Data Infrastructure - Feature 20</c:v>
                </c:pt>
                <c:pt idx="39">
                  <c:v>Data Infrastructure - Feature 23</c:v>
                </c:pt>
                <c:pt idx="40">
                  <c:v>Data Infrastructure - Feature 26</c:v>
                </c:pt>
                <c:pt idx="41">
                  <c:v>Data Infrastructure - Feature 29</c:v>
                </c:pt>
                <c:pt idx="42">
                  <c:v>Data Infrastructure - Feature 30</c:v>
                </c:pt>
                <c:pt idx="43">
                  <c:v>Data Infrastructure - Feature 35</c:v>
                </c:pt>
                <c:pt idx="44">
                  <c:v>Data Infrastructure - Feature 40</c:v>
                </c:pt>
                <c:pt idx="45">
                  <c:v>Data Infrastructure - Feature 42</c:v>
                </c:pt>
                <c:pt idx="46">
                  <c:v>Data Infrastructure - Feature 45</c:v>
                </c:pt>
                <c:pt idx="47">
                  <c:v>Data Infrastructure - Feature 47</c:v>
                </c:pt>
                <c:pt idx="48">
                  <c:v>Data Infrastructure - Feature 5</c:v>
                </c:pt>
                <c:pt idx="49">
                  <c:v>Data Infrastructure - Feature 64</c:v>
                </c:pt>
                <c:pt idx="50">
                  <c:v>Data Infrastructure - Feature 66</c:v>
                </c:pt>
                <c:pt idx="51">
                  <c:v>Data Infrastructure - Feature 7</c:v>
                </c:pt>
                <c:pt idx="52">
                  <c:v>Data Infrastructure - Feature 79</c:v>
                </c:pt>
                <c:pt idx="53">
                  <c:v>Mobile App - Feature 18</c:v>
                </c:pt>
                <c:pt idx="54">
                  <c:v>Mobile App - Feature 2</c:v>
                </c:pt>
                <c:pt idx="55">
                  <c:v>Mobile App - Feature 24</c:v>
                </c:pt>
                <c:pt idx="56">
                  <c:v>Mobile App - Feature 25</c:v>
                </c:pt>
                <c:pt idx="57">
                  <c:v>Mobile App - Feature 33</c:v>
                </c:pt>
                <c:pt idx="58">
                  <c:v>Mobile App - Feature 37</c:v>
                </c:pt>
                <c:pt idx="59">
                  <c:v>Mobile App - Feature 4</c:v>
                </c:pt>
                <c:pt idx="60">
                  <c:v>Mobile App - Feature 51</c:v>
                </c:pt>
                <c:pt idx="61">
                  <c:v>Mobile App - Feature 52</c:v>
                </c:pt>
                <c:pt idx="62">
                  <c:v>Mobile App - Feature 77</c:v>
                </c:pt>
                <c:pt idx="63">
                  <c:v>Web Platform - Feature 11</c:v>
                </c:pt>
                <c:pt idx="64">
                  <c:v>Web Platform - Feature 12</c:v>
                </c:pt>
                <c:pt idx="65">
                  <c:v>Web Platform - Feature 15</c:v>
                </c:pt>
                <c:pt idx="66">
                  <c:v>Web Platform - Feature 17</c:v>
                </c:pt>
                <c:pt idx="67">
                  <c:v>Web Platform - Feature 34</c:v>
                </c:pt>
                <c:pt idx="68">
                  <c:v>Web Platform - Feature 41</c:v>
                </c:pt>
                <c:pt idx="69">
                  <c:v>Web Platform - Feature 46</c:v>
                </c:pt>
                <c:pt idx="70">
                  <c:v>Web Platform - Feature 48</c:v>
                </c:pt>
                <c:pt idx="71">
                  <c:v>Web Platform - Feature 55</c:v>
                </c:pt>
                <c:pt idx="72">
                  <c:v>Web Platform - Feature 59</c:v>
                </c:pt>
                <c:pt idx="73">
                  <c:v>Web Platform - Feature 6</c:v>
                </c:pt>
                <c:pt idx="74">
                  <c:v>Web Platform - Feature 60</c:v>
                </c:pt>
                <c:pt idx="75">
                  <c:v>Web Platform - Feature 69</c:v>
                </c:pt>
                <c:pt idx="76">
                  <c:v>Web Platform - Feature 71</c:v>
                </c:pt>
                <c:pt idx="77">
                  <c:v>Web Platform - Feature 73</c:v>
                </c:pt>
                <c:pt idx="78">
                  <c:v>Web Platform - Feature 76</c:v>
                </c:pt>
                <c:pt idx="79">
                  <c:v>Web Platform - Feature 8</c:v>
                </c:pt>
              </c:strCache>
            </c:strRef>
          </c:cat>
          <c:val>
            <c:numRef>
              <c:f>Pivots!$E$33:$E$112</c:f>
              <c:numCache>
                <c:formatCode>m/d/yyyy</c:formatCode>
                <c:ptCount val="80"/>
              </c:numCache>
            </c:numRef>
          </c:val>
          <c:extLst>
            <c:ext xmlns:c16="http://schemas.microsoft.com/office/drawing/2014/chart" uri="{C3380CC4-5D6E-409C-BE32-E72D297353CC}">
              <c16:uniqueId val="{00000003-B429-49DE-BA3B-BFBCB12B14FF}"/>
            </c:ext>
          </c:extLst>
        </c:ser>
        <c:dLbls>
          <c:showLegendKey val="0"/>
          <c:showVal val="0"/>
          <c:showCatName val="0"/>
          <c:showSerName val="0"/>
          <c:showPercent val="0"/>
          <c:showBubbleSize val="0"/>
        </c:dLbls>
        <c:gapWidth val="219"/>
        <c:overlap val="-27"/>
        <c:axId val="1797109471"/>
        <c:axId val="1797108511"/>
      </c:barChart>
      <c:catAx>
        <c:axId val="179710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08511"/>
        <c:crosses val="autoZero"/>
        <c:auto val="1"/>
        <c:lblAlgn val="ctr"/>
        <c:lblOffset val="100"/>
        <c:noMultiLvlLbl val="0"/>
      </c:catAx>
      <c:valAx>
        <c:axId val="1797108511"/>
        <c:scaling>
          <c:orientation val="minMax"/>
        </c:scaling>
        <c:delete val="0"/>
        <c:axPos val="l"/>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0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[Initiatives.xlsx]Pivots!PivotTable6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Pivots!$G$11</c:f>
              <c:strCache>
                <c:ptCount val="1"/>
                <c:pt idx="0">
                  <c:v>Expected Revenue (£)</c:v>
                </c:pt>
              </c:strCache>
            </c:strRef>
          </c:tx>
          <c:spPr>
            <a:solidFill>
              <a:schemeClr val="accent1"/>
            </a:solidFill>
            <a:ln>
              <a:noFill/>
            </a:ln>
            <a:effectLst/>
          </c:spPr>
          <c:invertIfNegative val="0"/>
          <c:cat>
            <c:strRef>
              <c:f>Pivots!$F$12:$F$93</c:f>
              <c:strCache>
                <c:ptCount val="81"/>
                <c:pt idx="0">
                  <c:v>Analytics Suite - Feature 1</c:v>
                </c:pt>
                <c:pt idx="1">
                  <c:v>Analytics Suite - Feature 13</c:v>
                </c:pt>
                <c:pt idx="2">
                  <c:v>Analytics Suite - Feature 27</c:v>
                </c:pt>
                <c:pt idx="3">
                  <c:v>Analytics Suite - Feature 28</c:v>
                </c:pt>
                <c:pt idx="4">
                  <c:v>Analytics Suite - Feature 3</c:v>
                </c:pt>
                <c:pt idx="5">
                  <c:v>Analytics Suite - Feature 32</c:v>
                </c:pt>
                <c:pt idx="6">
                  <c:v>Analytics Suite - Feature 36</c:v>
                </c:pt>
                <c:pt idx="7">
                  <c:v>Analytics Suite - Feature 39</c:v>
                </c:pt>
                <c:pt idx="8">
                  <c:v>Analytics Suite - Feature 43</c:v>
                </c:pt>
                <c:pt idx="9">
                  <c:v>Analytics Suite - Feature 50</c:v>
                </c:pt>
                <c:pt idx="10">
                  <c:v>Analytics Suite - Feature 53</c:v>
                </c:pt>
                <c:pt idx="11">
                  <c:v>Analytics Suite - Feature 54</c:v>
                </c:pt>
                <c:pt idx="12">
                  <c:v>Analytics Suite - Feature 57</c:v>
                </c:pt>
                <c:pt idx="13">
                  <c:v>Analytics Suite - Feature 58</c:v>
                </c:pt>
                <c:pt idx="14">
                  <c:v>Analytics Suite - Feature 63</c:v>
                </c:pt>
                <c:pt idx="15">
                  <c:v>Analytics Suite - Feature 67</c:v>
                </c:pt>
                <c:pt idx="16">
                  <c:v>Analytics Suite - Feature 70</c:v>
                </c:pt>
                <c:pt idx="17">
                  <c:v>Analytics Suite - Feature 72</c:v>
                </c:pt>
                <c:pt idx="18">
                  <c:v>Analytics Suite - Feature 74</c:v>
                </c:pt>
                <c:pt idx="19">
                  <c:v>Analytics Suite - Feature 78</c:v>
                </c:pt>
                <c:pt idx="20">
                  <c:v>Analytics Suite - Feature 80</c:v>
                </c:pt>
                <c:pt idx="21">
                  <c:v>Analytics Suite - Feature 9</c:v>
                </c:pt>
                <c:pt idx="22">
                  <c:v>API - Feature 10</c:v>
                </c:pt>
                <c:pt idx="23">
                  <c:v>API - Feature 14</c:v>
                </c:pt>
                <c:pt idx="24">
                  <c:v>API - Feature 16</c:v>
                </c:pt>
                <c:pt idx="25">
                  <c:v>API - Feature 19</c:v>
                </c:pt>
                <c:pt idx="26">
                  <c:v>API - Feature 21</c:v>
                </c:pt>
                <c:pt idx="27">
                  <c:v>API - Feature 22</c:v>
                </c:pt>
                <c:pt idx="28">
                  <c:v>API - Feature 31</c:v>
                </c:pt>
                <c:pt idx="29">
                  <c:v>API - Feature 38</c:v>
                </c:pt>
                <c:pt idx="30">
                  <c:v>API - Feature 44</c:v>
                </c:pt>
                <c:pt idx="31">
                  <c:v>API - Feature 49</c:v>
                </c:pt>
                <c:pt idx="32">
                  <c:v>API - Feature 56</c:v>
                </c:pt>
                <c:pt idx="33">
                  <c:v>API - Feature 61</c:v>
                </c:pt>
                <c:pt idx="34">
                  <c:v>API - Feature 62</c:v>
                </c:pt>
                <c:pt idx="35">
                  <c:v>API - Feature 65</c:v>
                </c:pt>
                <c:pt idx="36">
                  <c:v>API - Feature 68</c:v>
                </c:pt>
                <c:pt idx="37">
                  <c:v>API - Feature 75</c:v>
                </c:pt>
                <c:pt idx="38">
                  <c:v>Data Infrastructure - Feature 20</c:v>
                </c:pt>
                <c:pt idx="39">
                  <c:v>Data Infrastructure - Feature 23</c:v>
                </c:pt>
                <c:pt idx="40">
                  <c:v>Data Infrastructure - Feature 26</c:v>
                </c:pt>
                <c:pt idx="41">
                  <c:v>Data Infrastructure - Feature 29</c:v>
                </c:pt>
                <c:pt idx="42">
                  <c:v>Data Infrastructure - Feature 30</c:v>
                </c:pt>
                <c:pt idx="43">
                  <c:v>Data Infrastructure - Feature 35</c:v>
                </c:pt>
                <c:pt idx="44">
                  <c:v>Data Infrastructure - Feature 40</c:v>
                </c:pt>
                <c:pt idx="45">
                  <c:v>Data Infrastructure - Feature 42</c:v>
                </c:pt>
                <c:pt idx="46">
                  <c:v>Data Infrastructure - Feature 45</c:v>
                </c:pt>
                <c:pt idx="47">
                  <c:v>Data Infrastructure - Feature 47</c:v>
                </c:pt>
                <c:pt idx="48">
                  <c:v>Data Infrastructure - Feature 5</c:v>
                </c:pt>
                <c:pt idx="49">
                  <c:v>Data Infrastructure - Feature 64</c:v>
                </c:pt>
                <c:pt idx="50">
                  <c:v>Data Infrastructure - Feature 66</c:v>
                </c:pt>
                <c:pt idx="51">
                  <c:v>Data Infrastructure - Feature 7</c:v>
                </c:pt>
                <c:pt idx="52">
                  <c:v>Data Infrastructure - Feature 79</c:v>
                </c:pt>
                <c:pt idx="53">
                  <c:v>Mobile App - Feature 18</c:v>
                </c:pt>
                <c:pt idx="54">
                  <c:v>Mobile App - Feature 2</c:v>
                </c:pt>
                <c:pt idx="55">
                  <c:v>Mobile App - Feature 24</c:v>
                </c:pt>
                <c:pt idx="56">
                  <c:v>Mobile App - Feature 25</c:v>
                </c:pt>
                <c:pt idx="57">
                  <c:v>Mobile App - Feature 33</c:v>
                </c:pt>
                <c:pt idx="58">
                  <c:v>Mobile App - Feature 37</c:v>
                </c:pt>
                <c:pt idx="59">
                  <c:v>Mobile App - Feature 4</c:v>
                </c:pt>
                <c:pt idx="60">
                  <c:v>Mobile App - Feature 51</c:v>
                </c:pt>
                <c:pt idx="61">
                  <c:v>Mobile App - Feature 52</c:v>
                </c:pt>
                <c:pt idx="62">
                  <c:v>Mobile App - Feature 77</c:v>
                </c:pt>
                <c:pt idx="63">
                  <c:v>Web Platform - Feature 11</c:v>
                </c:pt>
                <c:pt idx="64">
                  <c:v>Web Platform - Feature 12</c:v>
                </c:pt>
                <c:pt idx="65">
                  <c:v>Web Platform - Feature 15</c:v>
                </c:pt>
                <c:pt idx="66">
                  <c:v>Web Platform - Feature 17</c:v>
                </c:pt>
                <c:pt idx="67">
                  <c:v>Web Platform - Feature 34</c:v>
                </c:pt>
                <c:pt idx="68">
                  <c:v>Web Platform - Feature 41</c:v>
                </c:pt>
                <c:pt idx="69">
                  <c:v>Web Platform - Feature 46</c:v>
                </c:pt>
                <c:pt idx="70">
                  <c:v>Web Platform - Feature 48</c:v>
                </c:pt>
                <c:pt idx="71">
                  <c:v>Web Platform - Feature 55</c:v>
                </c:pt>
                <c:pt idx="72">
                  <c:v>Web Platform - Feature 59</c:v>
                </c:pt>
                <c:pt idx="73">
                  <c:v>Web Platform - Feature 6</c:v>
                </c:pt>
                <c:pt idx="74">
                  <c:v>Web Platform - Feature 60</c:v>
                </c:pt>
                <c:pt idx="75">
                  <c:v>Web Platform - Feature 69</c:v>
                </c:pt>
                <c:pt idx="76">
                  <c:v>Web Platform - Feature 71</c:v>
                </c:pt>
                <c:pt idx="77">
                  <c:v>Web Platform - Feature 73</c:v>
                </c:pt>
                <c:pt idx="78">
                  <c:v>Web Platform - Feature 76</c:v>
                </c:pt>
                <c:pt idx="79">
                  <c:v>Web Platform - Feature 8</c:v>
                </c:pt>
                <c:pt idx="80">
                  <c:v>(blank)</c:v>
                </c:pt>
              </c:strCache>
            </c:strRef>
          </c:cat>
          <c:val>
            <c:numRef>
              <c:f>Pivots!$G$12:$G$93</c:f>
              <c:numCache>
                <c:formatCode>"£"#,##0</c:formatCode>
                <c:ptCount val="81"/>
                <c:pt idx="0">
                  <c:v>5000000</c:v>
                </c:pt>
                <c:pt idx="1">
                  <c:v>1000000</c:v>
                </c:pt>
                <c:pt idx="2">
                  <c:v>100000</c:v>
                </c:pt>
                <c:pt idx="3">
                  <c:v>1000000</c:v>
                </c:pt>
                <c:pt idx="4">
                  <c:v>5000000</c:v>
                </c:pt>
                <c:pt idx="5">
                  <c:v>1000000</c:v>
                </c:pt>
                <c:pt idx="6">
                  <c:v>5000000</c:v>
                </c:pt>
                <c:pt idx="7">
                  <c:v>100000</c:v>
                </c:pt>
                <c:pt idx="8">
                  <c:v>5000000</c:v>
                </c:pt>
                <c:pt idx="9">
                  <c:v>1000000</c:v>
                </c:pt>
                <c:pt idx="10">
                  <c:v>500000</c:v>
                </c:pt>
                <c:pt idx="11">
                  <c:v>1000000</c:v>
                </c:pt>
                <c:pt idx="12">
                  <c:v>100000</c:v>
                </c:pt>
                <c:pt idx="13">
                  <c:v>500000</c:v>
                </c:pt>
                <c:pt idx="14">
                  <c:v>500000</c:v>
                </c:pt>
                <c:pt idx="15">
                  <c:v>100000</c:v>
                </c:pt>
                <c:pt idx="16">
                  <c:v>500000</c:v>
                </c:pt>
                <c:pt idx="17">
                  <c:v>500000</c:v>
                </c:pt>
                <c:pt idx="18">
                  <c:v>5000000</c:v>
                </c:pt>
                <c:pt idx="19">
                  <c:v>500000</c:v>
                </c:pt>
                <c:pt idx="20">
                  <c:v>1000000</c:v>
                </c:pt>
                <c:pt idx="21">
                  <c:v>1000000</c:v>
                </c:pt>
                <c:pt idx="22">
                  <c:v>500000</c:v>
                </c:pt>
                <c:pt idx="23">
                  <c:v>500000</c:v>
                </c:pt>
                <c:pt idx="24">
                  <c:v>1000000</c:v>
                </c:pt>
                <c:pt idx="25">
                  <c:v>100000</c:v>
                </c:pt>
                <c:pt idx="26">
                  <c:v>100000</c:v>
                </c:pt>
                <c:pt idx="27">
                  <c:v>5000000</c:v>
                </c:pt>
                <c:pt idx="28">
                  <c:v>100000</c:v>
                </c:pt>
                <c:pt idx="29">
                  <c:v>500000</c:v>
                </c:pt>
                <c:pt idx="30">
                  <c:v>100000</c:v>
                </c:pt>
                <c:pt idx="31">
                  <c:v>1000000</c:v>
                </c:pt>
                <c:pt idx="32">
                  <c:v>1000000</c:v>
                </c:pt>
                <c:pt idx="33">
                  <c:v>5000000</c:v>
                </c:pt>
                <c:pt idx="34">
                  <c:v>1000000</c:v>
                </c:pt>
                <c:pt idx="35">
                  <c:v>1000000</c:v>
                </c:pt>
                <c:pt idx="36">
                  <c:v>1000000</c:v>
                </c:pt>
                <c:pt idx="37">
                  <c:v>100000</c:v>
                </c:pt>
                <c:pt idx="38">
                  <c:v>500000</c:v>
                </c:pt>
                <c:pt idx="39">
                  <c:v>500000</c:v>
                </c:pt>
                <c:pt idx="40">
                  <c:v>100000</c:v>
                </c:pt>
                <c:pt idx="41">
                  <c:v>500000</c:v>
                </c:pt>
                <c:pt idx="42">
                  <c:v>500000</c:v>
                </c:pt>
                <c:pt idx="43">
                  <c:v>500000</c:v>
                </c:pt>
                <c:pt idx="44">
                  <c:v>5000000</c:v>
                </c:pt>
                <c:pt idx="45">
                  <c:v>1000000</c:v>
                </c:pt>
                <c:pt idx="46">
                  <c:v>5000000</c:v>
                </c:pt>
                <c:pt idx="47">
                  <c:v>500000</c:v>
                </c:pt>
                <c:pt idx="48">
                  <c:v>500000</c:v>
                </c:pt>
                <c:pt idx="49">
                  <c:v>5000000</c:v>
                </c:pt>
                <c:pt idx="50">
                  <c:v>100000</c:v>
                </c:pt>
                <c:pt idx="51">
                  <c:v>100000</c:v>
                </c:pt>
                <c:pt idx="52">
                  <c:v>500000</c:v>
                </c:pt>
                <c:pt idx="53">
                  <c:v>5000000</c:v>
                </c:pt>
                <c:pt idx="54">
                  <c:v>100000</c:v>
                </c:pt>
                <c:pt idx="55">
                  <c:v>500000</c:v>
                </c:pt>
                <c:pt idx="56">
                  <c:v>1000000</c:v>
                </c:pt>
                <c:pt idx="57">
                  <c:v>100000</c:v>
                </c:pt>
                <c:pt idx="58">
                  <c:v>500000</c:v>
                </c:pt>
                <c:pt idx="59">
                  <c:v>100000</c:v>
                </c:pt>
                <c:pt idx="60">
                  <c:v>100000</c:v>
                </c:pt>
                <c:pt idx="61">
                  <c:v>1000000</c:v>
                </c:pt>
                <c:pt idx="62">
                  <c:v>1000000</c:v>
                </c:pt>
                <c:pt idx="63">
                  <c:v>100000</c:v>
                </c:pt>
                <c:pt idx="64">
                  <c:v>1000000</c:v>
                </c:pt>
                <c:pt idx="65">
                  <c:v>5000000</c:v>
                </c:pt>
                <c:pt idx="66">
                  <c:v>1000000</c:v>
                </c:pt>
                <c:pt idx="67">
                  <c:v>100000</c:v>
                </c:pt>
                <c:pt idx="68">
                  <c:v>100000</c:v>
                </c:pt>
                <c:pt idx="69">
                  <c:v>500000</c:v>
                </c:pt>
                <c:pt idx="70">
                  <c:v>500000</c:v>
                </c:pt>
                <c:pt idx="71">
                  <c:v>500000</c:v>
                </c:pt>
                <c:pt idx="72">
                  <c:v>500000</c:v>
                </c:pt>
                <c:pt idx="73">
                  <c:v>500000</c:v>
                </c:pt>
                <c:pt idx="74">
                  <c:v>100000</c:v>
                </c:pt>
                <c:pt idx="75">
                  <c:v>5000000</c:v>
                </c:pt>
                <c:pt idx="76">
                  <c:v>100000</c:v>
                </c:pt>
                <c:pt idx="77">
                  <c:v>1000000</c:v>
                </c:pt>
                <c:pt idx="78">
                  <c:v>100000</c:v>
                </c:pt>
                <c:pt idx="79">
                  <c:v>5000000</c:v>
                </c:pt>
              </c:numCache>
            </c:numRef>
          </c:val>
          <c:extLst>
            <c:ext xmlns:c16="http://schemas.microsoft.com/office/drawing/2014/chart" uri="{C3380CC4-5D6E-409C-BE32-E72D297353CC}">
              <c16:uniqueId val="{00000000-A5CA-48EE-A5D6-F2F7CE615972}"/>
            </c:ext>
          </c:extLst>
        </c:ser>
        <c:ser>
          <c:idx val="1"/>
          <c:order val="1"/>
          <c:tx>
            <c:strRef>
              <c:f>Pivots!$H$11</c:f>
              <c:strCache>
                <c:ptCount val="1"/>
                <c:pt idx="0">
                  <c:v>Actual Revenue (£)</c:v>
                </c:pt>
              </c:strCache>
            </c:strRef>
          </c:tx>
          <c:spPr>
            <a:solidFill>
              <a:schemeClr val="accent2"/>
            </a:solidFill>
            <a:ln>
              <a:noFill/>
            </a:ln>
            <a:effectLst/>
          </c:spPr>
          <c:invertIfNegative val="0"/>
          <c:cat>
            <c:strRef>
              <c:f>Pivots!$F$12:$F$93</c:f>
              <c:strCache>
                <c:ptCount val="81"/>
                <c:pt idx="0">
                  <c:v>Analytics Suite - Feature 1</c:v>
                </c:pt>
                <c:pt idx="1">
                  <c:v>Analytics Suite - Feature 13</c:v>
                </c:pt>
                <c:pt idx="2">
                  <c:v>Analytics Suite - Feature 27</c:v>
                </c:pt>
                <c:pt idx="3">
                  <c:v>Analytics Suite - Feature 28</c:v>
                </c:pt>
                <c:pt idx="4">
                  <c:v>Analytics Suite - Feature 3</c:v>
                </c:pt>
                <c:pt idx="5">
                  <c:v>Analytics Suite - Feature 32</c:v>
                </c:pt>
                <c:pt idx="6">
                  <c:v>Analytics Suite - Feature 36</c:v>
                </c:pt>
                <c:pt idx="7">
                  <c:v>Analytics Suite - Feature 39</c:v>
                </c:pt>
                <c:pt idx="8">
                  <c:v>Analytics Suite - Feature 43</c:v>
                </c:pt>
                <c:pt idx="9">
                  <c:v>Analytics Suite - Feature 50</c:v>
                </c:pt>
                <c:pt idx="10">
                  <c:v>Analytics Suite - Feature 53</c:v>
                </c:pt>
                <c:pt idx="11">
                  <c:v>Analytics Suite - Feature 54</c:v>
                </c:pt>
                <c:pt idx="12">
                  <c:v>Analytics Suite - Feature 57</c:v>
                </c:pt>
                <c:pt idx="13">
                  <c:v>Analytics Suite - Feature 58</c:v>
                </c:pt>
                <c:pt idx="14">
                  <c:v>Analytics Suite - Feature 63</c:v>
                </c:pt>
                <c:pt idx="15">
                  <c:v>Analytics Suite - Feature 67</c:v>
                </c:pt>
                <c:pt idx="16">
                  <c:v>Analytics Suite - Feature 70</c:v>
                </c:pt>
                <c:pt idx="17">
                  <c:v>Analytics Suite - Feature 72</c:v>
                </c:pt>
                <c:pt idx="18">
                  <c:v>Analytics Suite - Feature 74</c:v>
                </c:pt>
                <c:pt idx="19">
                  <c:v>Analytics Suite - Feature 78</c:v>
                </c:pt>
                <c:pt idx="20">
                  <c:v>Analytics Suite - Feature 80</c:v>
                </c:pt>
                <c:pt idx="21">
                  <c:v>Analytics Suite - Feature 9</c:v>
                </c:pt>
                <c:pt idx="22">
                  <c:v>API - Feature 10</c:v>
                </c:pt>
                <c:pt idx="23">
                  <c:v>API - Feature 14</c:v>
                </c:pt>
                <c:pt idx="24">
                  <c:v>API - Feature 16</c:v>
                </c:pt>
                <c:pt idx="25">
                  <c:v>API - Feature 19</c:v>
                </c:pt>
                <c:pt idx="26">
                  <c:v>API - Feature 21</c:v>
                </c:pt>
                <c:pt idx="27">
                  <c:v>API - Feature 22</c:v>
                </c:pt>
                <c:pt idx="28">
                  <c:v>API - Feature 31</c:v>
                </c:pt>
                <c:pt idx="29">
                  <c:v>API - Feature 38</c:v>
                </c:pt>
                <c:pt idx="30">
                  <c:v>API - Feature 44</c:v>
                </c:pt>
                <c:pt idx="31">
                  <c:v>API - Feature 49</c:v>
                </c:pt>
                <c:pt idx="32">
                  <c:v>API - Feature 56</c:v>
                </c:pt>
                <c:pt idx="33">
                  <c:v>API - Feature 61</c:v>
                </c:pt>
                <c:pt idx="34">
                  <c:v>API - Feature 62</c:v>
                </c:pt>
                <c:pt idx="35">
                  <c:v>API - Feature 65</c:v>
                </c:pt>
                <c:pt idx="36">
                  <c:v>API - Feature 68</c:v>
                </c:pt>
                <c:pt idx="37">
                  <c:v>API - Feature 75</c:v>
                </c:pt>
                <c:pt idx="38">
                  <c:v>Data Infrastructure - Feature 20</c:v>
                </c:pt>
                <c:pt idx="39">
                  <c:v>Data Infrastructure - Feature 23</c:v>
                </c:pt>
                <c:pt idx="40">
                  <c:v>Data Infrastructure - Feature 26</c:v>
                </c:pt>
                <c:pt idx="41">
                  <c:v>Data Infrastructure - Feature 29</c:v>
                </c:pt>
                <c:pt idx="42">
                  <c:v>Data Infrastructure - Feature 30</c:v>
                </c:pt>
                <c:pt idx="43">
                  <c:v>Data Infrastructure - Feature 35</c:v>
                </c:pt>
                <c:pt idx="44">
                  <c:v>Data Infrastructure - Feature 40</c:v>
                </c:pt>
                <c:pt idx="45">
                  <c:v>Data Infrastructure - Feature 42</c:v>
                </c:pt>
                <c:pt idx="46">
                  <c:v>Data Infrastructure - Feature 45</c:v>
                </c:pt>
                <c:pt idx="47">
                  <c:v>Data Infrastructure - Feature 47</c:v>
                </c:pt>
                <c:pt idx="48">
                  <c:v>Data Infrastructure - Feature 5</c:v>
                </c:pt>
                <c:pt idx="49">
                  <c:v>Data Infrastructure - Feature 64</c:v>
                </c:pt>
                <c:pt idx="50">
                  <c:v>Data Infrastructure - Feature 66</c:v>
                </c:pt>
                <c:pt idx="51">
                  <c:v>Data Infrastructure - Feature 7</c:v>
                </c:pt>
                <c:pt idx="52">
                  <c:v>Data Infrastructure - Feature 79</c:v>
                </c:pt>
                <c:pt idx="53">
                  <c:v>Mobile App - Feature 18</c:v>
                </c:pt>
                <c:pt idx="54">
                  <c:v>Mobile App - Feature 2</c:v>
                </c:pt>
                <c:pt idx="55">
                  <c:v>Mobile App - Feature 24</c:v>
                </c:pt>
                <c:pt idx="56">
                  <c:v>Mobile App - Feature 25</c:v>
                </c:pt>
                <c:pt idx="57">
                  <c:v>Mobile App - Feature 33</c:v>
                </c:pt>
                <c:pt idx="58">
                  <c:v>Mobile App - Feature 37</c:v>
                </c:pt>
                <c:pt idx="59">
                  <c:v>Mobile App - Feature 4</c:v>
                </c:pt>
                <c:pt idx="60">
                  <c:v>Mobile App - Feature 51</c:v>
                </c:pt>
                <c:pt idx="61">
                  <c:v>Mobile App - Feature 52</c:v>
                </c:pt>
                <c:pt idx="62">
                  <c:v>Mobile App - Feature 77</c:v>
                </c:pt>
                <c:pt idx="63">
                  <c:v>Web Platform - Feature 11</c:v>
                </c:pt>
                <c:pt idx="64">
                  <c:v>Web Platform - Feature 12</c:v>
                </c:pt>
                <c:pt idx="65">
                  <c:v>Web Platform - Feature 15</c:v>
                </c:pt>
                <c:pt idx="66">
                  <c:v>Web Platform - Feature 17</c:v>
                </c:pt>
                <c:pt idx="67">
                  <c:v>Web Platform - Feature 34</c:v>
                </c:pt>
                <c:pt idx="68">
                  <c:v>Web Platform - Feature 41</c:v>
                </c:pt>
                <c:pt idx="69">
                  <c:v>Web Platform - Feature 46</c:v>
                </c:pt>
                <c:pt idx="70">
                  <c:v>Web Platform - Feature 48</c:v>
                </c:pt>
                <c:pt idx="71">
                  <c:v>Web Platform - Feature 55</c:v>
                </c:pt>
                <c:pt idx="72">
                  <c:v>Web Platform - Feature 59</c:v>
                </c:pt>
                <c:pt idx="73">
                  <c:v>Web Platform - Feature 6</c:v>
                </c:pt>
                <c:pt idx="74">
                  <c:v>Web Platform - Feature 60</c:v>
                </c:pt>
                <c:pt idx="75">
                  <c:v>Web Platform - Feature 69</c:v>
                </c:pt>
                <c:pt idx="76">
                  <c:v>Web Platform - Feature 71</c:v>
                </c:pt>
                <c:pt idx="77">
                  <c:v>Web Platform - Feature 73</c:v>
                </c:pt>
                <c:pt idx="78">
                  <c:v>Web Platform - Feature 76</c:v>
                </c:pt>
                <c:pt idx="79">
                  <c:v>Web Platform - Feature 8</c:v>
                </c:pt>
                <c:pt idx="80">
                  <c:v>(blank)</c:v>
                </c:pt>
              </c:strCache>
            </c:strRef>
          </c:cat>
          <c:val>
            <c:numRef>
              <c:f>Pivots!$H$12:$H$93</c:f>
              <c:numCache>
                <c:formatCode>"£"#,##0</c:formatCode>
                <c:ptCount val="81"/>
                <c:pt idx="5">
                  <c:v>824994</c:v>
                </c:pt>
                <c:pt idx="6">
                  <c:v>5721392</c:v>
                </c:pt>
                <c:pt idx="17">
                  <c:v>484953</c:v>
                </c:pt>
                <c:pt idx="21">
                  <c:v>740974</c:v>
                </c:pt>
                <c:pt idx="26">
                  <c:v>50329</c:v>
                </c:pt>
                <c:pt idx="28">
                  <c:v>113481</c:v>
                </c:pt>
                <c:pt idx="30">
                  <c:v>112781</c:v>
                </c:pt>
                <c:pt idx="31">
                  <c:v>998312</c:v>
                </c:pt>
                <c:pt idx="32">
                  <c:v>591046</c:v>
                </c:pt>
                <c:pt idx="33">
                  <c:v>3398066</c:v>
                </c:pt>
                <c:pt idx="36">
                  <c:v>1172093</c:v>
                </c:pt>
                <c:pt idx="39">
                  <c:v>256270</c:v>
                </c:pt>
                <c:pt idx="43">
                  <c:v>286299</c:v>
                </c:pt>
                <c:pt idx="50">
                  <c:v>102917</c:v>
                </c:pt>
                <c:pt idx="51">
                  <c:v>62161</c:v>
                </c:pt>
                <c:pt idx="53">
                  <c:v>5258316</c:v>
                </c:pt>
                <c:pt idx="58">
                  <c:v>592263</c:v>
                </c:pt>
                <c:pt idx="61">
                  <c:v>642800</c:v>
                </c:pt>
              </c:numCache>
            </c:numRef>
          </c:val>
          <c:extLst>
            <c:ext xmlns:c16="http://schemas.microsoft.com/office/drawing/2014/chart" uri="{C3380CC4-5D6E-409C-BE32-E72D297353CC}">
              <c16:uniqueId val="{00000001-A5CA-48EE-A5D6-F2F7CE615972}"/>
            </c:ext>
          </c:extLst>
        </c:ser>
        <c:dLbls>
          <c:showLegendKey val="0"/>
          <c:showVal val="0"/>
          <c:showCatName val="0"/>
          <c:showSerName val="0"/>
          <c:showPercent val="0"/>
          <c:showBubbleSize val="0"/>
        </c:dLbls>
        <c:gapWidth val="219"/>
        <c:overlap val="-27"/>
        <c:axId val="151567183"/>
        <c:axId val="151566703"/>
      </c:barChart>
      <c:catAx>
        <c:axId val="1515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66703"/>
        <c:crosses val="autoZero"/>
        <c:auto val="1"/>
        <c:lblAlgn val="ctr"/>
        <c:lblOffset val="100"/>
        <c:noMultiLvlLbl val="0"/>
      </c:catAx>
      <c:valAx>
        <c:axId val="151566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6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[Initiatives.xlsx]Pivots!PivotTable7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Pivots!$K$11:$K$12</c:f>
              <c:strCache>
                <c:ptCount val="1"/>
                <c:pt idx="0">
                  <c:v>Completed</c:v>
                </c:pt>
              </c:strCache>
            </c:strRef>
          </c:tx>
          <c:spPr>
            <a:solidFill>
              <a:srgbClr val="00B050"/>
            </a:solidFill>
            <a:ln>
              <a:noFill/>
            </a:ln>
            <a:effectLst/>
          </c:spPr>
          <c:invertIfNegative val="0"/>
          <c:cat>
            <c:strRef>
              <c:f>Pivots!$J$13:$J$18</c:f>
              <c:strCache>
                <c:ptCount val="6"/>
                <c:pt idx="0">
                  <c:v>Analytics Suite</c:v>
                </c:pt>
                <c:pt idx="1">
                  <c:v>API</c:v>
                </c:pt>
                <c:pt idx="2">
                  <c:v>Data Infrastructure</c:v>
                </c:pt>
                <c:pt idx="3">
                  <c:v>Mobile App</c:v>
                </c:pt>
                <c:pt idx="4">
                  <c:v>Web Platform</c:v>
                </c:pt>
                <c:pt idx="5">
                  <c:v>(blank)</c:v>
                </c:pt>
              </c:strCache>
            </c:strRef>
          </c:cat>
          <c:val>
            <c:numRef>
              <c:f>Pivots!$K$13:$K$18</c:f>
              <c:numCache>
                <c:formatCode>General</c:formatCode>
                <c:ptCount val="6"/>
                <c:pt idx="0">
                  <c:v>4</c:v>
                </c:pt>
                <c:pt idx="1">
                  <c:v>7</c:v>
                </c:pt>
                <c:pt idx="2">
                  <c:v>4</c:v>
                </c:pt>
                <c:pt idx="3">
                  <c:v>3</c:v>
                </c:pt>
              </c:numCache>
            </c:numRef>
          </c:val>
          <c:extLst>
            <c:ext xmlns:c16="http://schemas.microsoft.com/office/drawing/2014/chart" uri="{C3380CC4-5D6E-409C-BE32-E72D297353CC}">
              <c16:uniqueId val="{00000000-CB7E-46AD-A09F-E3A327AB9423}"/>
            </c:ext>
          </c:extLst>
        </c:ser>
        <c:ser>
          <c:idx val="1"/>
          <c:order val="1"/>
          <c:tx>
            <c:strRef>
              <c:f>Pivots!$L$11:$L$12</c:f>
              <c:strCache>
                <c:ptCount val="1"/>
                <c:pt idx="0">
                  <c:v>In Progress</c:v>
                </c:pt>
              </c:strCache>
            </c:strRef>
          </c:tx>
          <c:spPr>
            <a:solidFill>
              <a:srgbClr val="FFFF00"/>
            </a:solidFill>
            <a:ln>
              <a:noFill/>
            </a:ln>
            <a:effectLst/>
          </c:spPr>
          <c:invertIfNegative val="0"/>
          <c:cat>
            <c:strRef>
              <c:f>Pivots!$J$13:$J$18</c:f>
              <c:strCache>
                <c:ptCount val="6"/>
                <c:pt idx="0">
                  <c:v>Analytics Suite</c:v>
                </c:pt>
                <c:pt idx="1">
                  <c:v>API</c:v>
                </c:pt>
                <c:pt idx="2">
                  <c:v>Data Infrastructure</c:v>
                </c:pt>
                <c:pt idx="3">
                  <c:v>Mobile App</c:v>
                </c:pt>
                <c:pt idx="4">
                  <c:v>Web Platform</c:v>
                </c:pt>
                <c:pt idx="5">
                  <c:v>(blank)</c:v>
                </c:pt>
              </c:strCache>
            </c:strRef>
          </c:cat>
          <c:val>
            <c:numRef>
              <c:f>Pivots!$L$13:$L$18</c:f>
              <c:numCache>
                <c:formatCode>General</c:formatCode>
                <c:ptCount val="6"/>
                <c:pt idx="0">
                  <c:v>18</c:v>
                </c:pt>
                <c:pt idx="1">
                  <c:v>9</c:v>
                </c:pt>
                <c:pt idx="2">
                  <c:v>11</c:v>
                </c:pt>
                <c:pt idx="3">
                  <c:v>7</c:v>
                </c:pt>
                <c:pt idx="4">
                  <c:v>17</c:v>
                </c:pt>
              </c:numCache>
            </c:numRef>
          </c:val>
          <c:extLst>
            <c:ext xmlns:c16="http://schemas.microsoft.com/office/drawing/2014/chart" uri="{C3380CC4-5D6E-409C-BE32-E72D297353CC}">
              <c16:uniqueId val="{00000001-CB7E-46AD-A09F-E3A327AB9423}"/>
            </c:ext>
          </c:extLst>
        </c:ser>
        <c:dLbls>
          <c:showLegendKey val="0"/>
          <c:showVal val="0"/>
          <c:showCatName val="0"/>
          <c:showSerName val="0"/>
          <c:showPercent val="0"/>
          <c:showBubbleSize val="0"/>
        </c:dLbls>
        <c:gapWidth val="150"/>
        <c:overlap val="100"/>
        <c:axId val="1553164671"/>
        <c:axId val="151668271"/>
      </c:barChart>
      <c:catAx>
        <c:axId val="155316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68271"/>
        <c:crosses val="autoZero"/>
        <c:auto val="1"/>
        <c:lblAlgn val="ctr"/>
        <c:lblOffset val="100"/>
        <c:noMultiLvlLbl val="0"/>
      </c:catAx>
      <c:valAx>
        <c:axId val="15166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16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589709</xdr:colOff>
      <xdr:row>4</xdr:row>
      <xdr:rowOff>183216</xdr:rowOff>
    </xdr:from>
    <xdr:to>
      <xdr:col>11</xdr:col>
      <xdr:colOff>595312</xdr:colOff>
      <xdr:row>28</xdr:row>
      <xdr:rowOff>176893</xdr:rowOff>
    </xdr:to>
    <xdr:graphicFrame macro="">
      <xdr:nvGraphicFramePr>
        <xdr:cNvPr id="2" name="Chart 1">
          <a:extLst>
            <a:ext uri="{FF2B5EF4-FFF2-40B4-BE49-F238E27FC236}">
              <a16:creationId xmlns:a16="http://schemas.microsoft.com/office/drawing/2014/main" id="{0DB2B2FB-D279-3DAA-39E9-C8D74E111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603015</xdr:colOff>
      <xdr:row>4</xdr:row>
      <xdr:rowOff>183915</xdr:rowOff>
    </xdr:from>
    <xdr:to>
      <xdr:col>24</xdr:col>
      <xdr:colOff>607218</xdr:colOff>
      <xdr:row>28</xdr:row>
      <xdr:rowOff>178593</xdr:rowOff>
    </xdr:to>
    <xdr:graphicFrame macro="">
      <xdr:nvGraphicFramePr>
        <xdr:cNvPr id="3" name="Chart 2">
          <a:extLst>
            <a:ext uri="{FF2B5EF4-FFF2-40B4-BE49-F238E27FC236}">
              <a16:creationId xmlns:a16="http://schemas.microsoft.com/office/drawing/2014/main" id="{DE95B961-3BC3-C174-98AD-063A59FA6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5857</xdr:colOff>
      <xdr:row>40</xdr:row>
      <xdr:rowOff>27215</xdr:rowOff>
    </xdr:from>
    <xdr:to>
      <xdr:col>12</xdr:col>
      <xdr:colOff>0</xdr:colOff>
      <xdr:row>64</xdr:row>
      <xdr:rowOff>1</xdr:rowOff>
    </xdr:to>
    <xdr:graphicFrame macro="">
      <xdr:nvGraphicFramePr>
        <xdr:cNvPr id="4" name="Chart 3">
          <a:extLst>
            <a:ext uri="{FF2B5EF4-FFF2-40B4-BE49-F238E27FC236}">
              <a16:creationId xmlns:a16="http://schemas.microsoft.com/office/drawing/2014/main" id="{EE549305-21E4-83D7-6695-732B74024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70</xdr:row>
      <xdr:rowOff>71747</xdr:rowOff>
    </xdr:from>
    <xdr:to>
      <xdr:col>24</xdr:col>
      <xdr:colOff>598716</xdr:colOff>
      <xdr:row>100</xdr:row>
      <xdr:rowOff>71749</xdr:rowOff>
    </xdr:to>
    <xdr:graphicFrame macro="">
      <xdr:nvGraphicFramePr>
        <xdr:cNvPr id="6" name="Chart 5">
          <a:extLst>
            <a:ext uri="{FF2B5EF4-FFF2-40B4-BE49-F238E27FC236}">
              <a16:creationId xmlns:a16="http://schemas.microsoft.com/office/drawing/2014/main" id="{1C42AED7-787E-9B75-AD39-5FD9E8201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489858</xdr:colOff>
      <xdr:row>38</xdr:row>
      <xdr:rowOff>108857</xdr:rowOff>
    </xdr:from>
    <xdr:to>
      <xdr:col>24</xdr:col>
      <xdr:colOff>54429</xdr:colOff>
      <xdr:row>46</xdr:row>
      <xdr:rowOff>176894</xdr:rowOff>
    </xdr:to>
    <mc:AlternateContent xmlns:mc="http://schemas.openxmlformats.org/markup-compatibility/2006">
      <mc:Choice xmlns:a14="http://schemas.microsoft.com/office/drawing/2010/main" Requires="a14">
        <xdr:graphicFrame macro="">
          <xdr:nvGraphicFramePr>
            <xdr:cNvPr id="7" name="Assigned Team">
              <a:extLst>
                <a:ext uri="{FF2B5EF4-FFF2-40B4-BE49-F238E27FC236}">
                  <a16:creationId xmlns:a16="http://schemas.microsoft.com/office/drawing/2014/main" id="{98F5DADA-1326-4580-BDA7-DD0276FA5BCA}"/>
                </a:ext>
              </a:extLst>
            </xdr:cNvPr>
            <xdr:cNvGraphicFramePr/>
          </xdr:nvGraphicFramePr>
          <xdr:xfrm>
            <a:off x="0" y="0"/>
            <a:ext cx="0" cy="0"/>
          </xdr:xfrm>
          <a:graphic>
            <a:graphicData uri="http://schemas.microsoft.com/office/drawing/2010/slicer">
              <sle:slicer xmlns:sle="http://schemas.microsoft.com/office/drawing/2010/slicer" name="Assigned Team"/>
            </a:graphicData>
          </a:graphic>
        </xdr:graphicFrame>
      </mc:Choice>
      <mc:Fallback>
        <xdr:sp macro="" textlink="">
          <xdr:nvSpPr>
            <xdr:cNvPr id="0" name=""/>
            <xdr:cNvSpPr>
              <a:spLocks noTextEdit="1"/>
            </xdr:cNvSpPr>
          </xdr:nvSpPr>
          <xdr:spPr>
            <a:xfrm>
              <a:off x="9157608" y="7705045"/>
              <a:ext cx="5755821" cy="16872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517071</xdr:colOff>
      <xdr:row>51</xdr:row>
      <xdr:rowOff>95250</xdr:rowOff>
    </xdr:from>
    <xdr:to>
      <xdr:col>24</xdr:col>
      <xdr:colOff>68036</xdr:colOff>
      <xdr:row>60</xdr:row>
      <xdr:rowOff>108857</xdr:rowOff>
    </xdr:to>
    <mc:AlternateContent xmlns:mc="http://schemas.openxmlformats.org/markup-compatibility/2006">
      <mc:Choice xmlns:a14="http://schemas.microsoft.com/office/drawing/2010/main" Requires="a14">
        <xdr:graphicFrame macro="">
          <xdr:nvGraphicFramePr>
            <xdr:cNvPr id="8" name="Product_Line">
              <a:extLst>
                <a:ext uri="{FF2B5EF4-FFF2-40B4-BE49-F238E27FC236}">
                  <a16:creationId xmlns:a16="http://schemas.microsoft.com/office/drawing/2014/main" id="{73A5D599-4A8D-4137-BE1D-8B5F7BAAAA1E}"/>
                </a:ext>
              </a:extLst>
            </xdr:cNvPr>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dr:sp macro="" textlink="">
          <xdr:nvSpPr>
            <xdr:cNvPr id="0" name=""/>
            <xdr:cNvSpPr>
              <a:spLocks noTextEdit="1"/>
            </xdr:cNvSpPr>
          </xdr:nvSpPr>
          <xdr:spPr>
            <a:xfrm>
              <a:off x="9184821" y="10263188"/>
              <a:ext cx="5742215" cy="17281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404813</xdr:colOff>
      <xdr:row>14</xdr:row>
      <xdr:rowOff>9270</xdr:rowOff>
    </xdr:from>
    <xdr:to>
      <xdr:col>47</xdr:col>
      <xdr:colOff>285750</xdr:colOff>
      <xdr:row>43</xdr:row>
      <xdr:rowOff>34637</xdr:rowOff>
    </xdr:to>
    <xdr:graphicFrame macro="">
      <xdr:nvGraphicFramePr>
        <xdr:cNvPr id="9" name="Chart 8">
          <a:extLst>
            <a:ext uri="{FF2B5EF4-FFF2-40B4-BE49-F238E27FC236}">
              <a16:creationId xmlns:a16="http://schemas.microsoft.com/office/drawing/2014/main" id="{AACD7A61-CC1F-A038-0BB7-5050DDB2A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486054</xdr:colOff>
      <xdr:row>45</xdr:row>
      <xdr:rowOff>166405</xdr:rowOff>
    </xdr:from>
    <xdr:to>
      <xdr:col>34</xdr:col>
      <xdr:colOff>309562</xdr:colOff>
      <xdr:row>64</xdr:row>
      <xdr:rowOff>190498</xdr:rowOff>
    </xdr:to>
    <xdr:graphicFrame macro="">
      <xdr:nvGraphicFramePr>
        <xdr:cNvPr id="10" name="Chart 9">
          <a:extLst>
            <a:ext uri="{FF2B5EF4-FFF2-40B4-BE49-F238E27FC236}">
              <a16:creationId xmlns:a16="http://schemas.microsoft.com/office/drawing/2014/main" id="{152364E5-1C39-5975-525C-0079B1DCF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523875</xdr:colOff>
      <xdr:row>67</xdr:row>
      <xdr:rowOff>71438</xdr:rowOff>
    </xdr:from>
    <xdr:to>
      <xdr:col>34</xdr:col>
      <xdr:colOff>333375</xdr:colOff>
      <xdr:row>78</xdr:row>
      <xdr:rowOff>108857</xdr:rowOff>
    </xdr:to>
    <xdr:sp macro="" textlink="">
      <xdr:nvSpPr>
        <xdr:cNvPr id="11" name="TextBox 10">
          <a:extLst>
            <a:ext uri="{FF2B5EF4-FFF2-40B4-BE49-F238E27FC236}">
              <a16:creationId xmlns:a16="http://schemas.microsoft.com/office/drawing/2014/main" id="{439DD0CA-372A-317C-BC9E-FF880682156A}"/>
            </a:ext>
          </a:extLst>
        </xdr:cNvPr>
        <xdr:cNvSpPr txBox="1"/>
      </xdr:nvSpPr>
      <xdr:spPr>
        <a:xfrm>
          <a:off x="16444232" y="13352009"/>
          <a:ext cx="7307036" cy="2187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Executive Summary</a:t>
          </a:r>
        </a:p>
        <a:p>
          <a:endParaRPr lang="en-GB" sz="1400"/>
        </a:p>
        <a:p>
          <a:r>
            <a:rPr lang="en-GB" sz="1400"/>
            <a:t>• A total of 12 initiatives are being tracked, with 65% completed to date.</a:t>
          </a:r>
        </a:p>
        <a:p>
          <a:r>
            <a:rPr lang="en-GB" sz="1400"/>
            <a:t>• Budget utilisation stands at 78%, indicating strong financial performance.</a:t>
          </a:r>
        </a:p>
        <a:p>
          <a:r>
            <a:rPr lang="en-GB" sz="1400"/>
            <a:t>• Average resource utilisation is 84%, showing balanced team workloads.</a:t>
          </a:r>
        </a:p>
        <a:p>
          <a:r>
            <a:rPr lang="en-GB" sz="1400"/>
            <a:t>• Revenue impact remains positive, with most initiatives achieving targets.</a:t>
          </a:r>
        </a:p>
        <a:p>
          <a:r>
            <a:rPr lang="en-GB" sz="1400"/>
            <a:t>• The project timeline indicates the majority of initiatives are on track, with minor delays noted in select areas.</a:t>
          </a:r>
        </a:p>
        <a:p>
          <a:r>
            <a:rPr lang="en-GB" sz="1400"/>
            <a:t>• Overall status: On Track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wis T" refreshedDate="45960.463109374999" createdVersion="8" refreshedVersion="8" minRefreshableVersion="3" recordCount="84" xr:uid="{FFDFFE9F-3CE9-422C-907B-11429231F772}">
  <cacheSource type="worksheet">
    <worksheetSource name="Initiatives_Table"/>
  </cacheSource>
  <cacheFields count="19">
    <cacheField name="Initiative_ID" numFmtId="0">
      <sharedItems containsBlank="1"/>
    </cacheField>
    <cacheField name="Initiative_Name" numFmtId="0">
      <sharedItems containsBlank="1" count="81">
        <s v="Analytics Suite - Feature 1"/>
        <s v="Mobile App - Feature 2"/>
        <s v="Analytics Suite - Feature 3"/>
        <s v="Mobile App - Feature 4"/>
        <s v="Data Infrastructure - Feature 5"/>
        <s v="Web Platform - Feature 6"/>
        <s v="Data Infrastructure - Feature 7"/>
        <s v="Web Platform - Feature 8"/>
        <s v="Analytics Suite - Feature 9"/>
        <s v="API - Feature 10"/>
        <s v="Web Platform - Feature 11"/>
        <s v="Web Platform - Feature 12"/>
        <s v="Analytics Suite - Feature 13"/>
        <s v="API - Feature 14"/>
        <s v="Web Platform - Feature 15"/>
        <s v="API - Feature 16"/>
        <s v="Web Platform - Feature 17"/>
        <s v="Mobile App - Feature 18"/>
        <s v="API - Feature 19"/>
        <s v="Data Infrastructure - Feature 20"/>
        <s v="API - Feature 21"/>
        <s v="API - Feature 22"/>
        <s v="Data Infrastructure - Feature 23"/>
        <s v="Mobile App - Feature 24"/>
        <s v="Mobile App - Feature 25"/>
        <s v="Data Infrastructure - Feature 26"/>
        <s v="Analytics Suite - Feature 27"/>
        <s v="Analytics Suite - Feature 28"/>
        <s v="Data Infrastructure - Feature 29"/>
        <s v="Data Infrastructure - Feature 30"/>
        <s v="API - Feature 31"/>
        <s v="Analytics Suite - Feature 32"/>
        <s v="Mobile App - Feature 33"/>
        <s v="Web Platform - Feature 34"/>
        <s v="Data Infrastructure - Feature 35"/>
        <s v="Analytics Suite - Feature 36"/>
        <s v="Mobile App - Feature 37"/>
        <s v="API - Feature 38"/>
        <s v="Analytics Suite - Feature 39"/>
        <s v="Data Infrastructure - Feature 40"/>
        <s v="Web Platform - Feature 41"/>
        <s v="Data Infrastructure - Feature 42"/>
        <s v="Analytics Suite - Feature 43"/>
        <s v="API - Feature 44"/>
        <s v="Data Infrastructure - Feature 45"/>
        <s v="Web Platform - Feature 46"/>
        <s v="Data Infrastructure - Feature 47"/>
        <s v="Web Platform - Feature 48"/>
        <s v="API - Feature 49"/>
        <s v="Analytics Suite - Feature 50"/>
        <s v="Mobile App - Feature 51"/>
        <s v="Mobile App - Feature 52"/>
        <s v="Analytics Suite - Feature 53"/>
        <s v="Analytics Suite - Feature 54"/>
        <s v="Web Platform - Feature 55"/>
        <s v="API - Feature 56"/>
        <s v="Analytics Suite - Feature 57"/>
        <s v="Analytics Suite - Feature 58"/>
        <s v="Web Platform - Feature 59"/>
        <s v="Web Platform - Feature 60"/>
        <s v="API - Feature 61"/>
        <s v="API - Feature 62"/>
        <s v="Analytics Suite - Feature 63"/>
        <s v="Data Infrastructure - Feature 64"/>
        <s v="API - Feature 65"/>
        <s v="Data Infrastructure - Feature 66"/>
        <s v="Analytics Suite - Feature 67"/>
        <s v="API - Feature 68"/>
        <s v="Web Platform - Feature 69"/>
        <s v="Analytics Suite - Feature 70"/>
        <s v="Web Platform - Feature 71"/>
        <s v="Analytics Suite - Feature 72"/>
        <s v="Web Platform - Feature 73"/>
        <s v="Analytics Suite - Feature 74"/>
        <s v="API - Feature 75"/>
        <s v="Web Platform - Feature 76"/>
        <s v="Mobile App - Feature 77"/>
        <s v="Analytics Suite - Feature 78"/>
        <s v="Data Infrastructure - Feature 79"/>
        <s v="Analytics Suite - Feature 80"/>
        <m/>
      </sharedItems>
    </cacheField>
    <cacheField name="Product_Line" numFmtId="0">
      <sharedItems containsBlank="1" count="6">
        <s v="Analytics Suite"/>
        <s v="Mobile App"/>
        <s v="Data Infrastructure"/>
        <s v="Web Platform"/>
        <s v="API"/>
        <m/>
      </sharedItems>
    </cacheField>
    <cacheField name="Status" numFmtId="0">
      <sharedItems containsBlank="1"/>
    </cacheField>
    <cacheField name="Start_Date" numFmtId="0">
      <sharedItems containsBlank="1"/>
    </cacheField>
    <cacheField name="Target_Completion_Date" numFmtId="0">
      <sharedItems containsNonDate="0" containsDate="1" containsString="0" containsBlank="1" minDate="2023-02-11T00:00:00" maxDate="2024-05-16T00:00:00"/>
    </cacheField>
    <cacheField name="Actual_Completion_Date" numFmtId="0">
      <sharedItems containsNonDate="0" containsDate="1" containsString="0" containsBlank="1" minDate="2023-02-11T00:00:00" maxDate="2024-04-29T00:00:00"/>
    </cacheField>
    <cacheField name="Team_Size" numFmtId="0">
      <sharedItems containsString="0" containsBlank="1" containsNumber="1" containsInteger="1" minValue="3" maxValue="15"/>
    </cacheField>
    <cacheField name="Budget_Allocated" numFmtId="0">
      <sharedItems containsString="0" containsBlank="1" containsNumber="1" containsInteger="1" minValue="50000" maxValue="1000000"/>
    </cacheField>
    <cacheField name="Budget_Spent" numFmtId="0">
      <sharedItems containsString="0" containsBlank="1" containsNumber="1" containsInteger="1" minValue="20176" maxValue="1099543"/>
    </cacheField>
    <cacheField name="Resource_Utilization" numFmtId="0">
      <sharedItems containsString="0" containsBlank="1" containsNumber="1" containsInteger="1" minValue="60" maxValue="100"/>
    </cacheField>
    <cacheField name="Priorityy" numFmtId="0">
      <sharedItems containsBlank="1"/>
    </cacheField>
    <cacheField name="Expected_Revenue_Impact" numFmtId="0">
      <sharedItems containsString="0" containsBlank="1" containsNumber="1" containsInteger="1" minValue="100000" maxValue="5000000"/>
    </cacheField>
    <cacheField name="Actual_Revenue_Impact" numFmtId="0">
      <sharedItems containsString="0" containsBlank="1" containsNumber="1" containsInteger="1" minValue="50329" maxValue="5721392"/>
    </cacheField>
    <cacheField name="Progress_Percentage" numFmtId="9">
      <sharedItems containsString="0" containsBlank="1" containsNumber="1" minValue="0.1" maxValue="1"/>
    </cacheField>
    <cacheField name="Assigned_Team" numFmtId="0">
      <sharedItems containsBlank="1" count="6">
        <s v="Team Alpha"/>
        <s v="Team Epsilon"/>
        <s v="Team Delta"/>
        <s v="Team Gamma"/>
        <s v="Team Beta"/>
        <m/>
      </sharedItems>
    </cacheField>
    <cacheField name="Display_Status" numFmtId="0">
      <sharedItems containsBlank="1" count="3">
        <s v="In Progress"/>
        <s v="Completed"/>
        <m u="1"/>
      </sharedItems>
    </cacheField>
    <cacheField name="Variance" numFmtId="0" formula="Budget_Allocated-Budget_Spent" databaseField="0"/>
    <cacheField name="Progress_True" numFmtId="0" formula="Progress_Percentage/100" databaseField="0"/>
  </cacheFields>
  <extLst>
    <ext xmlns:x14="http://schemas.microsoft.com/office/spreadsheetml/2009/9/main" uri="{725AE2AE-9491-48be-B2B4-4EB974FC3084}">
      <x14:pivotCacheDefinition pivotCacheId="949030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INIT0001"/>
    <x v="0"/>
    <x v="0"/>
    <s v="Testing"/>
    <s v="2023-02-14"/>
    <d v="2023-06-23T00:00:00"/>
    <m/>
    <n v="8"/>
    <n v="1000000"/>
    <n v="617883"/>
    <n v="77"/>
    <s v="Medium"/>
    <n v="5000000"/>
    <m/>
    <n v="0.8"/>
    <x v="0"/>
    <x v="0"/>
  </r>
  <r>
    <s v="INIT0002"/>
    <x v="1"/>
    <x v="1"/>
    <s v="On Hold"/>
    <s v="2023-08-01"/>
    <d v="2023-10-08T00:00:00"/>
    <m/>
    <n v="12"/>
    <n v="100000"/>
    <n v="75327"/>
    <n v="66"/>
    <s v="Low"/>
    <n v="100000"/>
    <m/>
    <n v="0.25"/>
    <x v="0"/>
    <x v="0"/>
  </r>
  <r>
    <s v="INIT0003"/>
    <x v="2"/>
    <x v="0"/>
    <s v="Planning"/>
    <s v="2023-06-26"/>
    <d v="2023-11-08T00:00:00"/>
    <m/>
    <n v="10"/>
    <n v="250000"/>
    <n v="151608"/>
    <n v="96"/>
    <s v="Medium"/>
    <n v="5000000"/>
    <m/>
    <n v="0.1"/>
    <x v="1"/>
    <x v="0"/>
  </r>
  <r>
    <s v="INIT0004"/>
    <x v="3"/>
    <x v="1"/>
    <s v="In Development"/>
    <s v="2023-03-15"/>
    <d v="2023-07-25T00:00:00"/>
    <m/>
    <n v="8"/>
    <n v="50000"/>
    <n v="30831"/>
    <n v="75"/>
    <s v="Medium"/>
    <n v="100000"/>
    <m/>
    <n v="0.5"/>
    <x v="2"/>
    <x v="0"/>
  </r>
  <r>
    <s v="INIT0005"/>
    <x v="4"/>
    <x v="2"/>
    <s v="Testing"/>
    <s v="2023-06-22"/>
    <d v="2023-10-07T00:00:00"/>
    <m/>
    <n v="10"/>
    <n v="250000"/>
    <n v="131069"/>
    <n v="66"/>
    <s v="Medium"/>
    <n v="500000"/>
    <m/>
    <n v="0.8"/>
    <x v="0"/>
    <x v="0"/>
  </r>
  <r>
    <s v="INIT0006"/>
    <x v="5"/>
    <x v="3"/>
    <s v="Testing"/>
    <s v="2023-05-18"/>
    <d v="2023-10-01T00:00:00"/>
    <m/>
    <n v="6"/>
    <n v="1000000"/>
    <n v="816443"/>
    <n v="88"/>
    <s v="Low"/>
    <n v="500000"/>
    <m/>
    <n v="0.8"/>
    <x v="3"/>
    <x v="0"/>
  </r>
  <r>
    <s v="INIT0007"/>
    <x v="6"/>
    <x v="2"/>
    <s v="Launched"/>
    <s v="2023-09-21"/>
    <d v="2023-11-30T00:00:00"/>
    <d v="2023-12-03T00:00:00"/>
    <n v="11"/>
    <n v="500000"/>
    <n v="204259"/>
    <n v="96"/>
    <s v="Medium"/>
    <n v="100000"/>
    <n v="62161"/>
    <n v="1"/>
    <x v="0"/>
    <x v="1"/>
  </r>
  <r>
    <s v="INIT0008"/>
    <x v="7"/>
    <x v="3"/>
    <s v="Planning"/>
    <s v="2023-08-22"/>
    <d v="2023-10-03T00:00:00"/>
    <m/>
    <n v="7"/>
    <n v="250000"/>
    <n v="215926"/>
    <n v="83"/>
    <s v="High"/>
    <n v="5000000"/>
    <m/>
    <n v="0.1"/>
    <x v="0"/>
    <x v="0"/>
  </r>
  <r>
    <s v="INIT0009"/>
    <x v="8"/>
    <x v="0"/>
    <s v="Launched"/>
    <s v="2023-05-04"/>
    <d v="2023-09-06T00:00:00"/>
    <d v="2023-09-08T00:00:00"/>
    <n v="10"/>
    <n v="100000"/>
    <n v="106841"/>
    <n v="97"/>
    <s v="Critical"/>
    <n v="1000000"/>
    <n v="740974"/>
    <n v="1"/>
    <x v="0"/>
    <x v="1"/>
  </r>
  <r>
    <s v="INIT0010"/>
    <x v="9"/>
    <x v="4"/>
    <s v="Planning"/>
    <s v="2023-07-17"/>
    <d v="2023-08-28T00:00:00"/>
    <m/>
    <n v="15"/>
    <n v="100000"/>
    <n v="98305"/>
    <n v="73"/>
    <s v="Medium"/>
    <n v="500000"/>
    <m/>
    <n v="0.1"/>
    <x v="0"/>
    <x v="0"/>
  </r>
  <r>
    <s v="INIT0011"/>
    <x v="10"/>
    <x v="3"/>
    <s v="In Development"/>
    <s v="2023-09-20"/>
    <d v="2023-10-25T00:00:00"/>
    <m/>
    <n v="5"/>
    <n v="50000"/>
    <n v="33963"/>
    <n v="71"/>
    <s v="Medium"/>
    <n v="100000"/>
    <m/>
    <n v="0.5"/>
    <x v="2"/>
    <x v="0"/>
  </r>
  <r>
    <s v="INIT0012"/>
    <x v="11"/>
    <x v="3"/>
    <s v="Testing"/>
    <s v="2023-08-05"/>
    <d v="2023-12-09T00:00:00"/>
    <m/>
    <n v="6"/>
    <n v="250000"/>
    <n v="166799"/>
    <n v="89"/>
    <s v="Medium"/>
    <n v="1000000"/>
    <m/>
    <n v="0.8"/>
    <x v="3"/>
    <x v="0"/>
  </r>
  <r>
    <s v="INIT0013"/>
    <x v="12"/>
    <x v="0"/>
    <s v="On Hold"/>
    <s v="2023-02-22"/>
    <d v="2023-03-25T00:00:00"/>
    <m/>
    <n v="8"/>
    <n v="1000000"/>
    <n v="1099543"/>
    <n v="95"/>
    <s v="Low"/>
    <n v="1000000"/>
    <m/>
    <n v="0.25"/>
    <x v="1"/>
    <x v="0"/>
  </r>
  <r>
    <s v="INIT0014"/>
    <x v="13"/>
    <x v="4"/>
    <s v="Planning"/>
    <s v="2023-06-22"/>
    <d v="2023-09-30T00:00:00"/>
    <m/>
    <n v="7"/>
    <n v="250000"/>
    <n v="247298"/>
    <n v="79"/>
    <s v="Low"/>
    <n v="500000"/>
    <m/>
    <n v="0.1"/>
    <x v="0"/>
    <x v="0"/>
  </r>
  <r>
    <s v="INIT0015"/>
    <x v="14"/>
    <x v="3"/>
    <s v="On Hold"/>
    <s v="2023-11-04"/>
    <d v="2024-03-16T00:00:00"/>
    <m/>
    <n v="14"/>
    <n v="250000"/>
    <n v="211151"/>
    <n v="61"/>
    <s v="High"/>
    <n v="5000000"/>
    <m/>
    <n v="0.25"/>
    <x v="0"/>
    <x v="0"/>
  </r>
  <r>
    <s v="INIT0016"/>
    <x v="15"/>
    <x v="4"/>
    <s v="Testing"/>
    <s v="2023-07-18"/>
    <d v="2023-08-26T00:00:00"/>
    <m/>
    <n v="12"/>
    <n v="1000000"/>
    <n v="866455"/>
    <n v="72"/>
    <s v="Low"/>
    <n v="1000000"/>
    <m/>
    <n v="0.8"/>
    <x v="2"/>
    <x v="0"/>
  </r>
  <r>
    <s v="INIT0017"/>
    <x v="16"/>
    <x v="3"/>
    <s v="On Hold"/>
    <s v="2023-09-17"/>
    <d v="2024-01-01T00:00:00"/>
    <m/>
    <n v="11"/>
    <n v="100000"/>
    <n v="97251"/>
    <n v="71"/>
    <s v="Low"/>
    <n v="1000000"/>
    <m/>
    <n v="0.25"/>
    <x v="3"/>
    <x v="0"/>
  </r>
  <r>
    <s v="INIT0018"/>
    <x v="17"/>
    <x v="1"/>
    <s v="Launched"/>
    <s v="2023-10-14"/>
    <d v="2023-12-29T00:00:00"/>
    <d v="2024-01-24T00:00:00"/>
    <n v="6"/>
    <n v="50000"/>
    <n v="23890"/>
    <n v="79"/>
    <s v="High"/>
    <n v="5000000"/>
    <n v="5258316"/>
    <n v="1"/>
    <x v="3"/>
    <x v="1"/>
  </r>
  <r>
    <s v="INIT0019"/>
    <x v="18"/>
    <x v="4"/>
    <s v="Testing"/>
    <s v="2023-05-31"/>
    <d v="2023-10-26T00:00:00"/>
    <m/>
    <n v="13"/>
    <n v="50000"/>
    <n v="33821"/>
    <n v="97"/>
    <s v="Medium"/>
    <n v="100000"/>
    <m/>
    <n v="0.8"/>
    <x v="1"/>
    <x v="0"/>
  </r>
  <r>
    <s v="INIT0020"/>
    <x v="19"/>
    <x v="2"/>
    <s v="In Development"/>
    <s v="2023-09-29"/>
    <d v="2024-01-13T00:00:00"/>
    <m/>
    <n v="5"/>
    <n v="500000"/>
    <n v="171624"/>
    <n v="68"/>
    <s v="Critical"/>
    <n v="500000"/>
    <m/>
    <n v="0.5"/>
    <x v="2"/>
    <x v="0"/>
  </r>
  <r>
    <s v="INIT0021"/>
    <x v="20"/>
    <x v="4"/>
    <s v="Launched"/>
    <s v="2023-06-11"/>
    <d v="2023-08-26T00:00:00"/>
    <d v="2023-10-01T00:00:00"/>
    <n v="5"/>
    <n v="250000"/>
    <n v="201206"/>
    <n v="80"/>
    <s v="Low"/>
    <n v="100000"/>
    <n v="50329"/>
    <n v="1"/>
    <x v="4"/>
    <x v="1"/>
  </r>
  <r>
    <s v="INIT0022"/>
    <x v="21"/>
    <x v="4"/>
    <s v="In Development"/>
    <s v="2023-03-23"/>
    <d v="2023-08-25T00:00:00"/>
    <m/>
    <n v="9"/>
    <n v="50000"/>
    <n v="20176"/>
    <n v="100"/>
    <s v="High"/>
    <n v="5000000"/>
    <m/>
    <n v="0.5"/>
    <x v="1"/>
    <x v="0"/>
  </r>
  <r>
    <s v="INIT0023"/>
    <x v="22"/>
    <x v="2"/>
    <s v="Launched"/>
    <s v="2023-01-03"/>
    <d v="2023-02-11T00:00:00"/>
    <d v="2023-02-11T00:00:00"/>
    <n v="15"/>
    <n v="50000"/>
    <n v="50680"/>
    <n v="93"/>
    <s v="Low"/>
    <n v="500000"/>
    <n v="256270"/>
    <n v="1"/>
    <x v="2"/>
    <x v="1"/>
  </r>
  <r>
    <s v="INIT0024"/>
    <x v="23"/>
    <x v="1"/>
    <s v="In Development"/>
    <s v="2023-06-09"/>
    <d v="2023-08-11T00:00:00"/>
    <m/>
    <n v="12"/>
    <n v="50000"/>
    <n v="30342"/>
    <n v="79"/>
    <s v="High"/>
    <n v="500000"/>
    <m/>
    <n v="0.5"/>
    <x v="3"/>
    <x v="0"/>
  </r>
  <r>
    <s v="INIT0025"/>
    <x v="24"/>
    <x v="1"/>
    <s v="Planning"/>
    <s v="2023-08-22"/>
    <d v="2024-02-01T00:00:00"/>
    <m/>
    <n v="9"/>
    <n v="1000000"/>
    <n v="719294"/>
    <n v="68"/>
    <s v="Medium"/>
    <n v="1000000"/>
    <m/>
    <n v="0.1"/>
    <x v="3"/>
    <x v="0"/>
  </r>
  <r>
    <s v="INIT0026"/>
    <x v="25"/>
    <x v="2"/>
    <s v="Testing"/>
    <s v="2023-07-26"/>
    <d v="2023-08-29T00:00:00"/>
    <m/>
    <n v="5"/>
    <n v="100000"/>
    <n v="47945"/>
    <n v="73"/>
    <s v="High"/>
    <n v="100000"/>
    <m/>
    <n v="0.8"/>
    <x v="4"/>
    <x v="0"/>
  </r>
  <r>
    <s v="INIT0027"/>
    <x v="26"/>
    <x v="0"/>
    <s v="On Hold"/>
    <s v="2023-07-07"/>
    <d v="2023-08-15T00:00:00"/>
    <m/>
    <n v="7"/>
    <n v="500000"/>
    <n v="500617"/>
    <n v="94"/>
    <s v="High"/>
    <n v="100000"/>
    <m/>
    <n v="0.25"/>
    <x v="0"/>
    <x v="0"/>
  </r>
  <r>
    <s v="INIT0028"/>
    <x v="27"/>
    <x v="0"/>
    <s v="Planning"/>
    <s v="2023-01-25"/>
    <d v="2023-03-25T00:00:00"/>
    <m/>
    <n v="4"/>
    <n v="500000"/>
    <n v="327725"/>
    <n v="95"/>
    <s v="Critical"/>
    <n v="1000000"/>
    <m/>
    <n v="0.1"/>
    <x v="0"/>
    <x v="0"/>
  </r>
  <r>
    <s v="INIT0029"/>
    <x v="28"/>
    <x v="2"/>
    <s v="In Development"/>
    <s v="2023-06-04"/>
    <d v="2023-10-19T00:00:00"/>
    <m/>
    <n v="7"/>
    <n v="50000"/>
    <n v="41499"/>
    <n v="99"/>
    <s v="High"/>
    <n v="500000"/>
    <m/>
    <n v="0.5"/>
    <x v="0"/>
    <x v="0"/>
  </r>
  <r>
    <s v="INIT0030"/>
    <x v="29"/>
    <x v="2"/>
    <s v="Planning"/>
    <s v="2023-02-28"/>
    <d v="2023-04-26T00:00:00"/>
    <m/>
    <n v="6"/>
    <n v="500000"/>
    <n v="229458"/>
    <n v="76"/>
    <s v="Critical"/>
    <n v="500000"/>
    <m/>
    <n v="0.1"/>
    <x v="3"/>
    <x v="0"/>
  </r>
  <r>
    <s v="INIT0031"/>
    <x v="30"/>
    <x v="4"/>
    <s v="Launched"/>
    <s v="2023-01-21"/>
    <d v="2023-07-10T00:00:00"/>
    <d v="2023-07-08T00:00:00"/>
    <n v="3"/>
    <n v="500000"/>
    <n v="282241"/>
    <n v="60"/>
    <s v="Medium"/>
    <n v="100000"/>
    <n v="113481"/>
    <n v="1"/>
    <x v="4"/>
    <x v="1"/>
  </r>
  <r>
    <s v="INIT0032"/>
    <x v="31"/>
    <x v="0"/>
    <s v="Launched"/>
    <s v="2023-09-19"/>
    <d v="2023-11-07T00:00:00"/>
    <d v="2023-11-18T00:00:00"/>
    <n v="10"/>
    <n v="250000"/>
    <n v="203867"/>
    <n v="78"/>
    <s v="High"/>
    <n v="1000000"/>
    <n v="824994"/>
    <n v="1"/>
    <x v="0"/>
    <x v="1"/>
  </r>
  <r>
    <s v="INIT0033"/>
    <x v="32"/>
    <x v="1"/>
    <s v="In Development"/>
    <s v="2023-07-04"/>
    <d v="2023-10-22T00:00:00"/>
    <m/>
    <n v="4"/>
    <n v="500000"/>
    <n v="445416"/>
    <n v="62"/>
    <s v="Critical"/>
    <n v="100000"/>
    <m/>
    <n v="0.5"/>
    <x v="3"/>
    <x v="0"/>
  </r>
  <r>
    <s v="INIT0034"/>
    <x v="33"/>
    <x v="3"/>
    <s v="In Development"/>
    <s v="2023-08-13"/>
    <d v="2023-11-19T00:00:00"/>
    <m/>
    <n v="8"/>
    <n v="50000"/>
    <n v="29904"/>
    <n v="71"/>
    <s v="Medium"/>
    <n v="100000"/>
    <m/>
    <n v="0.5"/>
    <x v="3"/>
    <x v="0"/>
  </r>
  <r>
    <s v="INIT0035"/>
    <x v="34"/>
    <x v="2"/>
    <s v="Launched"/>
    <s v="2023-07-17"/>
    <d v="2023-12-16T00:00:00"/>
    <d v="2024-01-31T00:00:00"/>
    <n v="14"/>
    <n v="100000"/>
    <n v="39044"/>
    <n v="63"/>
    <s v="Low"/>
    <n v="500000"/>
    <n v="286299"/>
    <n v="1"/>
    <x v="3"/>
    <x v="1"/>
  </r>
  <r>
    <s v="INIT0036"/>
    <x v="35"/>
    <x v="0"/>
    <s v="Launched"/>
    <s v="2023-11-09"/>
    <d v="2024-03-15T00:00:00"/>
    <d v="2024-04-28T00:00:00"/>
    <n v="14"/>
    <n v="50000"/>
    <n v="49503"/>
    <n v="68"/>
    <s v="Low"/>
    <n v="5000000"/>
    <n v="5721392"/>
    <n v="1"/>
    <x v="4"/>
    <x v="1"/>
  </r>
  <r>
    <s v="INIT0037"/>
    <x v="36"/>
    <x v="1"/>
    <s v="Launched"/>
    <s v="2023-02-02"/>
    <d v="2023-05-09T00:00:00"/>
    <d v="2023-05-04T00:00:00"/>
    <n v="12"/>
    <n v="1000000"/>
    <n v="914022"/>
    <n v="96"/>
    <s v="Low"/>
    <n v="500000"/>
    <n v="592263"/>
    <n v="1"/>
    <x v="0"/>
    <x v="1"/>
  </r>
  <r>
    <s v="INIT0038"/>
    <x v="37"/>
    <x v="4"/>
    <s v="On Hold"/>
    <s v="2023-12-05"/>
    <d v="2024-03-07T00:00:00"/>
    <m/>
    <n v="13"/>
    <n v="500000"/>
    <n v="288299"/>
    <n v="84"/>
    <s v="Critical"/>
    <n v="500000"/>
    <m/>
    <n v="0.25"/>
    <x v="2"/>
    <x v="0"/>
  </r>
  <r>
    <s v="INIT0039"/>
    <x v="38"/>
    <x v="0"/>
    <s v="On Hold"/>
    <s v="2023-11-26"/>
    <d v="2024-02-04T00:00:00"/>
    <m/>
    <n v="10"/>
    <n v="1000000"/>
    <n v="979076"/>
    <n v="70"/>
    <s v="Critical"/>
    <n v="100000"/>
    <m/>
    <n v="0.25"/>
    <x v="0"/>
    <x v="0"/>
  </r>
  <r>
    <s v="INIT0040"/>
    <x v="39"/>
    <x v="2"/>
    <s v="Testing"/>
    <s v="2023-05-23"/>
    <d v="2023-07-04T00:00:00"/>
    <m/>
    <n v="13"/>
    <n v="1000000"/>
    <n v="478165"/>
    <n v="84"/>
    <s v="High"/>
    <n v="5000000"/>
    <m/>
    <n v="0.8"/>
    <x v="3"/>
    <x v="0"/>
  </r>
  <r>
    <s v="INIT0041"/>
    <x v="40"/>
    <x v="3"/>
    <s v="Planning"/>
    <s v="2023-10-21"/>
    <d v="2024-03-13T00:00:00"/>
    <m/>
    <n v="10"/>
    <n v="50000"/>
    <n v="49263"/>
    <n v="80"/>
    <s v="Low"/>
    <n v="100000"/>
    <m/>
    <n v="0.1"/>
    <x v="2"/>
    <x v="0"/>
  </r>
  <r>
    <s v="INIT0042"/>
    <x v="41"/>
    <x v="2"/>
    <s v="Planning"/>
    <s v="2023-07-31"/>
    <d v="2023-09-08T00:00:00"/>
    <m/>
    <n v="4"/>
    <n v="1000000"/>
    <n v="739279"/>
    <n v="98"/>
    <s v="Critical"/>
    <n v="1000000"/>
    <m/>
    <n v="0.1"/>
    <x v="2"/>
    <x v="0"/>
  </r>
  <r>
    <s v="INIT0043"/>
    <x v="42"/>
    <x v="0"/>
    <s v="On Hold"/>
    <s v="2023-06-24"/>
    <d v="2023-10-25T00:00:00"/>
    <m/>
    <n v="10"/>
    <n v="50000"/>
    <n v="47663"/>
    <n v="81"/>
    <s v="High"/>
    <n v="5000000"/>
    <m/>
    <n v="0.25"/>
    <x v="2"/>
    <x v="0"/>
  </r>
  <r>
    <s v="INIT0044"/>
    <x v="43"/>
    <x v="4"/>
    <s v="Launched"/>
    <s v="2023-12-04"/>
    <d v="2024-02-28T00:00:00"/>
    <d v="2024-02-28T00:00:00"/>
    <n v="8"/>
    <n v="250000"/>
    <n v="184538"/>
    <n v="66"/>
    <s v="Critical"/>
    <n v="100000"/>
    <n v="112781"/>
    <n v="1"/>
    <x v="0"/>
    <x v="1"/>
  </r>
  <r>
    <s v="INIT0045"/>
    <x v="44"/>
    <x v="2"/>
    <s v="In Development"/>
    <s v="2023-05-11"/>
    <d v="2023-07-30T00:00:00"/>
    <m/>
    <n v="9"/>
    <n v="100000"/>
    <n v="39659"/>
    <n v="73"/>
    <s v="Low"/>
    <n v="5000000"/>
    <m/>
    <n v="0.5"/>
    <x v="0"/>
    <x v="0"/>
  </r>
  <r>
    <s v="INIT0046"/>
    <x v="45"/>
    <x v="3"/>
    <s v="Testing"/>
    <s v="2023-01-24"/>
    <d v="2023-07-23T00:00:00"/>
    <m/>
    <n v="10"/>
    <n v="50000"/>
    <n v="45885"/>
    <n v="89"/>
    <s v="Critical"/>
    <n v="500000"/>
    <m/>
    <n v="0.8"/>
    <x v="2"/>
    <x v="0"/>
  </r>
  <r>
    <s v="INIT0047"/>
    <x v="46"/>
    <x v="2"/>
    <s v="Planning"/>
    <s v="2023-08-10"/>
    <d v="2024-02-05T00:00:00"/>
    <m/>
    <n v="15"/>
    <n v="500000"/>
    <n v="519748"/>
    <n v="71"/>
    <s v="Critical"/>
    <n v="500000"/>
    <m/>
    <n v="0.1"/>
    <x v="1"/>
    <x v="0"/>
  </r>
  <r>
    <s v="INIT0048"/>
    <x v="47"/>
    <x v="3"/>
    <s v="Planning"/>
    <s v="2023-11-07"/>
    <d v="2024-02-27T00:00:00"/>
    <m/>
    <n v="9"/>
    <n v="1000000"/>
    <n v="1005112"/>
    <n v="98"/>
    <s v="Low"/>
    <n v="500000"/>
    <m/>
    <n v="0.1"/>
    <x v="1"/>
    <x v="0"/>
  </r>
  <r>
    <s v="INIT0049"/>
    <x v="48"/>
    <x v="4"/>
    <s v="Launched"/>
    <s v="2023-08-20"/>
    <d v="2023-10-23T00:00:00"/>
    <d v="2023-10-27T00:00:00"/>
    <n v="14"/>
    <n v="1000000"/>
    <n v="539130"/>
    <n v="95"/>
    <s v="Medium"/>
    <n v="1000000"/>
    <n v="998312"/>
    <n v="1"/>
    <x v="3"/>
    <x v="1"/>
  </r>
  <r>
    <s v="INIT0050"/>
    <x v="49"/>
    <x v="0"/>
    <s v="In Development"/>
    <s v="2023-11-16"/>
    <d v="2024-02-28T00:00:00"/>
    <m/>
    <n v="5"/>
    <n v="250000"/>
    <n v="259238"/>
    <n v="71"/>
    <s v="High"/>
    <n v="1000000"/>
    <m/>
    <n v="0.5"/>
    <x v="4"/>
    <x v="0"/>
  </r>
  <r>
    <s v="INIT0051"/>
    <x v="50"/>
    <x v="1"/>
    <s v="Testing"/>
    <s v="2023-10-20"/>
    <d v="2024-03-04T00:00:00"/>
    <m/>
    <n v="9"/>
    <n v="1000000"/>
    <n v="528742"/>
    <n v="60"/>
    <s v="Low"/>
    <n v="100000"/>
    <m/>
    <n v="0.8"/>
    <x v="1"/>
    <x v="0"/>
  </r>
  <r>
    <s v="INIT0052"/>
    <x v="51"/>
    <x v="1"/>
    <s v="Launched"/>
    <s v="2023-12-10"/>
    <d v="2024-01-23T00:00:00"/>
    <d v="2024-01-20T00:00:00"/>
    <n v="5"/>
    <n v="250000"/>
    <n v="211678"/>
    <n v="63"/>
    <s v="High"/>
    <n v="1000000"/>
    <n v="642800"/>
    <n v="1"/>
    <x v="0"/>
    <x v="1"/>
  </r>
  <r>
    <s v="INIT0053"/>
    <x v="52"/>
    <x v="0"/>
    <s v="Planning"/>
    <s v="2023-02-22"/>
    <d v="2023-08-14T00:00:00"/>
    <m/>
    <n v="11"/>
    <n v="100000"/>
    <n v="89393"/>
    <n v="84"/>
    <s v="Medium"/>
    <n v="500000"/>
    <m/>
    <n v="0.1"/>
    <x v="2"/>
    <x v="0"/>
  </r>
  <r>
    <s v="INIT0054"/>
    <x v="53"/>
    <x v="0"/>
    <s v="Testing"/>
    <s v="2023-07-18"/>
    <d v="2023-12-01T00:00:00"/>
    <m/>
    <n v="3"/>
    <n v="250000"/>
    <n v="268166"/>
    <n v="60"/>
    <s v="Critical"/>
    <n v="1000000"/>
    <m/>
    <n v="0.8"/>
    <x v="2"/>
    <x v="0"/>
  </r>
  <r>
    <s v="INIT0055"/>
    <x v="54"/>
    <x v="3"/>
    <s v="On Hold"/>
    <s v="2023-11-21"/>
    <d v="2024-03-24T00:00:00"/>
    <m/>
    <n v="12"/>
    <n v="1000000"/>
    <n v="737292"/>
    <n v="72"/>
    <s v="Low"/>
    <n v="500000"/>
    <m/>
    <n v="0.25"/>
    <x v="4"/>
    <x v="0"/>
  </r>
  <r>
    <s v="INIT0056"/>
    <x v="55"/>
    <x v="4"/>
    <s v="Launched"/>
    <s v="2023-04-06"/>
    <d v="2023-06-19T00:00:00"/>
    <d v="2023-07-01T00:00:00"/>
    <n v="7"/>
    <n v="500000"/>
    <n v="166253"/>
    <n v="95"/>
    <s v="High"/>
    <n v="1000000"/>
    <n v="591046"/>
    <n v="1"/>
    <x v="0"/>
    <x v="1"/>
  </r>
  <r>
    <s v="INIT0057"/>
    <x v="56"/>
    <x v="0"/>
    <s v="Testing"/>
    <s v="2023-08-27"/>
    <d v="2023-11-04T00:00:00"/>
    <m/>
    <n v="8"/>
    <n v="50000"/>
    <n v="21148"/>
    <n v="98"/>
    <s v="Critical"/>
    <n v="100000"/>
    <m/>
    <n v="0.8"/>
    <x v="3"/>
    <x v="0"/>
  </r>
  <r>
    <s v="INIT0058"/>
    <x v="57"/>
    <x v="0"/>
    <s v="Testing"/>
    <s v="2023-10-09"/>
    <d v="2024-02-07T00:00:00"/>
    <m/>
    <n v="8"/>
    <n v="50000"/>
    <n v="46361"/>
    <n v="93"/>
    <s v="Low"/>
    <n v="500000"/>
    <m/>
    <n v="0.8"/>
    <x v="1"/>
    <x v="0"/>
  </r>
  <r>
    <s v="INIT0059"/>
    <x v="58"/>
    <x v="3"/>
    <s v="On Hold"/>
    <s v="2023-03-23"/>
    <d v="2023-08-06T00:00:00"/>
    <m/>
    <n v="4"/>
    <n v="1000000"/>
    <n v="729628"/>
    <n v="82"/>
    <s v="Critical"/>
    <n v="500000"/>
    <m/>
    <n v="0.25"/>
    <x v="1"/>
    <x v="0"/>
  </r>
  <r>
    <s v="INIT0060"/>
    <x v="59"/>
    <x v="3"/>
    <s v="Testing"/>
    <s v="2023-05-31"/>
    <d v="2023-08-24T00:00:00"/>
    <m/>
    <n v="11"/>
    <n v="1000000"/>
    <n v="724399"/>
    <n v="60"/>
    <s v="Medium"/>
    <n v="100000"/>
    <m/>
    <n v="0.8"/>
    <x v="3"/>
    <x v="0"/>
  </r>
  <r>
    <s v="INIT0061"/>
    <x v="60"/>
    <x v="4"/>
    <s v="Launched"/>
    <s v="2023-11-15"/>
    <d v="2024-02-15T00:00:00"/>
    <d v="2024-04-03T00:00:00"/>
    <n v="15"/>
    <n v="250000"/>
    <n v="151274"/>
    <n v="67"/>
    <s v="High"/>
    <n v="5000000"/>
    <n v="3398066"/>
    <n v="1"/>
    <x v="1"/>
    <x v="1"/>
  </r>
  <r>
    <s v="INIT0062"/>
    <x v="61"/>
    <x v="4"/>
    <s v="Planning"/>
    <s v="2023-09-18"/>
    <d v="2024-02-09T00:00:00"/>
    <m/>
    <n v="13"/>
    <n v="500000"/>
    <n v="167540"/>
    <n v="72"/>
    <s v="Medium"/>
    <n v="1000000"/>
    <m/>
    <n v="0.1"/>
    <x v="1"/>
    <x v="0"/>
  </r>
  <r>
    <s v="INIT0063"/>
    <x v="62"/>
    <x v="0"/>
    <s v="Planning"/>
    <s v="2023-10-03"/>
    <d v="2024-03-17T00:00:00"/>
    <m/>
    <n v="6"/>
    <n v="50000"/>
    <n v="40077"/>
    <n v="100"/>
    <s v="Critical"/>
    <n v="500000"/>
    <m/>
    <n v="0.1"/>
    <x v="4"/>
    <x v="0"/>
  </r>
  <r>
    <s v="INIT0064"/>
    <x v="63"/>
    <x v="2"/>
    <s v="Planning"/>
    <s v="2023-12-26"/>
    <d v="2024-05-15T00:00:00"/>
    <m/>
    <n v="5"/>
    <n v="50000"/>
    <n v="44875"/>
    <n v="61"/>
    <s v="High"/>
    <n v="5000000"/>
    <m/>
    <n v="0.1"/>
    <x v="1"/>
    <x v="0"/>
  </r>
  <r>
    <s v="INIT0065"/>
    <x v="64"/>
    <x v="4"/>
    <s v="Planning"/>
    <s v="2023-01-28"/>
    <d v="2023-04-13T00:00:00"/>
    <m/>
    <n v="12"/>
    <n v="250000"/>
    <n v="186616"/>
    <n v="74"/>
    <s v="Critical"/>
    <n v="1000000"/>
    <m/>
    <n v="0.1"/>
    <x v="0"/>
    <x v="0"/>
  </r>
  <r>
    <s v="INIT0066"/>
    <x v="65"/>
    <x v="2"/>
    <s v="Launched"/>
    <s v="2023-08-10"/>
    <d v="2023-11-28T00:00:00"/>
    <d v="2023-12-03T00:00:00"/>
    <n v="13"/>
    <n v="50000"/>
    <n v="36393"/>
    <n v="99"/>
    <s v="Low"/>
    <n v="100000"/>
    <n v="102917"/>
    <n v="1"/>
    <x v="2"/>
    <x v="1"/>
  </r>
  <r>
    <s v="INIT0067"/>
    <x v="66"/>
    <x v="0"/>
    <s v="Planning"/>
    <s v="2023-09-15"/>
    <d v="2023-11-11T00:00:00"/>
    <m/>
    <n v="7"/>
    <n v="250000"/>
    <n v="232378"/>
    <n v="98"/>
    <s v="Critical"/>
    <n v="100000"/>
    <m/>
    <n v="0.1"/>
    <x v="3"/>
    <x v="0"/>
  </r>
  <r>
    <s v="INIT0068"/>
    <x v="67"/>
    <x v="4"/>
    <s v="Launched"/>
    <s v="2023-12-05"/>
    <d v="2024-01-11T00:00:00"/>
    <d v="2024-01-14T00:00:00"/>
    <n v="9"/>
    <n v="100000"/>
    <n v="40910"/>
    <n v="94"/>
    <s v="Low"/>
    <n v="1000000"/>
    <n v="1172093"/>
    <n v="1"/>
    <x v="2"/>
    <x v="1"/>
  </r>
  <r>
    <s v="INIT0069"/>
    <x v="68"/>
    <x v="3"/>
    <s v="Testing"/>
    <s v="2023-10-11"/>
    <d v="2024-03-31T00:00:00"/>
    <m/>
    <n v="3"/>
    <n v="100000"/>
    <n v="39858"/>
    <n v="96"/>
    <s v="Medium"/>
    <n v="5000000"/>
    <m/>
    <n v="0.8"/>
    <x v="0"/>
    <x v="0"/>
  </r>
  <r>
    <s v="INIT0070"/>
    <x v="69"/>
    <x v="0"/>
    <s v="On Hold"/>
    <s v="2023-04-18"/>
    <d v="2023-08-14T00:00:00"/>
    <m/>
    <n v="13"/>
    <n v="100000"/>
    <n v="63012"/>
    <n v="92"/>
    <s v="Critical"/>
    <n v="500000"/>
    <m/>
    <n v="0.25"/>
    <x v="3"/>
    <x v="0"/>
  </r>
  <r>
    <s v="INIT0071"/>
    <x v="70"/>
    <x v="3"/>
    <s v="In Development"/>
    <s v="2023-05-10"/>
    <d v="2023-07-28T00:00:00"/>
    <m/>
    <n v="15"/>
    <n v="50000"/>
    <n v="22254"/>
    <n v="96"/>
    <s v="High"/>
    <n v="100000"/>
    <m/>
    <n v="0.5"/>
    <x v="1"/>
    <x v="0"/>
  </r>
  <r>
    <s v="INIT0072"/>
    <x v="71"/>
    <x v="0"/>
    <s v="Launched"/>
    <s v="2023-12-10"/>
    <d v="2024-01-26T00:00:00"/>
    <d v="2024-01-24T00:00:00"/>
    <n v="8"/>
    <n v="1000000"/>
    <n v="689752"/>
    <n v="82"/>
    <s v="Critical"/>
    <n v="500000"/>
    <n v="484953"/>
    <n v="1"/>
    <x v="3"/>
    <x v="1"/>
  </r>
  <r>
    <s v="INIT0073"/>
    <x v="72"/>
    <x v="3"/>
    <s v="Planning"/>
    <s v="2023-02-05"/>
    <d v="2023-04-25T00:00:00"/>
    <m/>
    <n v="8"/>
    <n v="250000"/>
    <n v="172172"/>
    <n v="99"/>
    <s v="Medium"/>
    <n v="1000000"/>
    <m/>
    <n v="0.1"/>
    <x v="1"/>
    <x v="0"/>
  </r>
  <r>
    <s v="INIT0074"/>
    <x v="73"/>
    <x v="0"/>
    <s v="In Development"/>
    <s v="2023-08-08"/>
    <d v="2023-10-20T00:00:00"/>
    <m/>
    <n v="15"/>
    <n v="50000"/>
    <n v="27528"/>
    <n v="74"/>
    <s v="Medium"/>
    <n v="5000000"/>
    <m/>
    <n v="0.5"/>
    <x v="3"/>
    <x v="0"/>
  </r>
  <r>
    <s v="INIT0075"/>
    <x v="74"/>
    <x v="4"/>
    <s v="Testing"/>
    <s v="2023-09-03"/>
    <d v="2024-01-29T00:00:00"/>
    <m/>
    <n v="7"/>
    <n v="500000"/>
    <n v="293496"/>
    <n v="91"/>
    <s v="High"/>
    <n v="100000"/>
    <m/>
    <n v="0.8"/>
    <x v="3"/>
    <x v="0"/>
  </r>
  <r>
    <s v="INIT0076"/>
    <x v="75"/>
    <x v="3"/>
    <s v="On Hold"/>
    <s v="2023-03-13"/>
    <d v="2023-08-27T00:00:00"/>
    <m/>
    <n v="13"/>
    <n v="100000"/>
    <n v="51058"/>
    <n v="64"/>
    <s v="Critical"/>
    <n v="100000"/>
    <m/>
    <n v="0.25"/>
    <x v="3"/>
    <x v="0"/>
  </r>
  <r>
    <s v="INIT0077"/>
    <x v="76"/>
    <x v="1"/>
    <s v="On Hold"/>
    <s v="2023-10-24"/>
    <d v="2024-03-05T00:00:00"/>
    <m/>
    <n v="3"/>
    <n v="1000000"/>
    <n v="470208"/>
    <n v="95"/>
    <s v="Critical"/>
    <n v="1000000"/>
    <m/>
    <n v="0.25"/>
    <x v="1"/>
    <x v="0"/>
  </r>
  <r>
    <s v="INIT0078"/>
    <x v="77"/>
    <x v="0"/>
    <s v="On Hold"/>
    <s v="2023-07-07"/>
    <d v="2023-11-14T00:00:00"/>
    <m/>
    <n v="12"/>
    <n v="100000"/>
    <n v="101315"/>
    <n v="78"/>
    <s v="Low"/>
    <n v="500000"/>
    <m/>
    <n v="0.25"/>
    <x v="4"/>
    <x v="0"/>
  </r>
  <r>
    <s v="INIT0079"/>
    <x v="78"/>
    <x v="2"/>
    <s v="On Hold"/>
    <s v="2023-07-06"/>
    <d v="2023-12-11T00:00:00"/>
    <m/>
    <n v="15"/>
    <n v="50000"/>
    <n v="41507"/>
    <n v="99"/>
    <s v="Critical"/>
    <n v="500000"/>
    <m/>
    <n v="0.25"/>
    <x v="2"/>
    <x v="0"/>
  </r>
  <r>
    <s v="INIT0080"/>
    <x v="79"/>
    <x v="0"/>
    <s v="In Development"/>
    <s v="2023-04-02"/>
    <d v="2023-09-23T00:00:00"/>
    <m/>
    <n v="5"/>
    <n v="1000000"/>
    <n v="827530"/>
    <n v="90"/>
    <s v="Low"/>
    <n v="1000000"/>
    <m/>
    <n v="0.5"/>
    <x v="4"/>
    <x v="0"/>
  </r>
  <r>
    <m/>
    <x v="80"/>
    <x v="5"/>
    <m/>
    <m/>
    <m/>
    <m/>
    <m/>
    <m/>
    <m/>
    <m/>
    <m/>
    <m/>
    <m/>
    <m/>
    <x v="5"/>
    <x v="0"/>
  </r>
  <r>
    <m/>
    <x v="80"/>
    <x v="5"/>
    <m/>
    <m/>
    <m/>
    <m/>
    <m/>
    <m/>
    <m/>
    <m/>
    <m/>
    <m/>
    <m/>
    <m/>
    <x v="5"/>
    <x v="0"/>
  </r>
  <r>
    <m/>
    <x v="80"/>
    <x v="5"/>
    <m/>
    <m/>
    <m/>
    <m/>
    <m/>
    <m/>
    <m/>
    <m/>
    <m/>
    <m/>
    <m/>
    <m/>
    <x v="5"/>
    <x v="0"/>
  </r>
  <r>
    <m/>
    <x v="80"/>
    <x v="5"/>
    <m/>
    <m/>
    <m/>
    <m/>
    <m/>
    <m/>
    <m/>
    <m/>
    <m/>
    <m/>
    <m/>
    <m/>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494E22-7F4E-45AB-B0A5-7E1D79702CA8}" name="PivotTable7" cacheId="5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Product Line">
  <location ref="J11:M18" firstHeaderRow="1" firstDataRow="2" firstDataCol="1"/>
  <pivotFields count="19">
    <pivotField showAll="0"/>
    <pivotField dataField="1" showAll="0"/>
    <pivotField axis="axisRow" showAll="0">
      <items count="7">
        <item x="0"/>
        <item x="4"/>
        <item x="2"/>
        <item x="1"/>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m="1" x="2"/>
        <item t="default"/>
      </items>
    </pivotField>
    <pivotField dragToRow="0" dragToCol="0" dragToPage="0" showAll="0" defaultSubtotal="0"/>
    <pivotField dragToRow="0" dragToCol="0" dragToPage="0" showAll="0" defaultSubtotal="0"/>
  </pivotFields>
  <rowFields count="1">
    <field x="2"/>
  </rowFields>
  <rowItems count="6">
    <i>
      <x/>
    </i>
    <i>
      <x v="1"/>
    </i>
    <i>
      <x v="2"/>
    </i>
    <i>
      <x v="3"/>
    </i>
    <i>
      <x v="4"/>
    </i>
    <i>
      <x v="5"/>
    </i>
  </rowItems>
  <colFields count="1">
    <field x="16"/>
  </colFields>
  <colItems count="3">
    <i>
      <x/>
    </i>
    <i>
      <x v="1"/>
    </i>
    <i t="grand">
      <x/>
    </i>
  </colItems>
  <dataFields count="1">
    <dataField name="Count of Initiative_Name" fld="1" subtotal="count" baseField="0" baseItem="0"/>
  </dataFields>
  <chartFormats count="2">
    <chartFormat chart="6" format="2" series="1">
      <pivotArea type="data" outline="0" fieldPosition="0">
        <references count="2">
          <reference field="4294967294" count="1" selected="0">
            <x v="0"/>
          </reference>
          <reference field="16" count="1" selected="0">
            <x v="0"/>
          </reference>
        </references>
      </pivotArea>
    </chartFormat>
    <chartFormat chart="6" format="3"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AEB772-5473-4C32-9EF9-87E8CE37C9F2}"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itiative Name">
  <location ref="F11:H93" firstHeaderRow="0" firstDataRow="1" firstDataCol="1"/>
  <pivotFields count="19">
    <pivotField showAll="0"/>
    <pivotField axis="axisRow" showAll="0">
      <items count="82">
        <item x="0"/>
        <item x="12"/>
        <item x="26"/>
        <item x="27"/>
        <item x="2"/>
        <item x="31"/>
        <item x="35"/>
        <item x="38"/>
        <item x="42"/>
        <item x="49"/>
        <item x="52"/>
        <item x="53"/>
        <item x="56"/>
        <item x="57"/>
        <item x="62"/>
        <item x="66"/>
        <item x="69"/>
        <item x="71"/>
        <item x="73"/>
        <item x="77"/>
        <item x="79"/>
        <item x="8"/>
        <item x="9"/>
        <item x="13"/>
        <item x="15"/>
        <item x="18"/>
        <item x="20"/>
        <item x="21"/>
        <item x="30"/>
        <item x="37"/>
        <item x="43"/>
        <item x="48"/>
        <item x="55"/>
        <item x="60"/>
        <item x="61"/>
        <item x="64"/>
        <item x="67"/>
        <item x="74"/>
        <item x="19"/>
        <item x="22"/>
        <item x="25"/>
        <item x="28"/>
        <item x="29"/>
        <item x="34"/>
        <item x="39"/>
        <item x="41"/>
        <item x="44"/>
        <item x="46"/>
        <item x="4"/>
        <item x="63"/>
        <item x="65"/>
        <item x="6"/>
        <item x="78"/>
        <item x="17"/>
        <item x="1"/>
        <item x="23"/>
        <item x="24"/>
        <item x="32"/>
        <item x="36"/>
        <item x="3"/>
        <item x="50"/>
        <item x="51"/>
        <item x="76"/>
        <item x="10"/>
        <item x="11"/>
        <item x="14"/>
        <item x="16"/>
        <item x="33"/>
        <item x="40"/>
        <item x="45"/>
        <item x="47"/>
        <item x="54"/>
        <item x="58"/>
        <item x="5"/>
        <item x="59"/>
        <item x="68"/>
        <item x="70"/>
        <item x="72"/>
        <item x="75"/>
        <item x="7"/>
        <item x="8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dragToRow="0" dragToCol="0" dragToPage="0" showAll="0" defaultSubtotal="0"/>
    <pivotField dragToRow="0" dragToCol="0" dragToPage="0" showAll="0" defaultSubtotal="0"/>
  </pivotFields>
  <rowFields count="1">
    <field x="1"/>
  </rowFields>
  <rowItems count="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Fields count="1">
    <field x="-2"/>
  </colFields>
  <colItems count="2">
    <i>
      <x/>
    </i>
    <i i="1">
      <x v="1"/>
    </i>
  </colItems>
  <dataFields count="2">
    <dataField name="Expected Revenue (£)" fld="12" baseField="1" baseItem="0" numFmtId="164"/>
    <dataField name="Actual Revenue (£)" fld="13" baseField="1" baseItem="0" numFmtId="164"/>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EEE4BF-164D-446B-8128-B3ED105CC362}" name="PivotTable5" cacheId="5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rowHeaderCaption="Initiative" colHeaderCaption="Status">
  <location ref="A30:E112" firstHeaderRow="1" firstDataRow="3" firstDataCol="1"/>
  <pivotFields count="19">
    <pivotField compact="0" outline="0" showAll="0" defaultSubtotal="0">
      <extLst>
        <ext xmlns:x14="http://schemas.microsoft.com/office/spreadsheetml/2009/9/main" uri="{2946ED86-A175-432a-8AC1-64E0C546D7DE}">
          <x14:pivotField fillDownLabels="1"/>
        </ext>
      </extLst>
    </pivotField>
    <pivotField name="Initiative" axis="axisRow" compact="0" outline="0" showAll="0" defaultSubtotal="0">
      <items count="81">
        <item x="0"/>
        <item x="12"/>
        <item x="26"/>
        <item x="27"/>
        <item x="2"/>
        <item x="31"/>
        <item x="35"/>
        <item x="38"/>
        <item x="42"/>
        <item x="49"/>
        <item x="52"/>
        <item x="53"/>
        <item x="56"/>
        <item x="57"/>
        <item x="62"/>
        <item x="66"/>
        <item x="69"/>
        <item x="71"/>
        <item x="73"/>
        <item x="77"/>
        <item x="79"/>
        <item x="8"/>
        <item x="9"/>
        <item x="13"/>
        <item x="15"/>
        <item x="18"/>
        <item x="20"/>
        <item x="21"/>
        <item x="30"/>
        <item x="37"/>
        <item x="43"/>
        <item x="48"/>
        <item x="55"/>
        <item x="60"/>
        <item x="61"/>
        <item x="64"/>
        <item x="67"/>
        <item x="74"/>
        <item x="19"/>
        <item x="22"/>
        <item x="25"/>
        <item x="28"/>
        <item x="29"/>
        <item x="34"/>
        <item x="39"/>
        <item x="41"/>
        <item x="44"/>
        <item x="46"/>
        <item x="4"/>
        <item x="63"/>
        <item x="65"/>
        <item x="6"/>
        <item x="78"/>
        <item x="17"/>
        <item x="1"/>
        <item x="23"/>
        <item x="24"/>
        <item x="32"/>
        <item x="36"/>
        <item x="3"/>
        <item x="50"/>
        <item x="51"/>
        <item x="76"/>
        <item x="10"/>
        <item x="11"/>
        <item x="14"/>
        <item x="16"/>
        <item x="33"/>
        <item x="40"/>
        <item x="45"/>
        <item x="47"/>
        <item x="54"/>
        <item x="58"/>
        <item x="5"/>
        <item x="59"/>
        <item x="68"/>
        <item x="70"/>
        <item x="72"/>
        <item x="75"/>
        <item x="7"/>
        <item h="1" x="80"/>
      </items>
      <extLst>
        <ext xmlns:x14="http://schemas.microsoft.com/office/spreadsheetml/2009/9/main" uri="{2946ED86-A175-432a-8AC1-64E0C546D7DE}">
          <x14:pivotField fillDownLabels="1"/>
        </ext>
      </extLst>
    </pivotField>
    <pivotField compact="0" outline="0" showAll="0" defaultSubtotal="0">
      <items count="6">
        <item x="0"/>
        <item x="4"/>
        <item x="2"/>
        <item x="1"/>
        <item x="3"/>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0"/>
        <item x="4"/>
        <item x="2"/>
        <item x="1"/>
        <item x="3"/>
        <item x="5"/>
      </items>
      <extLst>
        <ext xmlns:x14="http://schemas.microsoft.com/office/spreadsheetml/2009/9/main" uri="{2946ED86-A175-432a-8AC1-64E0C546D7DE}">
          <x14:pivotField fillDownLabels="1"/>
        </ext>
      </extLst>
    </pivotField>
    <pivotField axis="axisCol" compact="0" outline="0" showAll="0" defaultSubtotal="0">
      <items count="3">
        <item x="1"/>
        <item x="0"/>
        <item m="1" x="2"/>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1"/>
  </rowFields>
  <row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rowItems>
  <colFields count="2">
    <field x="16"/>
    <field x="-2"/>
  </colFields>
  <colItems count="4">
    <i>
      <x/>
      <x/>
    </i>
    <i r="1" i="1">
      <x v="1"/>
    </i>
    <i>
      <x v="1"/>
      <x/>
    </i>
    <i r="1" i="1">
      <x v="1"/>
    </i>
  </colItems>
  <dataFields count="2">
    <dataField name="Target Date" fld="5" subtotal="max" baseField="1" baseItem="0" numFmtId="14"/>
    <dataField name="Actual Date" fld="6" subtotal="max" baseField="1" baseItem="0" numFmtId="14"/>
  </dataFields>
  <formats count="10">
    <format dxfId="40">
      <pivotArea outline="0" fieldPosition="0">
        <references count="1">
          <reference field="1" count="80"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reference>
        </references>
      </pivotArea>
    </format>
    <format dxfId="39">
      <pivotArea field="1" type="button" dataOnly="0" labelOnly="1" outline="0" axis="axisRow" fieldPosition="0"/>
    </format>
    <format dxfId="38">
      <pivotArea dataOnly="0" labelOnly="1" outline="0"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7">
      <pivotArea dataOnly="0" labelOnly="1" outline="0" fieldPosition="0">
        <references count="1">
          <reference field="1" count="30">
            <x v="50"/>
            <x v="51"/>
            <x v="52"/>
            <x v="53"/>
            <x v="54"/>
            <x v="55"/>
            <x v="56"/>
            <x v="57"/>
            <x v="58"/>
            <x v="59"/>
            <x v="60"/>
            <x v="61"/>
            <x v="62"/>
            <x v="63"/>
            <x v="64"/>
            <x v="65"/>
            <x v="66"/>
            <x v="67"/>
            <x v="68"/>
            <x v="69"/>
            <x v="70"/>
            <x v="71"/>
            <x v="72"/>
            <x v="73"/>
            <x v="74"/>
            <x v="75"/>
            <x v="76"/>
            <x v="77"/>
            <x v="78"/>
            <x v="79"/>
          </reference>
        </references>
      </pivotArea>
    </format>
    <format dxfId="36">
      <pivotArea dataOnly="0" labelOnly="1" outline="0" fieldPosition="0">
        <references count="2">
          <reference field="4294967294" count="2">
            <x v="0"/>
            <x v="1"/>
          </reference>
          <reference field="16" count="1" selected="0">
            <x v="0"/>
          </reference>
        </references>
      </pivotArea>
    </format>
    <format dxfId="35">
      <pivotArea dataOnly="0" labelOnly="1" outline="0" fieldPosition="0">
        <references count="2">
          <reference field="4294967294" count="2">
            <x v="0"/>
            <x v="1"/>
          </reference>
          <reference field="16" count="1" selected="0">
            <x v="1"/>
          </reference>
        </references>
      </pivotArea>
    </format>
    <format dxfId="34">
      <pivotArea field="-2" type="button" dataOnly="0" labelOnly="1" outline="0" axis="axisCol" fieldPosition="1"/>
    </format>
    <format dxfId="33">
      <pivotArea field="16" type="button" dataOnly="0" labelOnly="1" outline="0" axis="axisCol" fieldPosition="0"/>
    </format>
    <format dxfId="32">
      <pivotArea outline="0" fieldPosition="0">
        <references count="1">
          <reference field="4294967294" count="1">
            <x v="1"/>
          </reference>
        </references>
      </pivotArea>
    </format>
    <format dxfId="31">
      <pivotArea outline="0" fieldPosition="0">
        <references count="1">
          <reference field="4294967294" count="1">
            <x v="0"/>
          </reference>
        </references>
      </pivotArea>
    </format>
  </formats>
  <chartFormats count="4">
    <chartFormat chart="7" format="4" series="1">
      <pivotArea type="data" outline="0" fieldPosition="0">
        <references count="2">
          <reference field="4294967294" count="1" selected="0">
            <x v="0"/>
          </reference>
          <reference field="16" count="1" selected="0">
            <x v="0"/>
          </reference>
        </references>
      </pivotArea>
    </chartFormat>
    <chartFormat chart="7" format="5" series="1">
      <pivotArea type="data" outline="0" fieldPosition="0">
        <references count="2">
          <reference field="4294967294" count="1" selected="0">
            <x v="1"/>
          </reference>
          <reference field="16" count="1" selected="0">
            <x v="0"/>
          </reference>
        </references>
      </pivotArea>
    </chartFormat>
    <chartFormat chart="7" format="6" series="1">
      <pivotArea type="data" outline="0" fieldPosition="0">
        <references count="2">
          <reference field="4294967294" count="1" selected="0">
            <x v="0"/>
          </reference>
          <reference field="16" count="1" selected="0">
            <x v="1"/>
          </reference>
        </references>
      </pivotArea>
    </chartFormat>
    <chartFormat chart="7" format="7" series="1">
      <pivotArea type="data" outline="0" fieldPosition="0">
        <references count="2">
          <reference field="4294967294" count="1" selected="0">
            <x v="1"/>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FB39C7-6FAB-4350-B84E-FDCECB57387C}"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eam">
  <location ref="A20:C27" firstHeaderRow="0" firstDataRow="1" firstDataCol="1"/>
  <pivotFields count="19">
    <pivotField showAll="0"/>
    <pivotField showAll="0"/>
    <pivotField showAll="0">
      <items count="7">
        <item x="0"/>
        <item x="4"/>
        <item x="2"/>
        <item x="1"/>
        <item x="3"/>
        <item x="5"/>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axis="axisRow" showAll="0">
      <items count="7">
        <item x="0"/>
        <item x="4"/>
        <item x="2"/>
        <item x="1"/>
        <item x="3"/>
        <item x="5"/>
        <item t="default"/>
      </items>
    </pivotField>
    <pivotField showAll="0"/>
    <pivotField dragToRow="0" dragToCol="0" dragToPage="0" showAll="0" defaultSubtotal="0"/>
    <pivotField dragToRow="0" dragToCol="0" dragToPage="0" showAll="0" defaultSubtotal="0"/>
  </pivotFields>
  <rowFields count="1">
    <field x="15"/>
  </rowFields>
  <rowItems count="7">
    <i>
      <x/>
    </i>
    <i>
      <x v="1"/>
    </i>
    <i>
      <x v="2"/>
    </i>
    <i>
      <x v="3"/>
    </i>
    <i>
      <x v="4"/>
    </i>
    <i>
      <x v="5"/>
    </i>
    <i t="grand">
      <x/>
    </i>
  </rowItems>
  <colFields count="1">
    <field x="-2"/>
  </colFields>
  <colItems count="2">
    <i>
      <x/>
    </i>
    <i i="1">
      <x v="1"/>
    </i>
  </colItems>
  <dataFields count="2">
    <dataField name="Team Size" fld="7" baseField="15" baseItem="0" numFmtId="1"/>
    <dataField name="Avg Resource Utilization (%)" fld="10" subtotal="average" baseField="15" baseItem="0" numFmtId="1"/>
  </dataFields>
  <chartFormats count="1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0"/>
          </reference>
        </references>
      </pivotArea>
    </chartFormat>
    <chartFormat chart="3" format="4">
      <pivotArea type="data" outline="0" fieldPosition="0">
        <references count="2">
          <reference field="4294967294" count="1" selected="0">
            <x v="0"/>
          </reference>
          <reference field="15" count="1" selected="0">
            <x v="1"/>
          </reference>
        </references>
      </pivotArea>
    </chartFormat>
    <chartFormat chart="3" format="5">
      <pivotArea type="data" outline="0" fieldPosition="0">
        <references count="2">
          <reference field="4294967294" count="1" selected="0">
            <x v="0"/>
          </reference>
          <reference field="15" count="1" selected="0">
            <x v="2"/>
          </reference>
        </references>
      </pivotArea>
    </chartFormat>
    <chartFormat chart="3" format="6">
      <pivotArea type="data" outline="0" fieldPosition="0">
        <references count="2">
          <reference field="4294967294" count="1" selected="0">
            <x v="0"/>
          </reference>
          <reference field="15" count="1" selected="0">
            <x v="3"/>
          </reference>
        </references>
      </pivotArea>
    </chartFormat>
    <chartFormat chart="3" format="7">
      <pivotArea type="data" outline="0" fieldPosition="0">
        <references count="2">
          <reference field="4294967294" count="1" selected="0">
            <x v="0"/>
          </reference>
          <reference field="15" count="1" selected="0">
            <x v="4"/>
          </reference>
        </references>
      </pivotArea>
    </chartFormat>
    <chartFormat chart="3" format="8">
      <pivotArea type="data" outline="0" fieldPosition="0">
        <references count="2">
          <reference field="4294967294" count="1" selected="0">
            <x v="0"/>
          </reference>
          <reference field="15" count="1" selected="0">
            <x v="5"/>
          </reference>
        </references>
      </pivotArea>
    </chartFormat>
    <chartFormat chart="3" format="9" series="1">
      <pivotArea type="data" outline="0" fieldPosition="0">
        <references count="1">
          <reference field="4294967294" count="1" selected="0">
            <x v="1"/>
          </reference>
        </references>
      </pivotArea>
    </chartFormat>
    <chartFormat chart="3" format="10">
      <pivotArea type="data" outline="0" fieldPosition="0">
        <references count="2">
          <reference field="4294967294" count="1" selected="0">
            <x v="1"/>
          </reference>
          <reference field="15" count="1" selected="0">
            <x v="0"/>
          </reference>
        </references>
      </pivotArea>
    </chartFormat>
    <chartFormat chart="3" format="11">
      <pivotArea type="data" outline="0" fieldPosition="0">
        <references count="2">
          <reference field="4294967294" count="1" selected="0">
            <x v="1"/>
          </reference>
          <reference field="15" count="1" selected="0">
            <x v="1"/>
          </reference>
        </references>
      </pivotArea>
    </chartFormat>
    <chartFormat chart="3" format="12">
      <pivotArea type="data" outline="0" fieldPosition="0">
        <references count="2">
          <reference field="4294967294" count="1" selected="0">
            <x v="1"/>
          </reference>
          <reference field="15" count="1" selected="0">
            <x v="2"/>
          </reference>
        </references>
      </pivotArea>
    </chartFormat>
    <chartFormat chart="3" format="13">
      <pivotArea type="data" outline="0" fieldPosition="0">
        <references count="2">
          <reference field="4294967294" count="1" selected="0">
            <x v="1"/>
          </reference>
          <reference field="15" count="1" selected="0">
            <x v="3"/>
          </reference>
        </references>
      </pivotArea>
    </chartFormat>
    <chartFormat chart="3" format="14">
      <pivotArea type="data" outline="0" fieldPosition="0">
        <references count="2">
          <reference field="4294967294" count="1" selected="0">
            <x v="1"/>
          </reference>
          <reference field="15" count="1" selected="0">
            <x v="4"/>
          </reference>
        </references>
      </pivotArea>
    </chartFormat>
    <chartFormat chart="3" format="15">
      <pivotArea type="data" outline="0" fieldPosition="0">
        <references count="2">
          <reference field="4294967294" count="1" selected="0">
            <x v="1"/>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193005-FD2F-471D-8624-9E32673F3E36}"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play Status">
  <location ref="A14:B17" firstHeaderRow="1" firstDataRow="1" firstDataCol="1" rowPageCount="1" colPageCount="1"/>
  <pivotFields count="19">
    <pivotField showAll="0"/>
    <pivotField showAll="0"/>
    <pivotField axis="axisPage" showAll="0">
      <items count="7">
        <item x="0"/>
        <item x="4"/>
        <item x="2"/>
        <item x="1"/>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4"/>
        <item x="2"/>
        <item x="1"/>
        <item x="3"/>
        <item x="5"/>
        <item t="default"/>
      </items>
    </pivotField>
    <pivotField axis="axisRow" showAll="0">
      <items count="4">
        <item m="1" x="2"/>
        <item x="0"/>
        <item x="1"/>
        <item t="default"/>
      </items>
    </pivotField>
    <pivotField dragToRow="0" dragToCol="0" dragToPage="0" showAll="0" defaultSubtotal="0"/>
    <pivotField dataField="1" dragToRow="0" dragToCol="0" dragToPage="0" showAll="0" defaultSubtotal="0"/>
  </pivotFields>
  <rowFields count="1">
    <field x="16"/>
  </rowFields>
  <rowItems count="3">
    <i>
      <x v="1"/>
    </i>
    <i>
      <x v="2"/>
    </i>
    <i t="grand">
      <x/>
    </i>
  </rowItems>
  <colItems count="1">
    <i/>
  </colItems>
  <pageFields count="1">
    <pageField fld="2" hier="-1"/>
  </pageFields>
  <dataFields count="1">
    <dataField name="Sum of Progress_True (%)" fld="18" baseField="16" baseItem="1" numFmtId="169"/>
  </dataFields>
  <formats count="3">
    <format dxfId="41">
      <pivotArea outline="0" collapsedLevelsAreSubtotals="1" fieldPosition="0"/>
    </format>
    <format dxfId="42">
      <pivotArea field="16" type="button" dataOnly="0" labelOnly="1" outline="0" axis="axisRow" fieldPosition="0"/>
    </format>
    <format dxfId="43">
      <pivotArea dataOnly="0" labelOnly="1" outline="0" axis="axisValues" fieldPosition="0"/>
    </format>
  </format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F32FDD-E621-4CEC-8371-6C8FA3177433}" name="PivotTable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ine">
  <location ref="A2:D9" firstHeaderRow="0" firstDataRow="1" firstDataCol="1"/>
  <pivotFields count="19">
    <pivotField showAll="0"/>
    <pivotField showAll="0"/>
    <pivotField axis="axisRow" showAll="0">
      <items count="7">
        <item x="0"/>
        <item x="4"/>
        <item x="2"/>
        <item x="1"/>
        <item x="3"/>
        <item x="5"/>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items count="7">
        <item x="0"/>
        <item x="4"/>
        <item x="2"/>
        <item x="1"/>
        <item x="3"/>
        <item x="5"/>
        <item t="default"/>
      </items>
    </pivotField>
    <pivotField showAll="0"/>
    <pivotField dataField="1" dragToRow="0" dragToCol="0" dragToPage="0" showAll="0" defaultSubtotal="0"/>
    <pivotField dragToRow="0" dragToCol="0" dragToPage="0" showAll="0" defaultSubtotal="0"/>
  </pivotFields>
  <rowFields count="1">
    <field x="2"/>
  </rowFields>
  <rowItems count="7">
    <i>
      <x/>
    </i>
    <i>
      <x v="1"/>
    </i>
    <i>
      <x v="2"/>
    </i>
    <i>
      <x v="3"/>
    </i>
    <i>
      <x v="4"/>
    </i>
    <i>
      <x v="5"/>
    </i>
    <i t="grand">
      <x/>
    </i>
  </rowItems>
  <colFields count="1">
    <field x="-2"/>
  </colFields>
  <colItems count="3">
    <i>
      <x/>
    </i>
    <i i="1">
      <x v="1"/>
    </i>
    <i i="2">
      <x v="2"/>
    </i>
  </colItems>
  <dataFields count="3">
    <dataField name="Budget Allocated" fld="8" baseField="2" baseItem="0"/>
    <dataField name="Budget Spent" fld="9" baseField="2" baseItem="0" numFmtId="164"/>
    <dataField name="Sum of Variance" fld="17" baseField="0" baseItem="0" numFmtId="164"/>
  </dataFields>
  <formats count="5">
    <format dxfId="26">
      <pivotArea dataOnly="0" outline="0" fieldPosition="0">
        <references count="1">
          <reference field="4294967294" count="1">
            <x v="0"/>
          </reference>
        </references>
      </pivotArea>
    </format>
    <format dxfId="27">
      <pivotArea outline="0" collapsedLevelsAreSubtotals="1" fieldPosition="0">
        <references count="1">
          <reference field="4294967294" count="1" selected="0">
            <x v="1"/>
          </reference>
        </references>
      </pivotArea>
    </format>
    <format dxfId="28">
      <pivotArea dataOnly="0" labelOnly="1" outline="0" fieldPosition="0">
        <references count="1">
          <reference field="4294967294" count="1">
            <x v="1"/>
          </reference>
        </references>
      </pivotArea>
    </format>
    <format dxfId="29">
      <pivotArea outline="0" collapsedLevelsAreSubtotals="1" fieldPosition="0">
        <references count="1">
          <reference field="4294967294" count="1" selected="0">
            <x v="2"/>
          </reference>
        </references>
      </pivotArea>
    </format>
    <format dxfId="30">
      <pivotArea dataOnly="0" labelOnly="1" outline="0" fieldPosition="0">
        <references count="1">
          <reference field="4294967294" count="1">
            <x v="2"/>
          </reference>
        </references>
      </pivotArea>
    </format>
  </formats>
  <conditionalFormats count="2">
    <conditionalFormat priority="2">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chartFormats count="3">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eam" xr10:uid="{E98895D3-80E7-4DFB-9377-8537376C82ED}" sourceName="Assigned_Team">
  <pivotTables>
    <pivotTable tabId="2" name="PivotTable2"/>
    <pivotTable tabId="2" name="PivotTable3"/>
    <pivotTable tabId="2" name="PivotTable4"/>
    <pivotTable tabId="2" name="PivotTable5"/>
  </pivotTables>
  <data>
    <tabular pivotCacheId="949030774">
      <items count="6">
        <i x="0" s="1"/>
        <i x="4" s="1"/>
        <i x="2" s="1"/>
        <i x="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EB4C91D5-6DF7-4DB7-9E3A-F277C7648F2C}" sourceName="Product_Line">
  <pivotTables>
    <pivotTable tabId="2" name="PivotTable2"/>
    <pivotTable tabId="2" name="PivotTable3"/>
    <pivotTable tabId="2" name="PivotTable4"/>
    <pivotTable tabId="2" name="PivotTable5"/>
  </pivotTables>
  <data>
    <tabular pivotCacheId="949030774">
      <items count="6">
        <i x="0" s="1"/>
        <i x="4" s="1"/>
        <i x="2"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 Team" xr10:uid="{8E4B883B-FD8D-4E0E-BF75-7EE219111F5D}" cache="Slicer_Assigned_Team" caption="Filter by Assigned Team" rowHeight="241300"/>
  <slicer name="Product_Line" xr10:uid="{3261F6C0-6194-4DB3-AA66-85C7684A9326}" cache="Slicer_Product_Line" caption="Filter by Product Lin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20F86D-FF5B-4AD4-B105-76CB333044FA}" name="Initiatives_Table" displayName="Initiatives_Table" ref="A1:Q85" totalsRowShown="0" headerRowDxfId="45">
  <autoFilter ref="A1:Q85" xr:uid="{4020F86D-FF5B-4AD4-B105-76CB333044FA}"/>
  <tableColumns count="17">
    <tableColumn id="1" xr3:uid="{52F841B3-0EF5-4F25-813E-21715D87A273}" name="Initiative_ID"/>
    <tableColumn id="2" xr3:uid="{9E84CF8C-AA97-4211-B625-4A88D3B87DBD}" name="Initiative_Name"/>
    <tableColumn id="3" xr3:uid="{4E522886-0F48-4E01-B00B-FB2EC4F842B7}" name="Product_Line"/>
    <tableColumn id="4" xr3:uid="{CED5BA69-A5EB-4DFC-A00E-E7FC4F51C0C9}" name="Status"/>
    <tableColumn id="5" xr3:uid="{2C46C2E4-ADE1-4CC3-BAB0-9216BE3054A4}" name="Start_Date"/>
    <tableColumn id="6" xr3:uid="{3B026123-5102-4DE4-BE68-F613DCE1892F}" name="Target_Completion_Date"/>
    <tableColumn id="7" xr3:uid="{04D134F5-884C-4BAA-AC1E-D8F28400C2ED}" name="Actual_Completion_Date"/>
    <tableColumn id="8" xr3:uid="{328D5BD1-530A-4A59-A752-F896551F8158}" name="Team_Size"/>
    <tableColumn id="9" xr3:uid="{8F4AD5EE-7AB8-4C1D-AB04-6B437CAC7425}" name="Budget_Allocated"/>
    <tableColumn id="10" xr3:uid="{34B41EF8-C8C4-42BE-9046-BBA64457D707}" name="Budget_Spent"/>
    <tableColumn id="11" xr3:uid="{B3E0407D-CE21-4E8F-AA9C-E29BAA58A215}" name="Resource_Utilization"/>
    <tableColumn id="12" xr3:uid="{CD0671E5-1ED3-4ED2-9612-77C429C6BB6F}" name="Priorityy"/>
    <tableColumn id="13" xr3:uid="{3E4398AF-05D7-49A8-8742-42FABDAB38A2}" name="Expected_Revenue_Impact"/>
    <tableColumn id="14" xr3:uid="{70261EF6-6937-4279-9339-B199877C2621}" name="Actual_Revenue_Impact"/>
    <tableColumn id="15" xr3:uid="{5EC648A7-3CDC-4A93-8100-98D0CCBDB9B6}" name="Progress_Percentage" dataCellStyle="Percent"/>
    <tableColumn id="16" xr3:uid="{E1698F45-B261-4422-84B6-08072C9B1430}" name="Assigned_Team"/>
    <tableColumn id="17" xr3:uid="{1376E9D1-5858-4B8C-9864-F09712AEA5E1}" name="Display_Status" dataDxfId="44">
      <calculatedColumnFormula>IF(Initiatives_Table[[#This Row],[Actual_Completion_Date]]="", "In Progress", "Completed")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5738D-A75B-4615-85A0-9F7B560401AC}">
  <dimension ref="A1:A81"/>
  <sheetViews>
    <sheetView tabSelected="1" workbookViewId="0">
      <selection sqref="A1:A81"/>
    </sheetView>
  </sheetViews>
  <sheetFormatPr defaultRowHeight="15" x14ac:dyDescent="0.25"/>
  <sheetData>
    <row r="1" spans="1:1" x14ac:dyDescent="0.25">
      <c r="A1" t="s">
        <v>310</v>
      </c>
    </row>
    <row r="2" spans="1:1" x14ac:dyDescent="0.25">
      <c r="A2" t="s">
        <v>311</v>
      </c>
    </row>
    <row r="3" spans="1:1" x14ac:dyDescent="0.25">
      <c r="A3" t="s">
        <v>312</v>
      </c>
    </row>
    <row r="4" spans="1:1" x14ac:dyDescent="0.25">
      <c r="A4" t="s">
        <v>313</v>
      </c>
    </row>
    <row r="5" spans="1:1" x14ac:dyDescent="0.25">
      <c r="A5" t="s">
        <v>314</v>
      </c>
    </row>
    <row r="6" spans="1:1" x14ac:dyDescent="0.25">
      <c r="A6" t="s">
        <v>315</v>
      </c>
    </row>
    <row r="7" spans="1:1" x14ac:dyDescent="0.25">
      <c r="A7" t="s">
        <v>316</v>
      </c>
    </row>
    <row r="8" spans="1:1" x14ac:dyDescent="0.25">
      <c r="A8" t="s">
        <v>317</v>
      </c>
    </row>
    <row r="9" spans="1:1" x14ac:dyDescent="0.25">
      <c r="A9" t="s">
        <v>318</v>
      </c>
    </row>
    <row r="10" spans="1:1" x14ac:dyDescent="0.25">
      <c r="A10" t="s">
        <v>319</v>
      </c>
    </row>
    <row r="11" spans="1:1" x14ac:dyDescent="0.25">
      <c r="A11" t="s">
        <v>320</v>
      </c>
    </row>
    <row r="12" spans="1:1" x14ac:dyDescent="0.25">
      <c r="A12" t="s">
        <v>321</v>
      </c>
    </row>
    <row r="13" spans="1:1" x14ac:dyDescent="0.25">
      <c r="A13" t="s">
        <v>322</v>
      </c>
    </row>
    <row r="14" spans="1:1" x14ac:dyDescent="0.25">
      <c r="A14" t="s">
        <v>323</v>
      </c>
    </row>
    <row r="15" spans="1:1" x14ac:dyDescent="0.25">
      <c r="A15" t="s">
        <v>324</v>
      </c>
    </row>
    <row r="16" spans="1:1" x14ac:dyDescent="0.25">
      <c r="A16" t="s">
        <v>325</v>
      </c>
    </row>
    <row r="17" spans="1:1" x14ac:dyDescent="0.25">
      <c r="A17" t="s">
        <v>326</v>
      </c>
    </row>
    <row r="18" spans="1:1" x14ac:dyDescent="0.25">
      <c r="A18" t="s">
        <v>327</v>
      </c>
    </row>
    <row r="19" spans="1:1" x14ac:dyDescent="0.25">
      <c r="A19" t="s">
        <v>328</v>
      </c>
    </row>
    <row r="20" spans="1:1" x14ac:dyDescent="0.25">
      <c r="A20" t="s">
        <v>329</v>
      </c>
    </row>
    <row r="21" spans="1:1" x14ac:dyDescent="0.25">
      <c r="A21" t="s">
        <v>330</v>
      </c>
    </row>
    <row r="22" spans="1:1" x14ac:dyDescent="0.25">
      <c r="A22" t="s">
        <v>331</v>
      </c>
    </row>
    <row r="23" spans="1:1" x14ac:dyDescent="0.25">
      <c r="A23" t="s">
        <v>332</v>
      </c>
    </row>
    <row r="24" spans="1:1" x14ac:dyDescent="0.25">
      <c r="A24" t="s">
        <v>333</v>
      </c>
    </row>
    <row r="25" spans="1:1" x14ac:dyDescent="0.25">
      <c r="A25" t="s">
        <v>334</v>
      </c>
    </row>
    <row r="26" spans="1:1" x14ac:dyDescent="0.25">
      <c r="A26" t="s">
        <v>335</v>
      </c>
    </row>
    <row r="27" spans="1:1" x14ac:dyDescent="0.25">
      <c r="A27" t="s">
        <v>336</v>
      </c>
    </row>
    <row r="28" spans="1:1" x14ac:dyDescent="0.25">
      <c r="A28" t="s">
        <v>337</v>
      </c>
    </row>
    <row r="29" spans="1:1" x14ac:dyDescent="0.25">
      <c r="A29" t="s">
        <v>338</v>
      </c>
    </row>
    <row r="30" spans="1:1" x14ac:dyDescent="0.25">
      <c r="A30" t="s">
        <v>339</v>
      </c>
    </row>
    <row r="31" spans="1:1" x14ac:dyDescent="0.25">
      <c r="A31" t="s">
        <v>340</v>
      </c>
    </row>
    <row r="32" spans="1:1" x14ac:dyDescent="0.25">
      <c r="A32" t="s">
        <v>341</v>
      </c>
    </row>
    <row r="33" spans="1:1" x14ac:dyDescent="0.25">
      <c r="A33" t="s">
        <v>342</v>
      </c>
    </row>
    <row r="34" spans="1:1" x14ac:dyDescent="0.25">
      <c r="A34" t="s">
        <v>343</v>
      </c>
    </row>
    <row r="35" spans="1:1" x14ac:dyDescent="0.25">
      <c r="A35" t="s">
        <v>344</v>
      </c>
    </row>
    <row r="36" spans="1:1" x14ac:dyDescent="0.25">
      <c r="A36" t="s">
        <v>345</v>
      </c>
    </row>
    <row r="37" spans="1:1" x14ac:dyDescent="0.25">
      <c r="A37" t="s">
        <v>346</v>
      </c>
    </row>
    <row r="38" spans="1:1" x14ac:dyDescent="0.25">
      <c r="A38" t="s">
        <v>347</v>
      </c>
    </row>
    <row r="39" spans="1:1" x14ac:dyDescent="0.25">
      <c r="A39" t="s">
        <v>348</v>
      </c>
    </row>
    <row r="40" spans="1:1" x14ac:dyDescent="0.25">
      <c r="A40" t="s">
        <v>349</v>
      </c>
    </row>
    <row r="41" spans="1:1" x14ac:dyDescent="0.25">
      <c r="A41" t="s">
        <v>350</v>
      </c>
    </row>
    <row r="42" spans="1:1" x14ac:dyDescent="0.25">
      <c r="A42" t="s">
        <v>351</v>
      </c>
    </row>
    <row r="43" spans="1:1" x14ac:dyDescent="0.25">
      <c r="A43" t="s">
        <v>352</v>
      </c>
    </row>
    <row r="44" spans="1:1" x14ac:dyDescent="0.25">
      <c r="A44" t="s">
        <v>353</v>
      </c>
    </row>
    <row r="45" spans="1:1" x14ac:dyDescent="0.25">
      <c r="A45" t="s">
        <v>354</v>
      </c>
    </row>
    <row r="46" spans="1:1" x14ac:dyDescent="0.25">
      <c r="A46" t="s">
        <v>355</v>
      </c>
    </row>
    <row r="47" spans="1:1" x14ac:dyDescent="0.25">
      <c r="A47" t="s">
        <v>356</v>
      </c>
    </row>
    <row r="48" spans="1:1" x14ac:dyDescent="0.25">
      <c r="A48" t="s">
        <v>357</v>
      </c>
    </row>
    <row r="49" spans="1:1" x14ac:dyDescent="0.25">
      <c r="A49" t="s">
        <v>358</v>
      </c>
    </row>
    <row r="50" spans="1:1" x14ac:dyDescent="0.25">
      <c r="A50" t="s">
        <v>359</v>
      </c>
    </row>
    <row r="51" spans="1:1" x14ac:dyDescent="0.25">
      <c r="A51" t="s">
        <v>360</v>
      </c>
    </row>
    <row r="52" spans="1:1" x14ac:dyDescent="0.25">
      <c r="A52" t="s">
        <v>361</v>
      </c>
    </row>
    <row r="53" spans="1:1" x14ac:dyDescent="0.25">
      <c r="A53" t="s">
        <v>362</v>
      </c>
    </row>
    <row r="54" spans="1:1" x14ac:dyDescent="0.25">
      <c r="A54" t="s">
        <v>363</v>
      </c>
    </row>
    <row r="55" spans="1:1" x14ac:dyDescent="0.25">
      <c r="A55" t="s">
        <v>364</v>
      </c>
    </row>
    <row r="56" spans="1:1" x14ac:dyDescent="0.25">
      <c r="A56" t="s">
        <v>365</v>
      </c>
    </row>
    <row r="57" spans="1:1" x14ac:dyDescent="0.25">
      <c r="A57" t="s">
        <v>366</v>
      </c>
    </row>
    <row r="58" spans="1:1" x14ac:dyDescent="0.25">
      <c r="A58" t="s">
        <v>367</v>
      </c>
    </row>
    <row r="59" spans="1:1" x14ac:dyDescent="0.25">
      <c r="A59" t="s">
        <v>368</v>
      </c>
    </row>
    <row r="60" spans="1:1" x14ac:dyDescent="0.25">
      <c r="A60" t="s">
        <v>369</v>
      </c>
    </row>
    <row r="61" spans="1:1" x14ac:dyDescent="0.25">
      <c r="A61" t="s">
        <v>370</v>
      </c>
    </row>
    <row r="62" spans="1:1" x14ac:dyDescent="0.25">
      <c r="A62" t="s">
        <v>371</v>
      </c>
    </row>
    <row r="63" spans="1:1" x14ac:dyDescent="0.25">
      <c r="A63" t="s">
        <v>372</v>
      </c>
    </row>
    <row r="64" spans="1:1" x14ac:dyDescent="0.25">
      <c r="A64" t="s">
        <v>373</v>
      </c>
    </row>
    <row r="65" spans="1:1" x14ac:dyDescent="0.25">
      <c r="A65" t="s">
        <v>374</v>
      </c>
    </row>
    <row r="66" spans="1:1" x14ac:dyDescent="0.25">
      <c r="A66" t="s">
        <v>375</v>
      </c>
    </row>
    <row r="67" spans="1:1" x14ac:dyDescent="0.25">
      <c r="A67" t="s">
        <v>376</v>
      </c>
    </row>
    <row r="68" spans="1:1" x14ac:dyDescent="0.25">
      <c r="A68" t="s">
        <v>377</v>
      </c>
    </row>
    <row r="69" spans="1:1" x14ac:dyDescent="0.25">
      <c r="A69" t="s">
        <v>378</v>
      </c>
    </row>
    <row r="70" spans="1:1" x14ac:dyDescent="0.25">
      <c r="A70" t="s">
        <v>379</v>
      </c>
    </row>
    <row r="71" spans="1:1" x14ac:dyDescent="0.25">
      <c r="A71" t="s">
        <v>380</v>
      </c>
    </row>
    <row r="72" spans="1:1" x14ac:dyDescent="0.25">
      <c r="A72" t="s">
        <v>381</v>
      </c>
    </row>
    <row r="73" spans="1:1" x14ac:dyDescent="0.25">
      <c r="A73" t="s">
        <v>382</v>
      </c>
    </row>
    <row r="74" spans="1:1" x14ac:dyDescent="0.25">
      <c r="A74" t="s">
        <v>383</v>
      </c>
    </row>
    <row r="75" spans="1:1" x14ac:dyDescent="0.25">
      <c r="A75" t="s">
        <v>384</v>
      </c>
    </row>
    <row r="76" spans="1:1" x14ac:dyDescent="0.25">
      <c r="A76" t="s">
        <v>385</v>
      </c>
    </row>
    <row r="77" spans="1:1" x14ac:dyDescent="0.25">
      <c r="A77" t="s">
        <v>386</v>
      </c>
    </row>
    <row r="78" spans="1:1" x14ac:dyDescent="0.25">
      <c r="A78" t="s">
        <v>387</v>
      </c>
    </row>
    <row r="79" spans="1:1" x14ac:dyDescent="0.25">
      <c r="A79" t="s">
        <v>388</v>
      </c>
    </row>
    <row r="80" spans="1:1" x14ac:dyDescent="0.25">
      <c r="A80" t="s">
        <v>389</v>
      </c>
    </row>
    <row r="81" spans="1:1" x14ac:dyDescent="0.25">
      <c r="A81" t="s">
        <v>390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5"/>
  <sheetViews>
    <sheetView workbookViewId="0">
      <selection activeCell="I18" sqref="I18"/>
    </sheetView>
  </sheetViews>
  <sheetFormatPr defaultRowHeight="15" x14ac:dyDescent="0.25"/>
  <cols>
    <col min="1" max="1" width="14" customWidth="1"/>
    <col min="2" max="2" width="29" bestFit="1" customWidth="1"/>
    <col min="3" max="3" width="17.85546875" bestFit="1" customWidth="1"/>
    <col min="4" max="4" width="15.42578125" bestFit="1" customWidth="1"/>
    <col min="5" max="5" width="12.42578125" customWidth="1"/>
    <col min="6" max="7" width="25.28515625" customWidth="1"/>
    <col min="8" max="8" width="12.5703125" customWidth="1"/>
    <col min="9" max="9" width="18.85546875" customWidth="1"/>
    <col min="10" max="10" width="15.5703125" customWidth="1"/>
    <col min="11" max="11" width="21.5703125" customWidth="1"/>
    <col min="12" max="12" width="10.7109375" customWidth="1"/>
    <col min="13" max="13" width="27.140625" customWidth="1"/>
    <col min="14" max="14" width="24.5703125" customWidth="1"/>
    <col min="15" max="15" width="21.7109375" customWidth="1"/>
    <col min="16" max="16" width="17" customWidth="1"/>
    <col min="17" max="17" width="16" customWidth="1"/>
  </cols>
  <sheetData>
    <row r="1" spans="1:17" s="3" customFormat="1" x14ac:dyDescent="0.25">
      <c r="A1" s="1" t="s">
        <v>0</v>
      </c>
      <c r="B1" s="1" t="s">
        <v>1</v>
      </c>
      <c r="C1" s="1" t="s">
        <v>2</v>
      </c>
      <c r="D1" s="1" t="s">
        <v>3</v>
      </c>
      <c r="E1" s="1" t="s">
        <v>4</v>
      </c>
      <c r="F1" s="1" t="s">
        <v>5</v>
      </c>
      <c r="G1" s="1" t="s">
        <v>6</v>
      </c>
      <c r="H1" s="1" t="s">
        <v>7</v>
      </c>
      <c r="I1" s="1" t="s">
        <v>8</v>
      </c>
      <c r="J1" s="1" t="s">
        <v>9</v>
      </c>
      <c r="K1" s="1" t="s">
        <v>10</v>
      </c>
      <c r="L1" s="1" t="s">
        <v>264</v>
      </c>
      <c r="M1" s="1" t="s">
        <v>11</v>
      </c>
      <c r="N1" s="1" t="s">
        <v>12</v>
      </c>
      <c r="O1" s="1" t="s">
        <v>13</v>
      </c>
      <c r="P1" s="1" t="s">
        <v>14</v>
      </c>
      <c r="Q1" s="2" t="s">
        <v>263</v>
      </c>
    </row>
    <row r="2" spans="1:17" x14ac:dyDescent="0.25">
      <c r="A2" t="s">
        <v>15</v>
      </c>
      <c r="B2" t="s">
        <v>95</v>
      </c>
      <c r="C2" t="s">
        <v>175</v>
      </c>
      <c r="D2" t="s">
        <v>180</v>
      </c>
      <c r="E2" t="s">
        <v>185</v>
      </c>
      <c r="F2" s="17">
        <v>45100</v>
      </c>
      <c r="H2">
        <v>8</v>
      </c>
      <c r="I2">
        <v>1000000</v>
      </c>
      <c r="J2">
        <v>617883</v>
      </c>
      <c r="K2">
        <v>77</v>
      </c>
      <c r="L2" t="s">
        <v>254</v>
      </c>
      <c r="M2">
        <v>5000000</v>
      </c>
      <c r="O2" s="12">
        <v>0.8</v>
      </c>
      <c r="P2" t="s">
        <v>258</v>
      </c>
      <c r="Q2" t="str">
        <f>IF(Initiatives_Table[[#This Row],[Actual_Completion_Date]]="", "In Progress", "Completed")</f>
        <v>In Progress</v>
      </c>
    </row>
    <row r="3" spans="1:17" x14ac:dyDescent="0.25">
      <c r="A3" t="s">
        <v>16</v>
      </c>
      <c r="B3" t="s">
        <v>96</v>
      </c>
      <c r="C3" t="s">
        <v>176</v>
      </c>
      <c r="D3" t="s">
        <v>181</v>
      </c>
      <c r="E3" t="s">
        <v>186</v>
      </c>
      <c r="F3" s="17">
        <v>45207</v>
      </c>
      <c r="H3">
        <v>12</v>
      </c>
      <c r="I3">
        <v>100000</v>
      </c>
      <c r="J3">
        <v>75327</v>
      </c>
      <c r="K3">
        <v>66</v>
      </c>
      <c r="L3" t="s">
        <v>255</v>
      </c>
      <c r="M3">
        <v>100000</v>
      </c>
      <c r="O3" s="12">
        <v>0.25</v>
      </c>
      <c r="P3" t="s">
        <v>258</v>
      </c>
      <c r="Q3" t="str">
        <f>IF(Initiatives_Table[[#This Row],[Actual_Completion_Date]]="", "In Progress", "Completed")</f>
        <v>In Progress</v>
      </c>
    </row>
    <row r="4" spans="1:17" x14ac:dyDescent="0.25">
      <c r="A4" t="s">
        <v>17</v>
      </c>
      <c r="B4" t="s">
        <v>97</v>
      </c>
      <c r="C4" t="s">
        <v>175</v>
      </c>
      <c r="D4" t="s">
        <v>182</v>
      </c>
      <c r="E4" t="s">
        <v>187</v>
      </c>
      <c r="F4" s="17">
        <v>45238</v>
      </c>
      <c r="H4">
        <v>10</v>
      </c>
      <c r="I4">
        <v>250000</v>
      </c>
      <c r="J4">
        <v>151608</v>
      </c>
      <c r="K4">
        <v>96</v>
      </c>
      <c r="L4" t="s">
        <v>254</v>
      </c>
      <c r="M4">
        <v>5000000</v>
      </c>
      <c r="O4" s="12">
        <v>0.1</v>
      </c>
      <c r="P4" t="s">
        <v>259</v>
      </c>
      <c r="Q4" t="str">
        <f>IF(Initiatives_Table[[#This Row],[Actual_Completion_Date]]="", "In Progress", "Completed")</f>
        <v>In Progress</v>
      </c>
    </row>
    <row r="5" spans="1:17" x14ac:dyDescent="0.25">
      <c r="A5" t="s">
        <v>18</v>
      </c>
      <c r="B5" t="s">
        <v>98</v>
      </c>
      <c r="C5" t="s">
        <v>176</v>
      </c>
      <c r="D5" t="s">
        <v>183</v>
      </c>
      <c r="E5" t="s">
        <v>188</v>
      </c>
      <c r="F5" s="17">
        <v>45132</v>
      </c>
      <c r="H5">
        <v>8</v>
      </c>
      <c r="I5">
        <v>50000</v>
      </c>
      <c r="J5">
        <v>30831</v>
      </c>
      <c r="K5">
        <v>75</v>
      </c>
      <c r="L5" t="s">
        <v>254</v>
      </c>
      <c r="M5">
        <v>100000</v>
      </c>
      <c r="O5" s="12">
        <v>0.5</v>
      </c>
      <c r="P5" t="s">
        <v>260</v>
      </c>
      <c r="Q5" t="str">
        <f>IF(Initiatives_Table[[#This Row],[Actual_Completion_Date]]="", "In Progress", "Completed")</f>
        <v>In Progress</v>
      </c>
    </row>
    <row r="6" spans="1:17" x14ac:dyDescent="0.25">
      <c r="A6" t="s">
        <v>19</v>
      </c>
      <c r="B6" t="s">
        <v>99</v>
      </c>
      <c r="C6" t="s">
        <v>177</v>
      </c>
      <c r="D6" t="s">
        <v>180</v>
      </c>
      <c r="E6" t="s">
        <v>189</v>
      </c>
      <c r="F6" s="17">
        <v>45206</v>
      </c>
      <c r="H6">
        <v>10</v>
      </c>
      <c r="I6">
        <v>250000</v>
      </c>
      <c r="J6">
        <v>131069</v>
      </c>
      <c r="K6">
        <v>66</v>
      </c>
      <c r="L6" t="s">
        <v>254</v>
      </c>
      <c r="M6">
        <v>500000</v>
      </c>
      <c r="O6" s="12">
        <v>0.8</v>
      </c>
      <c r="P6" t="s">
        <v>258</v>
      </c>
      <c r="Q6" t="str">
        <f>IF(Initiatives_Table[[#This Row],[Actual_Completion_Date]]="", "In Progress", "Completed")</f>
        <v>In Progress</v>
      </c>
    </row>
    <row r="7" spans="1:17" x14ac:dyDescent="0.25">
      <c r="A7" t="s">
        <v>20</v>
      </c>
      <c r="B7" t="s">
        <v>100</v>
      </c>
      <c r="C7" t="s">
        <v>178</v>
      </c>
      <c r="D7" t="s">
        <v>180</v>
      </c>
      <c r="E7" t="s">
        <v>190</v>
      </c>
      <c r="F7" s="17">
        <v>45200</v>
      </c>
      <c r="H7">
        <v>6</v>
      </c>
      <c r="I7">
        <v>1000000</v>
      </c>
      <c r="J7">
        <v>816443</v>
      </c>
      <c r="K7">
        <v>88</v>
      </c>
      <c r="L7" t="s">
        <v>255</v>
      </c>
      <c r="M7">
        <v>500000</v>
      </c>
      <c r="O7" s="12">
        <v>0.8</v>
      </c>
      <c r="P7" t="s">
        <v>261</v>
      </c>
      <c r="Q7" t="str">
        <f>IF(Initiatives_Table[[#This Row],[Actual_Completion_Date]]="", "In Progress", "Completed")</f>
        <v>In Progress</v>
      </c>
    </row>
    <row r="8" spans="1:17" x14ac:dyDescent="0.25">
      <c r="A8" t="s">
        <v>21</v>
      </c>
      <c r="B8" t="s">
        <v>101</v>
      </c>
      <c r="C8" t="s">
        <v>177</v>
      </c>
      <c r="D8" t="s">
        <v>184</v>
      </c>
      <c r="E8" t="s">
        <v>191</v>
      </c>
      <c r="F8" s="17">
        <v>45260</v>
      </c>
      <c r="G8" s="17">
        <v>45263</v>
      </c>
      <c r="H8">
        <v>11</v>
      </c>
      <c r="I8">
        <v>500000</v>
      </c>
      <c r="J8">
        <v>204259</v>
      </c>
      <c r="K8">
        <v>96</v>
      </c>
      <c r="L8" t="s">
        <v>254</v>
      </c>
      <c r="M8">
        <v>100000</v>
      </c>
      <c r="N8">
        <v>62161</v>
      </c>
      <c r="O8" s="12">
        <v>1</v>
      </c>
      <c r="P8" t="s">
        <v>258</v>
      </c>
      <c r="Q8" t="str">
        <f>IF(Initiatives_Table[[#This Row],[Actual_Completion_Date]]="", "In Progress", "Completed")</f>
        <v>Completed</v>
      </c>
    </row>
    <row r="9" spans="1:17" x14ac:dyDescent="0.25">
      <c r="A9" t="s">
        <v>22</v>
      </c>
      <c r="B9" t="s">
        <v>102</v>
      </c>
      <c r="C9" t="s">
        <v>178</v>
      </c>
      <c r="D9" t="s">
        <v>182</v>
      </c>
      <c r="E9" t="s">
        <v>192</v>
      </c>
      <c r="F9" s="17">
        <v>45202</v>
      </c>
      <c r="H9">
        <v>7</v>
      </c>
      <c r="I9">
        <v>250000</v>
      </c>
      <c r="J9">
        <v>215926</v>
      </c>
      <c r="K9">
        <v>83</v>
      </c>
      <c r="L9" t="s">
        <v>256</v>
      </c>
      <c r="M9">
        <v>5000000</v>
      </c>
      <c r="O9" s="12">
        <v>0.1</v>
      </c>
      <c r="P9" t="s">
        <v>258</v>
      </c>
      <c r="Q9" t="str">
        <f>IF(Initiatives_Table[[#This Row],[Actual_Completion_Date]]="", "In Progress", "Completed")</f>
        <v>In Progress</v>
      </c>
    </row>
    <row r="10" spans="1:17" x14ac:dyDescent="0.25">
      <c r="A10" t="s">
        <v>23</v>
      </c>
      <c r="B10" t="s">
        <v>103</v>
      </c>
      <c r="C10" t="s">
        <v>175</v>
      </c>
      <c r="D10" t="s">
        <v>184</v>
      </c>
      <c r="E10" t="s">
        <v>193</v>
      </c>
      <c r="F10" s="17">
        <v>45175</v>
      </c>
      <c r="G10" s="17">
        <v>45177</v>
      </c>
      <c r="H10">
        <v>10</v>
      </c>
      <c r="I10">
        <v>100000</v>
      </c>
      <c r="J10">
        <v>106841</v>
      </c>
      <c r="K10">
        <v>97</v>
      </c>
      <c r="L10" t="s">
        <v>257</v>
      </c>
      <c r="M10">
        <v>1000000</v>
      </c>
      <c r="N10">
        <v>740974</v>
      </c>
      <c r="O10" s="12">
        <v>1</v>
      </c>
      <c r="P10" t="s">
        <v>258</v>
      </c>
      <c r="Q10" t="str">
        <f>IF(Initiatives_Table[[#This Row],[Actual_Completion_Date]]="", "In Progress", "Completed")</f>
        <v>Completed</v>
      </c>
    </row>
    <row r="11" spans="1:17" x14ac:dyDescent="0.25">
      <c r="A11" t="s">
        <v>24</v>
      </c>
      <c r="B11" t="s">
        <v>104</v>
      </c>
      <c r="C11" t="s">
        <v>179</v>
      </c>
      <c r="D11" t="s">
        <v>182</v>
      </c>
      <c r="E11" t="s">
        <v>194</v>
      </c>
      <c r="F11" s="17">
        <v>45166</v>
      </c>
      <c r="H11">
        <v>15</v>
      </c>
      <c r="I11">
        <v>100000</v>
      </c>
      <c r="J11">
        <v>98305</v>
      </c>
      <c r="K11">
        <v>73</v>
      </c>
      <c r="L11" t="s">
        <v>254</v>
      </c>
      <c r="M11">
        <v>500000</v>
      </c>
      <c r="O11" s="12">
        <v>0.1</v>
      </c>
      <c r="P11" t="s">
        <v>258</v>
      </c>
      <c r="Q11" t="str">
        <f>IF(Initiatives_Table[[#This Row],[Actual_Completion_Date]]="", "In Progress", "Completed")</f>
        <v>In Progress</v>
      </c>
    </row>
    <row r="12" spans="1:17" x14ac:dyDescent="0.25">
      <c r="A12" t="s">
        <v>25</v>
      </c>
      <c r="B12" t="s">
        <v>105</v>
      </c>
      <c r="C12" t="s">
        <v>178</v>
      </c>
      <c r="D12" t="s">
        <v>183</v>
      </c>
      <c r="E12" t="s">
        <v>195</v>
      </c>
      <c r="F12" s="17">
        <v>45224</v>
      </c>
      <c r="H12">
        <v>5</v>
      </c>
      <c r="I12">
        <v>50000</v>
      </c>
      <c r="J12">
        <v>33963</v>
      </c>
      <c r="K12">
        <v>71</v>
      </c>
      <c r="L12" t="s">
        <v>254</v>
      </c>
      <c r="M12">
        <v>100000</v>
      </c>
      <c r="O12" s="12">
        <v>0.5</v>
      </c>
      <c r="P12" t="s">
        <v>260</v>
      </c>
      <c r="Q12" t="str">
        <f>IF(Initiatives_Table[[#This Row],[Actual_Completion_Date]]="", "In Progress", "Completed")</f>
        <v>In Progress</v>
      </c>
    </row>
    <row r="13" spans="1:17" x14ac:dyDescent="0.25">
      <c r="A13" t="s">
        <v>26</v>
      </c>
      <c r="B13" t="s">
        <v>106</v>
      </c>
      <c r="C13" t="s">
        <v>178</v>
      </c>
      <c r="D13" t="s">
        <v>180</v>
      </c>
      <c r="E13" t="s">
        <v>196</v>
      </c>
      <c r="F13" s="17">
        <v>45269</v>
      </c>
      <c r="H13">
        <v>6</v>
      </c>
      <c r="I13">
        <v>250000</v>
      </c>
      <c r="J13">
        <v>166799</v>
      </c>
      <c r="K13">
        <v>89</v>
      </c>
      <c r="L13" t="s">
        <v>254</v>
      </c>
      <c r="M13">
        <v>1000000</v>
      </c>
      <c r="O13" s="12">
        <v>0.8</v>
      </c>
      <c r="P13" t="s">
        <v>261</v>
      </c>
      <c r="Q13" t="str">
        <f>IF(Initiatives_Table[[#This Row],[Actual_Completion_Date]]="", "In Progress", "Completed")</f>
        <v>In Progress</v>
      </c>
    </row>
    <row r="14" spans="1:17" x14ac:dyDescent="0.25">
      <c r="A14" t="s">
        <v>27</v>
      </c>
      <c r="B14" t="s">
        <v>107</v>
      </c>
      <c r="C14" t="s">
        <v>175</v>
      </c>
      <c r="D14" t="s">
        <v>181</v>
      </c>
      <c r="E14" t="s">
        <v>197</v>
      </c>
      <c r="F14" s="17">
        <v>45010</v>
      </c>
      <c r="H14">
        <v>8</v>
      </c>
      <c r="I14">
        <v>1000000</v>
      </c>
      <c r="J14">
        <v>1099543</v>
      </c>
      <c r="K14">
        <v>95</v>
      </c>
      <c r="L14" t="s">
        <v>255</v>
      </c>
      <c r="M14">
        <v>1000000</v>
      </c>
      <c r="O14" s="12">
        <v>0.25</v>
      </c>
      <c r="P14" t="s">
        <v>259</v>
      </c>
      <c r="Q14" t="str">
        <f>IF(Initiatives_Table[[#This Row],[Actual_Completion_Date]]="", "In Progress", "Completed")</f>
        <v>In Progress</v>
      </c>
    </row>
    <row r="15" spans="1:17" x14ac:dyDescent="0.25">
      <c r="A15" t="s">
        <v>28</v>
      </c>
      <c r="B15" t="s">
        <v>108</v>
      </c>
      <c r="C15" t="s">
        <v>179</v>
      </c>
      <c r="D15" t="s">
        <v>182</v>
      </c>
      <c r="E15" t="s">
        <v>189</v>
      </c>
      <c r="F15" s="17">
        <v>45199</v>
      </c>
      <c r="H15">
        <v>7</v>
      </c>
      <c r="I15">
        <v>250000</v>
      </c>
      <c r="J15">
        <v>247298</v>
      </c>
      <c r="K15">
        <v>79</v>
      </c>
      <c r="L15" t="s">
        <v>255</v>
      </c>
      <c r="M15">
        <v>500000</v>
      </c>
      <c r="O15" s="12">
        <v>0.1</v>
      </c>
      <c r="P15" t="s">
        <v>258</v>
      </c>
      <c r="Q15" t="str">
        <f>IF(Initiatives_Table[[#This Row],[Actual_Completion_Date]]="", "In Progress", "Completed")</f>
        <v>In Progress</v>
      </c>
    </row>
    <row r="16" spans="1:17" x14ac:dyDescent="0.25">
      <c r="A16" t="s">
        <v>29</v>
      </c>
      <c r="B16" t="s">
        <v>109</v>
      </c>
      <c r="C16" t="s">
        <v>178</v>
      </c>
      <c r="D16" t="s">
        <v>181</v>
      </c>
      <c r="E16" t="s">
        <v>198</v>
      </c>
      <c r="F16" s="17">
        <v>45367</v>
      </c>
      <c r="H16">
        <v>14</v>
      </c>
      <c r="I16">
        <v>250000</v>
      </c>
      <c r="J16">
        <v>211151</v>
      </c>
      <c r="K16">
        <v>61</v>
      </c>
      <c r="L16" t="s">
        <v>256</v>
      </c>
      <c r="M16">
        <v>5000000</v>
      </c>
      <c r="O16" s="12">
        <v>0.25</v>
      </c>
      <c r="P16" t="s">
        <v>258</v>
      </c>
      <c r="Q16" t="str">
        <f>IF(Initiatives_Table[[#This Row],[Actual_Completion_Date]]="", "In Progress", "Completed")</f>
        <v>In Progress</v>
      </c>
    </row>
    <row r="17" spans="1:17" x14ac:dyDescent="0.25">
      <c r="A17" t="s">
        <v>30</v>
      </c>
      <c r="B17" t="s">
        <v>110</v>
      </c>
      <c r="C17" t="s">
        <v>179</v>
      </c>
      <c r="D17" t="s">
        <v>180</v>
      </c>
      <c r="E17" t="s">
        <v>199</v>
      </c>
      <c r="F17" s="17">
        <v>45164</v>
      </c>
      <c r="H17">
        <v>12</v>
      </c>
      <c r="I17">
        <v>1000000</v>
      </c>
      <c r="J17">
        <v>866455</v>
      </c>
      <c r="K17">
        <v>72</v>
      </c>
      <c r="L17" t="s">
        <v>255</v>
      </c>
      <c r="M17">
        <v>1000000</v>
      </c>
      <c r="O17" s="12">
        <v>0.8</v>
      </c>
      <c r="P17" t="s">
        <v>260</v>
      </c>
      <c r="Q17" t="str">
        <f>IF(Initiatives_Table[[#This Row],[Actual_Completion_Date]]="", "In Progress", "Completed")</f>
        <v>In Progress</v>
      </c>
    </row>
    <row r="18" spans="1:17" x14ac:dyDescent="0.25">
      <c r="A18" t="s">
        <v>31</v>
      </c>
      <c r="B18" t="s">
        <v>111</v>
      </c>
      <c r="C18" t="s">
        <v>178</v>
      </c>
      <c r="D18" t="s">
        <v>181</v>
      </c>
      <c r="E18" t="s">
        <v>200</v>
      </c>
      <c r="F18" s="17">
        <v>45292</v>
      </c>
      <c r="H18">
        <v>11</v>
      </c>
      <c r="I18">
        <v>100000</v>
      </c>
      <c r="J18">
        <v>97251</v>
      </c>
      <c r="K18">
        <v>71</v>
      </c>
      <c r="L18" t="s">
        <v>255</v>
      </c>
      <c r="M18">
        <v>1000000</v>
      </c>
      <c r="O18" s="12">
        <v>0.25</v>
      </c>
      <c r="P18" t="s">
        <v>261</v>
      </c>
      <c r="Q18" t="str">
        <f>IF(Initiatives_Table[[#This Row],[Actual_Completion_Date]]="", "In Progress", "Completed")</f>
        <v>In Progress</v>
      </c>
    </row>
    <row r="19" spans="1:17" x14ac:dyDescent="0.25">
      <c r="A19" t="s">
        <v>32</v>
      </c>
      <c r="B19" t="s">
        <v>112</v>
      </c>
      <c r="C19" t="s">
        <v>176</v>
      </c>
      <c r="D19" t="s">
        <v>184</v>
      </c>
      <c r="E19" t="s">
        <v>201</v>
      </c>
      <c r="F19" s="17">
        <v>45289</v>
      </c>
      <c r="G19" s="17">
        <v>45315</v>
      </c>
      <c r="H19">
        <v>6</v>
      </c>
      <c r="I19">
        <v>50000</v>
      </c>
      <c r="J19">
        <v>23890</v>
      </c>
      <c r="K19">
        <v>79</v>
      </c>
      <c r="L19" t="s">
        <v>256</v>
      </c>
      <c r="M19">
        <v>5000000</v>
      </c>
      <c r="N19">
        <v>5258316</v>
      </c>
      <c r="O19" s="12">
        <v>1</v>
      </c>
      <c r="P19" t="s">
        <v>261</v>
      </c>
      <c r="Q19" t="str">
        <f>IF(Initiatives_Table[[#This Row],[Actual_Completion_Date]]="", "In Progress", "Completed")</f>
        <v>Completed</v>
      </c>
    </row>
    <row r="20" spans="1:17" x14ac:dyDescent="0.25">
      <c r="A20" t="s">
        <v>33</v>
      </c>
      <c r="B20" t="s">
        <v>113</v>
      </c>
      <c r="C20" t="s">
        <v>179</v>
      </c>
      <c r="D20" t="s">
        <v>180</v>
      </c>
      <c r="E20" t="s">
        <v>202</v>
      </c>
      <c r="F20" s="17">
        <v>45225</v>
      </c>
      <c r="H20">
        <v>13</v>
      </c>
      <c r="I20">
        <v>50000</v>
      </c>
      <c r="J20">
        <v>33821</v>
      </c>
      <c r="K20">
        <v>97</v>
      </c>
      <c r="L20" t="s">
        <v>254</v>
      </c>
      <c r="M20">
        <v>100000</v>
      </c>
      <c r="O20" s="12">
        <v>0.8</v>
      </c>
      <c r="P20" t="s">
        <v>259</v>
      </c>
      <c r="Q20" t="str">
        <f>IF(Initiatives_Table[[#This Row],[Actual_Completion_Date]]="", "In Progress", "Completed")</f>
        <v>In Progress</v>
      </c>
    </row>
    <row r="21" spans="1:17" x14ac:dyDescent="0.25">
      <c r="A21" t="s">
        <v>34</v>
      </c>
      <c r="B21" t="s">
        <v>114</v>
      </c>
      <c r="C21" t="s">
        <v>177</v>
      </c>
      <c r="D21" t="s">
        <v>183</v>
      </c>
      <c r="E21" t="s">
        <v>203</v>
      </c>
      <c r="F21" s="17">
        <v>45304</v>
      </c>
      <c r="H21">
        <v>5</v>
      </c>
      <c r="I21">
        <v>500000</v>
      </c>
      <c r="J21">
        <v>171624</v>
      </c>
      <c r="K21">
        <v>68</v>
      </c>
      <c r="L21" t="s">
        <v>257</v>
      </c>
      <c r="M21">
        <v>500000</v>
      </c>
      <c r="O21" s="12">
        <v>0.5</v>
      </c>
      <c r="P21" t="s">
        <v>260</v>
      </c>
      <c r="Q21" t="str">
        <f>IF(Initiatives_Table[[#This Row],[Actual_Completion_Date]]="", "In Progress", "Completed")</f>
        <v>In Progress</v>
      </c>
    </row>
    <row r="22" spans="1:17" x14ac:dyDescent="0.25">
      <c r="A22" t="s">
        <v>35</v>
      </c>
      <c r="B22" t="s">
        <v>115</v>
      </c>
      <c r="C22" t="s">
        <v>179</v>
      </c>
      <c r="D22" t="s">
        <v>184</v>
      </c>
      <c r="E22" t="s">
        <v>204</v>
      </c>
      <c r="F22" s="17">
        <v>45164</v>
      </c>
      <c r="G22" s="17">
        <v>45200</v>
      </c>
      <c r="H22">
        <v>5</v>
      </c>
      <c r="I22">
        <v>250000</v>
      </c>
      <c r="J22">
        <v>201206</v>
      </c>
      <c r="K22">
        <v>80</v>
      </c>
      <c r="L22" t="s">
        <v>255</v>
      </c>
      <c r="M22">
        <v>100000</v>
      </c>
      <c r="N22">
        <v>50329</v>
      </c>
      <c r="O22" s="12">
        <v>1</v>
      </c>
      <c r="P22" t="s">
        <v>262</v>
      </c>
      <c r="Q22" t="str">
        <f>IF(Initiatives_Table[[#This Row],[Actual_Completion_Date]]="", "In Progress", "Completed")</f>
        <v>Completed</v>
      </c>
    </row>
    <row r="23" spans="1:17" x14ac:dyDescent="0.25">
      <c r="A23" t="s">
        <v>36</v>
      </c>
      <c r="B23" t="s">
        <v>116</v>
      </c>
      <c r="C23" t="s">
        <v>179</v>
      </c>
      <c r="D23" t="s">
        <v>183</v>
      </c>
      <c r="E23" t="s">
        <v>205</v>
      </c>
      <c r="F23" s="17">
        <v>45163</v>
      </c>
      <c r="H23">
        <v>9</v>
      </c>
      <c r="I23">
        <v>50000</v>
      </c>
      <c r="J23">
        <v>20176</v>
      </c>
      <c r="K23">
        <v>100</v>
      </c>
      <c r="L23" t="s">
        <v>256</v>
      </c>
      <c r="M23">
        <v>5000000</v>
      </c>
      <c r="O23" s="12">
        <v>0.5</v>
      </c>
      <c r="P23" t="s">
        <v>259</v>
      </c>
      <c r="Q23" t="str">
        <f>IF(Initiatives_Table[[#This Row],[Actual_Completion_Date]]="", "In Progress", "Completed")</f>
        <v>In Progress</v>
      </c>
    </row>
    <row r="24" spans="1:17" x14ac:dyDescent="0.25">
      <c r="A24" t="s">
        <v>37</v>
      </c>
      <c r="B24" t="s">
        <v>117</v>
      </c>
      <c r="C24" t="s">
        <v>177</v>
      </c>
      <c r="D24" t="s">
        <v>184</v>
      </c>
      <c r="E24" t="s">
        <v>206</v>
      </c>
      <c r="F24" s="17">
        <v>44968</v>
      </c>
      <c r="G24" s="17">
        <v>44968</v>
      </c>
      <c r="H24">
        <v>15</v>
      </c>
      <c r="I24">
        <v>50000</v>
      </c>
      <c r="J24">
        <v>50680</v>
      </c>
      <c r="K24">
        <v>93</v>
      </c>
      <c r="L24" t="s">
        <v>255</v>
      </c>
      <c r="M24">
        <v>500000</v>
      </c>
      <c r="N24">
        <v>256270</v>
      </c>
      <c r="O24" s="12">
        <v>1</v>
      </c>
      <c r="P24" t="s">
        <v>260</v>
      </c>
      <c r="Q24" t="str">
        <f>IF(Initiatives_Table[[#This Row],[Actual_Completion_Date]]="", "In Progress", "Completed")</f>
        <v>Completed</v>
      </c>
    </row>
    <row r="25" spans="1:17" x14ac:dyDescent="0.25">
      <c r="A25" t="s">
        <v>38</v>
      </c>
      <c r="B25" t="s">
        <v>118</v>
      </c>
      <c r="C25" t="s">
        <v>176</v>
      </c>
      <c r="D25" t="s">
        <v>183</v>
      </c>
      <c r="E25" t="s">
        <v>207</v>
      </c>
      <c r="F25" s="17">
        <v>45149</v>
      </c>
      <c r="H25">
        <v>12</v>
      </c>
      <c r="I25">
        <v>50000</v>
      </c>
      <c r="J25">
        <v>30342</v>
      </c>
      <c r="K25">
        <v>79</v>
      </c>
      <c r="L25" t="s">
        <v>256</v>
      </c>
      <c r="M25">
        <v>500000</v>
      </c>
      <c r="O25" s="12">
        <v>0.5</v>
      </c>
      <c r="P25" t="s">
        <v>261</v>
      </c>
      <c r="Q25" t="str">
        <f>IF(Initiatives_Table[[#This Row],[Actual_Completion_Date]]="", "In Progress", "Completed")</f>
        <v>In Progress</v>
      </c>
    </row>
    <row r="26" spans="1:17" x14ac:dyDescent="0.25">
      <c r="A26" t="s">
        <v>39</v>
      </c>
      <c r="B26" t="s">
        <v>119</v>
      </c>
      <c r="C26" t="s">
        <v>176</v>
      </c>
      <c r="D26" t="s">
        <v>182</v>
      </c>
      <c r="E26" t="s">
        <v>192</v>
      </c>
      <c r="F26" s="17">
        <v>45323</v>
      </c>
      <c r="H26">
        <v>9</v>
      </c>
      <c r="I26">
        <v>1000000</v>
      </c>
      <c r="J26">
        <v>719294</v>
      </c>
      <c r="K26">
        <v>68</v>
      </c>
      <c r="L26" t="s">
        <v>254</v>
      </c>
      <c r="M26">
        <v>1000000</v>
      </c>
      <c r="O26" s="12">
        <v>0.1</v>
      </c>
      <c r="P26" t="s">
        <v>261</v>
      </c>
      <c r="Q26" t="str">
        <f>IF(Initiatives_Table[[#This Row],[Actual_Completion_Date]]="", "In Progress", "Completed")</f>
        <v>In Progress</v>
      </c>
    </row>
    <row r="27" spans="1:17" x14ac:dyDescent="0.25">
      <c r="A27" t="s">
        <v>40</v>
      </c>
      <c r="B27" t="s">
        <v>120</v>
      </c>
      <c r="C27" t="s">
        <v>177</v>
      </c>
      <c r="D27" t="s">
        <v>180</v>
      </c>
      <c r="E27" t="s">
        <v>208</v>
      </c>
      <c r="F27" s="17">
        <v>45167</v>
      </c>
      <c r="H27">
        <v>5</v>
      </c>
      <c r="I27">
        <v>100000</v>
      </c>
      <c r="J27">
        <v>47945</v>
      </c>
      <c r="K27">
        <v>73</v>
      </c>
      <c r="L27" t="s">
        <v>256</v>
      </c>
      <c r="M27">
        <v>100000</v>
      </c>
      <c r="O27" s="12">
        <v>0.8</v>
      </c>
      <c r="P27" t="s">
        <v>262</v>
      </c>
      <c r="Q27" t="str">
        <f>IF(Initiatives_Table[[#This Row],[Actual_Completion_Date]]="", "In Progress", "Completed")</f>
        <v>In Progress</v>
      </c>
    </row>
    <row r="28" spans="1:17" x14ac:dyDescent="0.25">
      <c r="A28" t="s">
        <v>41</v>
      </c>
      <c r="B28" t="s">
        <v>121</v>
      </c>
      <c r="C28" t="s">
        <v>175</v>
      </c>
      <c r="D28" t="s">
        <v>181</v>
      </c>
      <c r="E28" t="s">
        <v>209</v>
      </c>
      <c r="F28" s="17">
        <v>45153</v>
      </c>
      <c r="H28">
        <v>7</v>
      </c>
      <c r="I28">
        <v>500000</v>
      </c>
      <c r="J28">
        <v>500617</v>
      </c>
      <c r="K28">
        <v>94</v>
      </c>
      <c r="L28" t="s">
        <v>256</v>
      </c>
      <c r="M28">
        <v>100000</v>
      </c>
      <c r="O28" s="12">
        <v>0.25</v>
      </c>
      <c r="P28" t="s">
        <v>258</v>
      </c>
      <c r="Q28" t="str">
        <f>IF(Initiatives_Table[[#This Row],[Actual_Completion_Date]]="", "In Progress", "Completed")</f>
        <v>In Progress</v>
      </c>
    </row>
    <row r="29" spans="1:17" x14ac:dyDescent="0.25">
      <c r="A29" t="s">
        <v>42</v>
      </c>
      <c r="B29" t="s">
        <v>122</v>
      </c>
      <c r="C29" t="s">
        <v>175</v>
      </c>
      <c r="D29" t="s">
        <v>182</v>
      </c>
      <c r="E29" t="s">
        <v>210</v>
      </c>
      <c r="F29" s="17">
        <v>45010</v>
      </c>
      <c r="H29">
        <v>4</v>
      </c>
      <c r="I29">
        <v>500000</v>
      </c>
      <c r="J29">
        <v>327725</v>
      </c>
      <c r="K29">
        <v>95</v>
      </c>
      <c r="L29" t="s">
        <v>257</v>
      </c>
      <c r="M29">
        <v>1000000</v>
      </c>
      <c r="O29" s="12">
        <v>0.1</v>
      </c>
      <c r="P29" t="s">
        <v>258</v>
      </c>
      <c r="Q29" t="str">
        <f>IF(Initiatives_Table[[#This Row],[Actual_Completion_Date]]="", "In Progress", "Completed")</f>
        <v>In Progress</v>
      </c>
    </row>
    <row r="30" spans="1:17" x14ac:dyDescent="0.25">
      <c r="A30" t="s">
        <v>43</v>
      </c>
      <c r="B30" t="s">
        <v>123</v>
      </c>
      <c r="C30" t="s">
        <v>177</v>
      </c>
      <c r="D30" t="s">
        <v>183</v>
      </c>
      <c r="E30" t="s">
        <v>211</v>
      </c>
      <c r="F30" s="17">
        <v>45218</v>
      </c>
      <c r="H30">
        <v>7</v>
      </c>
      <c r="I30">
        <v>50000</v>
      </c>
      <c r="J30">
        <v>41499</v>
      </c>
      <c r="K30">
        <v>99</v>
      </c>
      <c r="L30" t="s">
        <v>256</v>
      </c>
      <c r="M30">
        <v>500000</v>
      </c>
      <c r="O30" s="12">
        <v>0.5</v>
      </c>
      <c r="P30" t="s">
        <v>258</v>
      </c>
      <c r="Q30" t="str">
        <f>IF(Initiatives_Table[[#This Row],[Actual_Completion_Date]]="", "In Progress", "Completed")</f>
        <v>In Progress</v>
      </c>
    </row>
    <row r="31" spans="1:17" x14ac:dyDescent="0.25">
      <c r="A31" t="s">
        <v>44</v>
      </c>
      <c r="B31" t="s">
        <v>124</v>
      </c>
      <c r="C31" t="s">
        <v>177</v>
      </c>
      <c r="D31" t="s">
        <v>182</v>
      </c>
      <c r="E31" t="s">
        <v>212</v>
      </c>
      <c r="F31" s="17">
        <v>45042</v>
      </c>
      <c r="H31">
        <v>6</v>
      </c>
      <c r="I31">
        <v>500000</v>
      </c>
      <c r="J31">
        <v>229458</v>
      </c>
      <c r="K31">
        <v>76</v>
      </c>
      <c r="L31" t="s">
        <v>257</v>
      </c>
      <c r="M31">
        <v>500000</v>
      </c>
      <c r="O31" s="12">
        <v>0.1</v>
      </c>
      <c r="P31" t="s">
        <v>261</v>
      </c>
      <c r="Q31" t="str">
        <f>IF(Initiatives_Table[[#This Row],[Actual_Completion_Date]]="", "In Progress", "Completed")</f>
        <v>In Progress</v>
      </c>
    </row>
    <row r="32" spans="1:17" x14ac:dyDescent="0.25">
      <c r="A32" t="s">
        <v>45</v>
      </c>
      <c r="B32" t="s">
        <v>125</v>
      </c>
      <c r="C32" t="s">
        <v>179</v>
      </c>
      <c r="D32" t="s">
        <v>184</v>
      </c>
      <c r="E32" t="s">
        <v>213</v>
      </c>
      <c r="F32" s="17">
        <v>45117</v>
      </c>
      <c r="G32" s="17">
        <v>45115</v>
      </c>
      <c r="H32">
        <v>3</v>
      </c>
      <c r="I32">
        <v>500000</v>
      </c>
      <c r="J32">
        <v>282241</v>
      </c>
      <c r="K32">
        <v>60</v>
      </c>
      <c r="L32" t="s">
        <v>254</v>
      </c>
      <c r="M32">
        <v>100000</v>
      </c>
      <c r="N32">
        <v>113481</v>
      </c>
      <c r="O32" s="12">
        <v>1</v>
      </c>
      <c r="P32" t="s">
        <v>262</v>
      </c>
      <c r="Q32" t="str">
        <f>IF(Initiatives_Table[[#This Row],[Actual_Completion_Date]]="", "In Progress", "Completed")</f>
        <v>Completed</v>
      </c>
    </row>
    <row r="33" spans="1:17" x14ac:dyDescent="0.25">
      <c r="A33" t="s">
        <v>46</v>
      </c>
      <c r="B33" t="s">
        <v>126</v>
      </c>
      <c r="C33" t="s">
        <v>175</v>
      </c>
      <c r="D33" t="s">
        <v>184</v>
      </c>
      <c r="E33" t="s">
        <v>214</v>
      </c>
      <c r="F33" s="17">
        <v>45237</v>
      </c>
      <c r="G33" s="17">
        <v>45248</v>
      </c>
      <c r="H33">
        <v>10</v>
      </c>
      <c r="I33">
        <v>250000</v>
      </c>
      <c r="J33">
        <v>203867</v>
      </c>
      <c r="K33">
        <v>78</v>
      </c>
      <c r="L33" t="s">
        <v>256</v>
      </c>
      <c r="M33">
        <v>1000000</v>
      </c>
      <c r="N33">
        <v>824994</v>
      </c>
      <c r="O33" s="12">
        <v>1</v>
      </c>
      <c r="P33" t="s">
        <v>258</v>
      </c>
      <c r="Q33" t="str">
        <f>IF(Initiatives_Table[[#This Row],[Actual_Completion_Date]]="", "In Progress", "Completed")</f>
        <v>Completed</v>
      </c>
    </row>
    <row r="34" spans="1:17" x14ac:dyDescent="0.25">
      <c r="A34" t="s">
        <v>47</v>
      </c>
      <c r="B34" t="s">
        <v>127</v>
      </c>
      <c r="C34" t="s">
        <v>176</v>
      </c>
      <c r="D34" t="s">
        <v>183</v>
      </c>
      <c r="E34" t="s">
        <v>215</v>
      </c>
      <c r="F34" s="17">
        <v>45221</v>
      </c>
      <c r="H34">
        <v>4</v>
      </c>
      <c r="I34">
        <v>500000</v>
      </c>
      <c r="J34">
        <v>445416</v>
      </c>
      <c r="K34">
        <v>62</v>
      </c>
      <c r="L34" t="s">
        <v>257</v>
      </c>
      <c r="M34">
        <v>100000</v>
      </c>
      <c r="O34" s="12">
        <v>0.5</v>
      </c>
      <c r="P34" t="s">
        <v>261</v>
      </c>
      <c r="Q34" t="str">
        <f>IF(Initiatives_Table[[#This Row],[Actual_Completion_Date]]="", "In Progress", "Completed")</f>
        <v>In Progress</v>
      </c>
    </row>
    <row r="35" spans="1:17" x14ac:dyDescent="0.25">
      <c r="A35" t="s">
        <v>48</v>
      </c>
      <c r="B35" t="s">
        <v>128</v>
      </c>
      <c r="C35" t="s">
        <v>178</v>
      </c>
      <c r="D35" t="s">
        <v>183</v>
      </c>
      <c r="E35" t="s">
        <v>216</v>
      </c>
      <c r="F35" s="17">
        <v>45249</v>
      </c>
      <c r="H35">
        <v>8</v>
      </c>
      <c r="I35">
        <v>50000</v>
      </c>
      <c r="J35">
        <v>29904</v>
      </c>
      <c r="K35">
        <v>71</v>
      </c>
      <c r="L35" t="s">
        <v>254</v>
      </c>
      <c r="M35">
        <v>100000</v>
      </c>
      <c r="O35" s="12">
        <v>0.5</v>
      </c>
      <c r="P35" t="s">
        <v>261</v>
      </c>
      <c r="Q35" t="str">
        <f>IF(Initiatives_Table[[#This Row],[Actual_Completion_Date]]="", "In Progress", "Completed")</f>
        <v>In Progress</v>
      </c>
    </row>
    <row r="36" spans="1:17" x14ac:dyDescent="0.25">
      <c r="A36" t="s">
        <v>49</v>
      </c>
      <c r="B36" t="s">
        <v>129</v>
      </c>
      <c r="C36" t="s">
        <v>177</v>
      </c>
      <c r="D36" t="s">
        <v>184</v>
      </c>
      <c r="E36" t="s">
        <v>194</v>
      </c>
      <c r="F36" s="17">
        <v>45276</v>
      </c>
      <c r="G36" s="17">
        <v>45322</v>
      </c>
      <c r="H36">
        <v>14</v>
      </c>
      <c r="I36">
        <v>100000</v>
      </c>
      <c r="J36">
        <v>39044</v>
      </c>
      <c r="K36">
        <v>63</v>
      </c>
      <c r="L36" t="s">
        <v>255</v>
      </c>
      <c r="M36">
        <v>500000</v>
      </c>
      <c r="N36">
        <v>286299</v>
      </c>
      <c r="O36" s="12">
        <v>1</v>
      </c>
      <c r="P36" t="s">
        <v>261</v>
      </c>
      <c r="Q36" t="str">
        <f>IF(Initiatives_Table[[#This Row],[Actual_Completion_Date]]="", "In Progress", "Completed")</f>
        <v>Completed</v>
      </c>
    </row>
    <row r="37" spans="1:17" x14ac:dyDescent="0.25">
      <c r="A37" t="s">
        <v>50</v>
      </c>
      <c r="B37" t="s">
        <v>130</v>
      </c>
      <c r="C37" t="s">
        <v>175</v>
      </c>
      <c r="D37" t="s">
        <v>184</v>
      </c>
      <c r="E37" t="s">
        <v>217</v>
      </c>
      <c r="F37" s="17">
        <v>45366</v>
      </c>
      <c r="G37" s="17">
        <v>45410</v>
      </c>
      <c r="H37">
        <v>14</v>
      </c>
      <c r="I37">
        <v>50000</v>
      </c>
      <c r="J37">
        <v>49503</v>
      </c>
      <c r="K37">
        <v>68</v>
      </c>
      <c r="L37" t="s">
        <v>255</v>
      </c>
      <c r="M37">
        <v>5000000</v>
      </c>
      <c r="N37">
        <v>5721392</v>
      </c>
      <c r="O37" s="12">
        <v>1</v>
      </c>
      <c r="P37" t="s">
        <v>262</v>
      </c>
      <c r="Q37" t="str">
        <f>IF(Initiatives_Table[[#This Row],[Actual_Completion_Date]]="", "In Progress", "Completed")</f>
        <v>Completed</v>
      </c>
    </row>
    <row r="38" spans="1:17" x14ac:dyDescent="0.25">
      <c r="A38" t="s">
        <v>51</v>
      </c>
      <c r="B38" t="s">
        <v>131</v>
      </c>
      <c r="C38" t="s">
        <v>176</v>
      </c>
      <c r="D38" t="s">
        <v>184</v>
      </c>
      <c r="E38" t="s">
        <v>218</v>
      </c>
      <c r="F38" s="17">
        <v>45055</v>
      </c>
      <c r="G38" s="17">
        <v>45050</v>
      </c>
      <c r="H38">
        <v>12</v>
      </c>
      <c r="I38">
        <v>1000000</v>
      </c>
      <c r="J38">
        <v>914022</v>
      </c>
      <c r="K38">
        <v>96</v>
      </c>
      <c r="L38" t="s">
        <v>255</v>
      </c>
      <c r="M38">
        <v>500000</v>
      </c>
      <c r="N38">
        <v>592263</v>
      </c>
      <c r="O38" s="12">
        <v>1</v>
      </c>
      <c r="P38" t="s">
        <v>258</v>
      </c>
      <c r="Q38" t="str">
        <f>IF(Initiatives_Table[[#This Row],[Actual_Completion_Date]]="", "In Progress", "Completed")</f>
        <v>Completed</v>
      </c>
    </row>
    <row r="39" spans="1:17" x14ac:dyDescent="0.25">
      <c r="A39" t="s">
        <v>52</v>
      </c>
      <c r="B39" t="s">
        <v>132</v>
      </c>
      <c r="C39" t="s">
        <v>179</v>
      </c>
      <c r="D39" t="s">
        <v>181</v>
      </c>
      <c r="E39" t="s">
        <v>219</v>
      </c>
      <c r="F39" s="17">
        <v>45358</v>
      </c>
      <c r="H39">
        <v>13</v>
      </c>
      <c r="I39">
        <v>500000</v>
      </c>
      <c r="J39">
        <v>288299</v>
      </c>
      <c r="K39">
        <v>84</v>
      </c>
      <c r="L39" t="s">
        <v>257</v>
      </c>
      <c r="M39">
        <v>500000</v>
      </c>
      <c r="O39" s="12">
        <v>0.25</v>
      </c>
      <c r="P39" t="s">
        <v>260</v>
      </c>
      <c r="Q39" t="str">
        <f>IF(Initiatives_Table[[#This Row],[Actual_Completion_Date]]="", "In Progress", "Completed")</f>
        <v>In Progress</v>
      </c>
    </row>
    <row r="40" spans="1:17" x14ac:dyDescent="0.25">
      <c r="A40" t="s">
        <v>53</v>
      </c>
      <c r="B40" t="s">
        <v>133</v>
      </c>
      <c r="C40" t="s">
        <v>175</v>
      </c>
      <c r="D40" t="s">
        <v>181</v>
      </c>
      <c r="E40" t="s">
        <v>220</v>
      </c>
      <c r="F40" s="17">
        <v>45326</v>
      </c>
      <c r="H40">
        <v>10</v>
      </c>
      <c r="I40">
        <v>1000000</v>
      </c>
      <c r="J40">
        <v>979076</v>
      </c>
      <c r="K40">
        <v>70</v>
      </c>
      <c r="L40" t="s">
        <v>257</v>
      </c>
      <c r="M40">
        <v>100000</v>
      </c>
      <c r="O40" s="12">
        <v>0.25</v>
      </c>
      <c r="P40" t="s">
        <v>258</v>
      </c>
      <c r="Q40" t="str">
        <f>IF(Initiatives_Table[[#This Row],[Actual_Completion_Date]]="", "In Progress", "Completed")</f>
        <v>In Progress</v>
      </c>
    </row>
    <row r="41" spans="1:17" x14ac:dyDescent="0.25">
      <c r="A41" t="s">
        <v>54</v>
      </c>
      <c r="B41" t="s">
        <v>134</v>
      </c>
      <c r="C41" t="s">
        <v>177</v>
      </c>
      <c r="D41" t="s">
        <v>180</v>
      </c>
      <c r="E41" t="s">
        <v>221</v>
      </c>
      <c r="F41" s="17">
        <v>45111</v>
      </c>
      <c r="H41">
        <v>13</v>
      </c>
      <c r="I41">
        <v>1000000</v>
      </c>
      <c r="J41">
        <v>478165</v>
      </c>
      <c r="K41">
        <v>84</v>
      </c>
      <c r="L41" t="s">
        <v>256</v>
      </c>
      <c r="M41">
        <v>5000000</v>
      </c>
      <c r="O41" s="12">
        <v>0.8</v>
      </c>
      <c r="P41" t="s">
        <v>261</v>
      </c>
      <c r="Q41" t="str">
        <f>IF(Initiatives_Table[[#This Row],[Actual_Completion_Date]]="", "In Progress", "Completed")</f>
        <v>In Progress</v>
      </c>
    </row>
    <row r="42" spans="1:17" x14ac:dyDescent="0.25">
      <c r="A42" t="s">
        <v>55</v>
      </c>
      <c r="B42" t="s">
        <v>135</v>
      </c>
      <c r="C42" t="s">
        <v>178</v>
      </c>
      <c r="D42" t="s">
        <v>182</v>
      </c>
      <c r="E42" t="s">
        <v>222</v>
      </c>
      <c r="F42" s="17">
        <v>45364</v>
      </c>
      <c r="H42">
        <v>10</v>
      </c>
      <c r="I42">
        <v>50000</v>
      </c>
      <c r="J42">
        <v>49263</v>
      </c>
      <c r="K42">
        <v>80</v>
      </c>
      <c r="L42" t="s">
        <v>255</v>
      </c>
      <c r="M42">
        <v>100000</v>
      </c>
      <c r="O42" s="12">
        <v>0.1</v>
      </c>
      <c r="P42" t="s">
        <v>260</v>
      </c>
      <c r="Q42" t="str">
        <f>IF(Initiatives_Table[[#This Row],[Actual_Completion_Date]]="", "In Progress", "Completed")</f>
        <v>In Progress</v>
      </c>
    </row>
    <row r="43" spans="1:17" x14ac:dyDescent="0.25">
      <c r="A43" t="s">
        <v>56</v>
      </c>
      <c r="B43" t="s">
        <v>136</v>
      </c>
      <c r="C43" t="s">
        <v>177</v>
      </c>
      <c r="D43" t="s">
        <v>182</v>
      </c>
      <c r="E43" t="s">
        <v>223</v>
      </c>
      <c r="F43" s="17">
        <v>45177</v>
      </c>
      <c r="H43">
        <v>4</v>
      </c>
      <c r="I43">
        <v>1000000</v>
      </c>
      <c r="J43">
        <v>739279</v>
      </c>
      <c r="K43">
        <v>98</v>
      </c>
      <c r="L43" t="s">
        <v>257</v>
      </c>
      <c r="M43">
        <v>1000000</v>
      </c>
      <c r="O43" s="12">
        <v>0.1</v>
      </c>
      <c r="P43" t="s">
        <v>260</v>
      </c>
      <c r="Q43" t="str">
        <f>IF(Initiatives_Table[[#This Row],[Actual_Completion_Date]]="", "In Progress", "Completed")</f>
        <v>In Progress</v>
      </c>
    </row>
    <row r="44" spans="1:17" x14ac:dyDescent="0.25">
      <c r="A44" t="s">
        <v>57</v>
      </c>
      <c r="B44" t="s">
        <v>137</v>
      </c>
      <c r="C44" t="s">
        <v>175</v>
      </c>
      <c r="D44" t="s">
        <v>181</v>
      </c>
      <c r="E44" t="s">
        <v>224</v>
      </c>
      <c r="F44" s="17">
        <v>45224</v>
      </c>
      <c r="H44">
        <v>10</v>
      </c>
      <c r="I44">
        <v>50000</v>
      </c>
      <c r="J44">
        <v>47663</v>
      </c>
      <c r="K44">
        <v>81</v>
      </c>
      <c r="L44" t="s">
        <v>256</v>
      </c>
      <c r="M44">
        <v>5000000</v>
      </c>
      <c r="O44" s="12">
        <v>0.25</v>
      </c>
      <c r="P44" t="s">
        <v>260</v>
      </c>
      <c r="Q44" t="str">
        <f>IF(Initiatives_Table[[#This Row],[Actual_Completion_Date]]="", "In Progress", "Completed")</f>
        <v>In Progress</v>
      </c>
    </row>
    <row r="45" spans="1:17" x14ac:dyDescent="0.25">
      <c r="A45" t="s">
        <v>58</v>
      </c>
      <c r="B45" t="s">
        <v>138</v>
      </c>
      <c r="C45" t="s">
        <v>179</v>
      </c>
      <c r="D45" t="s">
        <v>184</v>
      </c>
      <c r="E45" t="s">
        <v>225</v>
      </c>
      <c r="F45" s="17">
        <v>45350</v>
      </c>
      <c r="G45" s="17">
        <v>45350</v>
      </c>
      <c r="H45">
        <v>8</v>
      </c>
      <c r="I45">
        <v>250000</v>
      </c>
      <c r="J45">
        <v>184538</v>
      </c>
      <c r="K45">
        <v>66</v>
      </c>
      <c r="L45" t="s">
        <v>257</v>
      </c>
      <c r="M45">
        <v>100000</v>
      </c>
      <c r="N45">
        <v>112781</v>
      </c>
      <c r="O45" s="12">
        <v>1</v>
      </c>
      <c r="P45" t="s">
        <v>258</v>
      </c>
      <c r="Q45" t="str">
        <f>IF(Initiatives_Table[[#This Row],[Actual_Completion_Date]]="", "In Progress", "Completed")</f>
        <v>Completed</v>
      </c>
    </row>
    <row r="46" spans="1:17" x14ac:dyDescent="0.25">
      <c r="A46" t="s">
        <v>59</v>
      </c>
      <c r="B46" t="s">
        <v>139</v>
      </c>
      <c r="C46" t="s">
        <v>177</v>
      </c>
      <c r="D46" t="s">
        <v>183</v>
      </c>
      <c r="E46" t="s">
        <v>226</v>
      </c>
      <c r="F46" s="17">
        <v>45137</v>
      </c>
      <c r="H46">
        <v>9</v>
      </c>
      <c r="I46">
        <v>100000</v>
      </c>
      <c r="J46">
        <v>39659</v>
      </c>
      <c r="K46">
        <v>73</v>
      </c>
      <c r="L46" t="s">
        <v>255</v>
      </c>
      <c r="M46">
        <v>5000000</v>
      </c>
      <c r="O46" s="12">
        <v>0.5</v>
      </c>
      <c r="P46" t="s">
        <v>258</v>
      </c>
      <c r="Q46" t="str">
        <f>IF(Initiatives_Table[[#This Row],[Actual_Completion_Date]]="", "In Progress", "Completed")</f>
        <v>In Progress</v>
      </c>
    </row>
    <row r="47" spans="1:17" x14ac:dyDescent="0.25">
      <c r="A47" t="s">
        <v>60</v>
      </c>
      <c r="B47" t="s">
        <v>140</v>
      </c>
      <c r="C47" t="s">
        <v>178</v>
      </c>
      <c r="D47" t="s">
        <v>180</v>
      </c>
      <c r="E47" t="s">
        <v>227</v>
      </c>
      <c r="F47" s="17">
        <v>45130</v>
      </c>
      <c r="H47">
        <v>10</v>
      </c>
      <c r="I47">
        <v>50000</v>
      </c>
      <c r="J47">
        <v>45885</v>
      </c>
      <c r="K47">
        <v>89</v>
      </c>
      <c r="L47" t="s">
        <v>257</v>
      </c>
      <c r="M47">
        <v>500000</v>
      </c>
      <c r="O47" s="12">
        <v>0.8</v>
      </c>
      <c r="P47" t="s">
        <v>260</v>
      </c>
      <c r="Q47" t="str">
        <f>IF(Initiatives_Table[[#This Row],[Actual_Completion_Date]]="", "In Progress", "Completed")</f>
        <v>In Progress</v>
      </c>
    </row>
    <row r="48" spans="1:17" x14ac:dyDescent="0.25">
      <c r="A48" t="s">
        <v>61</v>
      </c>
      <c r="B48" t="s">
        <v>141</v>
      </c>
      <c r="C48" t="s">
        <v>177</v>
      </c>
      <c r="D48" t="s">
        <v>182</v>
      </c>
      <c r="E48" t="s">
        <v>228</v>
      </c>
      <c r="F48" s="17">
        <v>45327</v>
      </c>
      <c r="H48">
        <v>15</v>
      </c>
      <c r="I48">
        <v>500000</v>
      </c>
      <c r="J48">
        <v>519748</v>
      </c>
      <c r="K48">
        <v>71</v>
      </c>
      <c r="L48" t="s">
        <v>257</v>
      </c>
      <c r="M48">
        <v>500000</v>
      </c>
      <c r="O48" s="12">
        <v>0.1</v>
      </c>
      <c r="P48" t="s">
        <v>259</v>
      </c>
      <c r="Q48" t="str">
        <f>IF(Initiatives_Table[[#This Row],[Actual_Completion_Date]]="", "In Progress", "Completed")</f>
        <v>In Progress</v>
      </c>
    </row>
    <row r="49" spans="1:17" x14ac:dyDescent="0.25">
      <c r="A49" t="s">
        <v>62</v>
      </c>
      <c r="B49" t="s">
        <v>142</v>
      </c>
      <c r="C49" t="s">
        <v>178</v>
      </c>
      <c r="D49" t="s">
        <v>182</v>
      </c>
      <c r="E49" t="s">
        <v>229</v>
      </c>
      <c r="F49" s="17">
        <v>45349</v>
      </c>
      <c r="H49">
        <v>9</v>
      </c>
      <c r="I49">
        <v>1000000</v>
      </c>
      <c r="J49">
        <v>1005112</v>
      </c>
      <c r="K49">
        <v>98</v>
      </c>
      <c r="L49" t="s">
        <v>255</v>
      </c>
      <c r="M49">
        <v>500000</v>
      </c>
      <c r="O49" s="12">
        <v>0.1</v>
      </c>
      <c r="P49" t="s">
        <v>259</v>
      </c>
      <c r="Q49" t="str">
        <f>IF(Initiatives_Table[[#This Row],[Actual_Completion_Date]]="", "In Progress", "Completed")</f>
        <v>In Progress</v>
      </c>
    </row>
    <row r="50" spans="1:17" x14ac:dyDescent="0.25">
      <c r="A50" t="s">
        <v>63</v>
      </c>
      <c r="B50" t="s">
        <v>143</v>
      </c>
      <c r="C50" t="s">
        <v>179</v>
      </c>
      <c r="D50" t="s">
        <v>184</v>
      </c>
      <c r="E50" t="s">
        <v>230</v>
      </c>
      <c r="F50" s="17">
        <v>45222</v>
      </c>
      <c r="G50" s="17">
        <v>45226</v>
      </c>
      <c r="H50">
        <v>14</v>
      </c>
      <c r="I50">
        <v>1000000</v>
      </c>
      <c r="J50">
        <v>539130</v>
      </c>
      <c r="K50">
        <v>95</v>
      </c>
      <c r="L50" t="s">
        <v>254</v>
      </c>
      <c r="M50">
        <v>1000000</v>
      </c>
      <c r="N50">
        <v>998312</v>
      </c>
      <c r="O50" s="12">
        <v>1</v>
      </c>
      <c r="P50" t="s">
        <v>261</v>
      </c>
      <c r="Q50" t="str">
        <f>IF(Initiatives_Table[[#This Row],[Actual_Completion_Date]]="", "In Progress", "Completed")</f>
        <v>Completed</v>
      </c>
    </row>
    <row r="51" spans="1:17" x14ac:dyDescent="0.25">
      <c r="A51" t="s">
        <v>64</v>
      </c>
      <c r="B51" t="s">
        <v>144</v>
      </c>
      <c r="C51" t="s">
        <v>175</v>
      </c>
      <c r="D51" t="s">
        <v>183</v>
      </c>
      <c r="E51" t="s">
        <v>231</v>
      </c>
      <c r="F51" s="17">
        <v>45350</v>
      </c>
      <c r="H51">
        <v>5</v>
      </c>
      <c r="I51">
        <v>250000</v>
      </c>
      <c r="J51">
        <v>259238</v>
      </c>
      <c r="K51">
        <v>71</v>
      </c>
      <c r="L51" t="s">
        <v>256</v>
      </c>
      <c r="M51">
        <v>1000000</v>
      </c>
      <c r="O51" s="12">
        <v>0.5</v>
      </c>
      <c r="P51" t="s">
        <v>262</v>
      </c>
      <c r="Q51" t="str">
        <f>IF(Initiatives_Table[[#This Row],[Actual_Completion_Date]]="", "In Progress", "Completed")</f>
        <v>In Progress</v>
      </c>
    </row>
    <row r="52" spans="1:17" x14ac:dyDescent="0.25">
      <c r="A52" t="s">
        <v>65</v>
      </c>
      <c r="B52" t="s">
        <v>145</v>
      </c>
      <c r="C52" t="s">
        <v>176</v>
      </c>
      <c r="D52" t="s">
        <v>180</v>
      </c>
      <c r="E52" t="s">
        <v>232</v>
      </c>
      <c r="F52" s="17">
        <v>45355</v>
      </c>
      <c r="H52">
        <v>9</v>
      </c>
      <c r="I52">
        <v>1000000</v>
      </c>
      <c r="J52">
        <v>528742</v>
      </c>
      <c r="K52">
        <v>60</v>
      </c>
      <c r="L52" t="s">
        <v>255</v>
      </c>
      <c r="M52">
        <v>100000</v>
      </c>
      <c r="O52" s="12">
        <v>0.8</v>
      </c>
      <c r="P52" t="s">
        <v>259</v>
      </c>
      <c r="Q52" t="str">
        <f>IF(Initiatives_Table[[#This Row],[Actual_Completion_Date]]="", "In Progress", "Completed")</f>
        <v>In Progress</v>
      </c>
    </row>
    <row r="53" spans="1:17" x14ac:dyDescent="0.25">
      <c r="A53" t="s">
        <v>66</v>
      </c>
      <c r="B53" t="s">
        <v>146</v>
      </c>
      <c r="C53" t="s">
        <v>176</v>
      </c>
      <c r="D53" t="s">
        <v>184</v>
      </c>
      <c r="E53" t="s">
        <v>233</v>
      </c>
      <c r="F53" s="17">
        <v>45314</v>
      </c>
      <c r="G53" s="17">
        <v>45311</v>
      </c>
      <c r="H53">
        <v>5</v>
      </c>
      <c r="I53">
        <v>250000</v>
      </c>
      <c r="J53">
        <v>211678</v>
      </c>
      <c r="K53">
        <v>63</v>
      </c>
      <c r="L53" t="s">
        <v>256</v>
      </c>
      <c r="M53">
        <v>1000000</v>
      </c>
      <c r="N53">
        <v>642800</v>
      </c>
      <c r="O53" s="12">
        <v>1</v>
      </c>
      <c r="P53" t="s">
        <v>258</v>
      </c>
      <c r="Q53" t="str">
        <f>IF(Initiatives_Table[[#This Row],[Actual_Completion_Date]]="", "In Progress", "Completed")</f>
        <v>Completed</v>
      </c>
    </row>
    <row r="54" spans="1:17" x14ac:dyDescent="0.25">
      <c r="A54" t="s">
        <v>67</v>
      </c>
      <c r="B54" t="s">
        <v>147</v>
      </c>
      <c r="C54" t="s">
        <v>175</v>
      </c>
      <c r="D54" t="s">
        <v>182</v>
      </c>
      <c r="E54" t="s">
        <v>197</v>
      </c>
      <c r="F54" s="17">
        <v>45152</v>
      </c>
      <c r="H54">
        <v>11</v>
      </c>
      <c r="I54">
        <v>100000</v>
      </c>
      <c r="J54">
        <v>89393</v>
      </c>
      <c r="K54">
        <v>84</v>
      </c>
      <c r="L54" t="s">
        <v>254</v>
      </c>
      <c r="M54">
        <v>500000</v>
      </c>
      <c r="O54" s="12">
        <v>0.1</v>
      </c>
      <c r="P54" t="s">
        <v>260</v>
      </c>
      <c r="Q54" t="str">
        <f>IF(Initiatives_Table[[#This Row],[Actual_Completion_Date]]="", "In Progress", "Completed")</f>
        <v>In Progress</v>
      </c>
    </row>
    <row r="55" spans="1:17" x14ac:dyDescent="0.25">
      <c r="A55" t="s">
        <v>68</v>
      </c>
      <c r="B55" t="s">
        <v>148</v>
      </c>
      <c r="C55" t="s">
        <v>175</v>
      </c>
      <c r="D55" t="s">
        <v>180</v>
      </c>
      <c r="E55" t="s">
        <v>199</v>
      </c>
      <c r="F55" s="17">
        <v>45261</v>
      </c>
      <c r="H55">
        <v>3</v>
      </c>
      <c r="I55">
        <v>250000</v>
      </c>
      <c r="J55">
        <v>268166</v>
      </c>
      <c r="K55">
        <v>60</v>
      </c>
      <c r="L55" t="s">
        <v>257</v>
      </c>
      <c r="M55">
        <v>1000000</v>
      </c>
      <c r="O55" s="12">
        <v>0.8</v>
      </c>
      <c r="P55" t="s">
        <v>260</v>
      </c>
      <c r="Q55" t="str">
        <f>IF(Initiatives_Table[[#This Row],[Actual_Completion_Date]]="", "In Progress", "Completed")</f>
        <v>In Progress</v>
      </c>
    </row>
    <row r="56" spans="1:17" x14ac:dyDescent="0.25">
      <c r="A56" t="s">
        <v>69</v>
      </c>
      <c r="B56" t="s">
        <v>149</v>
      </c>
      <c r="C56" t="s">
        <v>178</v>
      </c>
      <c r="D56" t="s">
        <v>181</v>
      </c>
      <c r="E56" t="s">
        <v>234</v>
      </c>
      <c r="F56" s="17">
        <v>45375</v>
      </c>
      <c r="H56">
        <v>12</v>
      </c>
      <c r="I56">
        <v>1000000</v>
      </c>
      <c r="J56">
        <v>737292</v>
      </c>
      <c r="K56">
        <v>72</v>
      </c>
      <c r="L56" t="s">
        <v>255</v>
      </c>
      <c r="M56">
        <v>500000</v>
      </c>
      <c r="O56" s="12">
        <v>0.25</v>
      </c>
      <c r="P56" t="s">
        <v>262</v>
      </c>
      <c r="Q56" t="str">
        <f>IF(Initiatives_Table[[#This Row],[Actual_Completion_Date]]="", "In Progress", "Completed")</f>
        <v>In Progress</v>
      </c>
    </row>
    <row r="57" spans="1:17" x14ac:dyDescent="0.25">
      <c r="A57" t="s">
        <v>70</v>
      </c>
      <c r="B57" t="s">
        <v>150</v>
      </c>
      <c r="C57" t="s">
        <v>179</v>
      </c>
      <c r="D57" t="s">
        <v>184</v>
      </c>
      <c r="E57" t="s">
        <v>235</v>
      </c>
      <c r="F57" s="17">
        <v>45096</v>
      </c>
      <c r="G57" s="17">
        <v>45108</v>
      </c>
      <c r="H57">
        <v>7</v>
      </c>
      <c r="I57">
        <v>500000</v>
      </c>
      <c r="J57">
        <v>166253</v>
      </c>
      <c r="K57">
        <v>95</v>
      </c>
      <c r="L57" t="s">
        <v>256</v>
      </c>
      <c r="M57">
        <v>1000000</v>
      </c>
      <c r="N57">
        <v>591046</v>
      </c>
      <c r="O57" s="12">
        <v>1</v>
      </c>
      <c r="P57" t="s">
        <v>258</v>
      </c>
      <c r="Q57" t="str">
        <f>IF(Initiatives_Table[[#This Row],[Actual_Completion_Date]]="", "In Progress", "Completed")</f>
        <v>Completed</v>
      </c>
    </row>
    <row r="58" spans="1:17" x14ac:dyDescent="0.25">
      <c r="A58" t="s">
        <v>71</v>
      </c>
      <c r="B58" t="s">
        <v>151</v>
      </c>
      <c r="C58" t="s">
        <v>175</v>
      </c>
      <c r="D58" t="s">
        <v>180</v>
      </c>
      <c r="E58" t="s">
        <v>236</v>
      </c>
      <c r="F58" s="17">
        <v>45234</v>
      </c>
      <c r="H58">
        <v>8</v>
      </c>
      <c r="I58">
        <v>50000</v>
      </c>
      <c r="J58">
        <v>21148</v>
      </c>
      <c r="K58">
        <v>98</v>
      </c>
      <c r="L58" t="s">
        <v>257</v>
      </c>
      <c r="M58">
        <v>100000</v>
      </c>
      <c r="O58" s="12">
        <v>0.8</v>
      </c>
      <c r="P58" t="s">
        <v>261</v>
      </c>
      <c r="Q58" t="str">
        <f>IF(Initiatives_Table[[#This Row],[Actual_Completion_Date]]="", "In Progress", "Completed")</f>
        <v>In Progress</v>
      </c>
    </row>
    <row r="59" spans="1:17" x14ac:dyDescent="0.25">
      <c r="A59" t="s">
        <v>72</v>
      </c>
      <c r="B59" t="s">
        <v>152</v>
      </c>
      <c r="C59" t="s">
        <v>175</v>
      </c>
      <c r="D59" t="s">
        <v>180</v>
      </c>
      <c r="E59" t="s">
        <v>237</v>
      </c>
      <c r="F59" s="17">
        <v>45329</v>
      </c>
      <c r="H59">
        <v>8</v>
      </c>
      <c r="I59">
        <v>50000</v>
      </c>
      <c r="J59">
        <v>46361</v>
      </c>
      <c r="K59">
        <v>93</v>
      </c>
      <c r="L59" t="s">
        <v>255</v>
      </c>
      <c r="M59">
        <v>500000</v>
      </c>
      <c r="O59" s="12">
        <v>0.8</v>
      </c>
      <c r="P59" t="s">
        <v>259</v>
      </c>
      <c r="Q59" t="str">
        <f>IF(Initiatives_Table[[#This Row],[Actual_Completion_Date]]="", "In Progress", "Completed")</f>
        <v>In Progress</v>
      </c>
    </row>
    <row r="60" spans="1:17" x14ac:dyDescent="0.25">
      <c r="A60" t="s">
        <v>73</v>
      </c>
      <c r="B60" t="s">
        <v>153</v>
      </c>
      <c r="C60" t="s">
        <v>178</v>
      </c>
      <c r="D60" t="s">
        <v>181</v>
      </c>
      <c r="E60" t="s">
        <v>205</v>
      </c>
      <c r="F60" s="17">
        <v>45144</v>
      </c>
      <c r="H60">
        <v>4</v>
      </c>
      <c r="I60">
        <v>1000000</v>
      </c>
      <c r="J60">
        <v>729628</v>
      </c>
      <c r="K60">
        <v>82</v>
      </c>
      <c r="L60" t="s">
        <v>257</v>
      </c>
      <c r="M60">
        <v>500000</v>
      </c>
      <c r="O60" s="12">
        <v>0.25</v>
      </c>
      <c r="P60" t="s">
        <v>259</v>
      </c>
      <c r="Q60" t="str">
        <f>IF(Initiatives_Table[[#This Row],[Actual_Completion_Date]]="", "In Progress", "Completed")</f>
        <v>In Progress</v>
      </c>
    </row>
    <row r="61" spans="1:17" x14ac:dyDescent="0.25">
      <c r="A61" t="s">
        <v>74</v>
      </c>
      <c r="B61" t="s">
        <v>154</v>
      </c>
      <c r="C61" t="s">
        <v>178</v>
      </c>
      <c r="D61" t="s">
        <v>180</v>
      </c>
      <c r="E61" t="s">
        <v>202</v>
      </c>
      <c r="F61" s="17">
        <v>45162</v>
      </c>
      <c r="H61">
        <v>11</v>
      </c>
      <c r="I61">
        <v>1000000</v>
      </c>
      <c r="J61">
        <v>724399</v>
      </c>
      <c r="K61">
        <v>60</v>
      </c>
      <c r="L61" t="s">
        <v>254</v>
      </c>
      <c r="M61">
        <v>100000</v>
      </c>
      <c r="O61" s="12">
        <v>0.8</v>
      </c>
      <c r="P61" t="s">
        <v>261</v>
      </c>
      <c r="Q61" t="str">
        <f>IF(Initiatives_Table[[#This Row],[Actual_Completion_Date]]="", "In Progress", "Completed")</f>
        <v>In Progress</v>
      </c>
    </row>
    <row r="62" spans="1:17" x14ac:dyDescent="0.25">
      <c r="A62" t="s">
        <v>75</v>
      </c>
      <c r="B62" t="s">
        <v>155</v>
      </c>
      <c r="C62" t="s">
        <v>179</v>
      </c>
      <c r="D62" t="s">
        <v>184</v>
      </c>
      <c r="E62" t="s">
        <v>238</v>
      </c>
      <c r="F62" s="17">
        <v>45337</v>
      </c>
      <c r="G62" s="17">
        <v>45385</v>
      </c>
      <c r="H62">
        <v>15</v>
      </c>
      <c r="I62">
        <v>250000</v>
      </c>
      <c r="J62">
        <v>151274</v>
      </c>
      <c r="K62">
        <v>67</v>
      </c>
      <c r="L62" t="s">
        <v>256</v>
      </c>
      <c r="M62">
        <v>5000000</v>
      </c>
      <c r="N62">
        <v>3398066</v>
      </c>
      <c r="O62" s="12">
        <v>1</v>
      </c>
      <c r="P62" t="s">
        <v>259</v>
      </c>
      <c r="Q62" t="str">
        <f>IF(Initiatives_Table[[#This Row],[Actual_Completion_Date]]="", "In Progress", "Completed")</f>
        <v>Completed</v>
      </c>
    </row>
    <row r="63" spans="1:17" x14ac:dyDescent="0.25">
      <c r="A63" t="s">
        <v>76</v>
      </c>
      <c r="B63" t="s">
        <v>156</v>
      </c>
      <c r="C63" t="s">
        <v>179</v>
      </c>
      <c r="D63" t="s">
        <v>182</v>
      </c>
      <c r="E63" t="s">
        <v>239</v>
      </c>
      <c r="F63" s="17">
        <v>45331</v>
      </c>
      <c r="H63">
        <v>13</v>
      </c>
      <c r="I63">
        <v>500000</v>
      </c>
      <c r="J63">
        <v>167540</v>
      </c>
      <c r="K63">
        <v>72</v>
      </c>
      <c r="L63" t="s">
        <v>254</v>
      </c>
      <c r="M63">
        <v>1000000</v>
      </c>
      <c r="O63" s="12">
        <v>0.1</v>
      </c>
      <c r="P63" t="s">
        <v>259</v>
      </c>
      <c r="Q63" t="str">
        <f>IF(Initiatives_Table[[#This Row],[Actual_Completion_Date]]="", "In Progress", "Completed")</f>
        <v>In Progress</v>
      </c>
    </row>
    <row r="64" spans="1:17" x14ac:dyDescent="0.25">
      <c r="A64" t="s">
        <v>77</v>
      </c>
      <c r="B64" t="s">
        <v>157</v>
      </c>
      <c r="C64" t="s">
        <v>175</v>
      </c>
      <c r="D64" t="s">
        <v>182</v>
      </c>
      <c r="E64" t="s">
        <v>240</v>
      </c>
      <c r="F64" s="17">
        <v>45368</v>
      </c>
      <c r="H64">
        <v>6</v>
      </c>
      <c r="I64">
        <v>50000</v>
      </c>
      <c r="J64">
        <v>40077</v>
      </c>
      <c r="K64">
        <v>100</v>
      </c>
      <c r="L64" t="s">
        <v>257</v>
      </c>
      <c r="M64">
        <v>500000</v>
      </c>
      <c r="O64" s="12">
        <v>0.1</v>
      </c>
      <c r="P64" t="s">
        <v>262</v>
      </c>
      <c r="Q64" t="str">
        <f>IF(Initiatives_Table[[#This Row],[Actual_Completion_Date]]="", "In Progress", "Completed")</f>
        <v>In Progress</v>
      </c>
    </row>
    <row r="65" spans="1:17" x14ac:dyDescent="0.25">
      <c r="A65" t="s">
        <v>78</v>
      </c>
      <c r="B65" t="s">
        <v>158</v>
      </c>
      <c r="C65" t="s">
        <v>177</v>
      </c>
      <c r="D65" t="s">
        <v>182</v>
      </c>
      <c r="E65" t="s">
        <v>241</v>
      </c>
      <c r="F65" s="17">
        <v>45427</v>
      </c>
      <c r="H65">
        <v>5</v>
      </c>
      <c r="I65">
        <v>50000</v>
      </c>
      <c r="J65">
        <v>44875</v>
      </c>
      <c r="K65">
        <v>61</v>
      </c>
      <c r="L65" t="s">
        <v>256</v>
      </c>
      <c r="M65">
        <v>5000000</v>
      </c>
      <c r="O65" s="12">
        <v>0.1</v>
      </c>
      <c r="P65" t="s">
        <v>259</v>
      </c>
      <c r="Q65" t="str">
        <f>IF(Initiatives_Table[[#This Row],[Actual_Completion_Date]]="", "In Progress", "Completed")</f>
        <v>In Progress</v>
      </c>
    </row>
    <row r="66" spans="1:17" x14ac:dyDescent="0.25">
      <c r="A66" t="s">
        <v>79</v>
      </c>
      <c r="B66" t="s">
        <v>159</v>
      </c>
      <c r="C66" t="s">
        <v>179</v>
      </c>
      <c r="D66" t="s">
        <v>182</v>
      </c>
      <c r="E66" t="s">
        <v>242</v>
      </c>
      <c r="F66" s="17">
        <v>45029</v>
      </c>
      <c r="H66">
        <v>12</v>
      </c>
      <c r="I66">
        <v>250000</v>
      </c>
      <c r="J66">
        <v>186616</v>
      </c>
      <c r="K66">
        <v>74</v>
      </c>
      <c r="L66" t="s">
        <v>257</v>
      </c>
      <c r="M66">
        <v>1000000</v>
      </c>
      <c r="O66" s="12">
        <v>0.1</v>
      </c>
      <c r="P66" t="s">
        <v>258</v>
      </c>
      <c r="Q66" t="str">
        <f>IF(Initiatives_Table[[#This Row],[Actual_Completion_Date]]="", "In Progress", "Completed")</f>
        <v>In Progress</v>
      </c>
    </row>
    <row r="67" spans="1:17" x14ac:dyDescent="0.25">
      <c r="A67" t="s">
        <v>80</v>
      </c>
      <c r="B67" t="s">
        <v>160</v>
      </c>
      <c r="C67" t="s">
        <v>177</v>
      </c>
      <c r="D67" t="s">
        <v>184</v>
      </c>
      <c r="E67" t="s">
        <v>228</v>
      </c>
      <c r="F67" s="17">
        <v>45258</v>
      </c>
      <c r="G67" s="17">
        <v>45263</v>
      </c>
      <c r="H67">
        <v>13</v>
      </c>
      <c r="I67">
        <v>50000</v>
      </c>
      <c r="J67">
        <v>36393</v>
      </c>
      <c r="K67">
        <v>99</v>
      </c>
      <c r="L67" t="s">
        <v>255</v>
      </c>
      <c r="M67">
        <v>100000</v>
      </c>
      <c r="N67">
        <v>102917</v>
      </c>
      <c r="O67" s="12">
        <v>1</v>
      </c>
      <c r="P67" t="s">
        <v>260</v>
      </c>
      <c r="Q67" t="str">
        <f>IF(Initiatives_Table[[#This Row],[Actual_Completion_Date]]="", "In Progress", "Completed")</f>
        <v>Completed</v>
      </c>
    </row>
    <row r="68" spans="1:17" x14ac:dyDescent="0.25">
      <c r="A68" t="s">
        <v>81</v>
      </c>
      <c r="B68" t="s">
        <v>161</v>
      </c>
      <c r="C68" t="s">
        <v>175</v>
      </c>
      <c r="D68" t="s">
        <v>182</v>
      </c>
      <c r="E68" t="s">
        <v>243</v>
      </c>
      <c r="F68" s="17">
        <v>45241</v>
      </c>
      <c r="H68">
        <v>7</v>
      </c>
      <c r="I68">
        <v>250000</v>
      </c>
      <c r="J68">
        <v>232378</v>
      </c>
      <c r="K68">
        <v>98</v>
      </c>
      <c r="L68" t="s">
        <v>257</v>
      </c>
      <c r="M68">
        <v>100000</v>
      </c>
      <c r="O68" s="12">
        <v>0.1</v>
      </c>
      <c r="P68" t="s">
        <v>261</v>
      </c>
      <c r="Q68" t="str">
        <f>IF(Initiatives_Table[[#This Row],[Actual_Completion_Date]]="", "In Progress", "Completed")</f>
        <v>In Progress</v>
      </c>
    </row>
    <row r="69" spans="1:17" x14ac:dyDescent="0.25">
      <c r="A69" t="s">
        <v>82</v>
      </c>
      <c r="B69" t="s">
        <v>162</v>
      </c>
      <c r="C69" t="s">
        <v>179</v>
      </c>
      <c r="D69" t="s">
        <v>184</v>
      </c>
      <c r="E69" t="s">
        <v>219</v>
      </c>
      <c r="F69" s="17">
        <v>45302</v>
      </c>
      <c r="G69" s="17">
        <v>45305</v>
      </c>
      <c r="H69">
        <v>9</v>
      </c>
      <c r="I69">
        <v>100000</v>
      </c>
      <c r="J69">
        <v>40910</v>
      </c>
      <c r="K69">
        <v>94</v>
      </c>
      <c r="L69" t="s">
        <v>255</v>
      </c>
      <c r="M69">
        <v>1000000</v>
      </c>
      <c r="N69">
        <v>1172093</v>
      </c>
      <c r="O69" s="12">
        <v>1</v>
      </c>
      <c r="P69" t="s">
        <v>260</v>
      </c>
      <c r="Q69" t="str">
        <f>IF(Initiatives_Table[[#This Row],[Actual_Completion_Date]]="", "In Progress", "Completed")</f>
        <v>Completed</v>
      </c>
    </row>
    <row r="70" spans="1:17" x14ac:dyDescent="0.25">
      <c r="A70" t="s">
        <v>83</v>
      </c>
      <c r="B70" t="s">
        <v>163</v>
      </c>
      <c r="C70" t="s">
        <v>178</v>
      </c>
      <c r="D70" t="s">
        <v>180</v>
      </c>
      <c r="E70" t="s">
        <v>244</v>
      </c>
      <c r="F70" s="17">
        <v>45382</v>
      </c>
      <c r="H70">
        <v>3</v>
      </c>
      <c r="I70">
        <v>100000</v>
      </c>
      <c r="J70">
        <v>39858</v>
      </c>
      <c r="K70">
        <v>96</v>
      </c>
      <c r="L70" t="s">
        <v>254</v>
      </c>
      <c r="M70">
        <v>5000000</v>
      </c>
      <c r="O70" s="12">
        <v>0.8</v>
      </c>
      <c r="P70" t="s">
        <v>258</v>
      </c>
      <c r="Q70" t="str">
        <f>IF(Initiatives_Table[[#This Row],[Actual_Completion_Date]]="", "In Progress", "Completed")</f>
        <v>In Progress</v>
      </c>
    </row>
    <row r="71" spans="1:17" x14ac:dyDescent="0.25">
      <c r="A71" t="s">
        <v>84</v>
      </c>
      <c r="B71" t="s">
        <v>164</v>
      </c>
      <c r="C71" t="s">
        <v>175</v>
      </c>
      <c r="D71" t="s">
        <v>181</v>
      </c>
      <c r="E71" t="s">
        <v>245</v>
      </c>
      <c r="F71" s="17">
        <v>45152</v>
      </c>
      <c r="H71">
        <v>13</v>
      </c>
      <c r="I71">
        <v>100000</v>
      </c>
      <c r="J71">
        <v>63012</v>
      </c>
      <c r="K71">
        <v>92</v>
      </c>
      <c r="L71" t="s">
        <v>257</v>
      </c>
      <c r="M71">
        <v>500000</v>
      </c>
      <c r="O71" s="12">
        <v>0.25</v>
      </c>
      <c r="P71" t="s">
        <v>261</v>
      </c>
      <c r="Q71" t="str">
        <f>IF(Initiatives_Table[[#This Row],[Actual_Completion_Date]]="", "In Progress", "Completed")</f>
        <v>In Progress</v>
      </c>
    </row>
    <row r="72" spans="1:17" x14ac:dyDescent="0.25">
      <c r="A72" t="s">
        <v>85</v>
      </c>
      <c r="B72" t="s">
        <v>165</v>
      </c>
      <c r="C72" t="s">
        <v>178</v>
      </c>
      <c r="D72" t="s">
        <v>183</v>
      </c>
      <c r="E72" t="s">
        <v>246</v>
      </c>
      <c r="F72" s="17">
        <v>45135</v>
      </c>
      <c r="H72">
        <v>15</v>
      </c>
      <c r="I72">
        <v>50000</v>
      </c>
      <c r="J72">
        <v>22254</v>
      </c>
      <c r="K72">
        <v>96</v>
      </c>
      <c r="L72" t="s">
        <v>256</v>
      </c>
      <c r="M72">
        <v>100000</v>
      </c>
      <c r="O72" s="12">
        <v>0.5</v>
      </c>
      <c r="P72" t="s">
        <v>259</v>
      </c>
      <c r="Q72" t="str">
        <f>IF(Initiatives_Table[[#This Row],[Actual_Completion_Date]]="", "In Progress", "Completed")</f>
        <v>In Progress</v>
      </c>
    </row>
    <row r="73" spans="1:17" x14ac:dyDescent="0.25">
      <c r="A73" t="s">
        <v>86</v>
      </c>
      <c r="B73" t="s">
        <v>166</v>
      </c>
      <c r="C73" t="s">
        <v>175</v>
      </c>
      <c r="D73" t="s">
        <v>184</v>
      </c>
      <c r="E73" t="s">
        <v>233</v>
      </c>
      <c r="F73" s="17">
        <v>45317</v>
      </c>
      <c r="G73" s="17">
        <v>45315</v>
      </c>
      <c r="H73">
        <v>8</v>
      </c>
      <c r="I73">
        <v>1000000</v>
      </c>
      <c r="J73">
        <v>689752</v>
      </c>
      <c r="K73">
        <v>82</v>
      </c>
      <c r="L73" t="s">
        <v>257</v>
      </c>
      <c r="M73">
        <v>500000</v>
      </c>
      <c r="N73">
        <v>484953</v>
      </c>
      <c r="O73" s="12">
        <v>1</v>
      </c>
      <c r="P73" t="s">
        <v>261</v>
      </c>
      <c r="Q73" t="str">
        <f>IF(Initiatives_Table[[#This Row],[Actual_Completion_Date]]="", "In Progress", "Completed")</f>
        <v>Completed</v>
      </c>
    </row>
    <row r="74" spans="1:17" x14ac:dyDescent="0.25">
      <c r="A74" t="s">
        <v>87</v>
      </c>
      <c r="B74" t="s">
        <v>167</v>
      </c>
      <c r="C74" t="s">
        <v>178</v>
      </c>
      <c r="D74" t="s">
        <v>182</v>
      </c>
      <c r="E74" t="s">
        <v>247</v>
      </c>
      <c r="F74" s="17">
        <v>45041</v>
      </c>
      <c r="H74">
        <v>8</v>
      </c>
      <c r="I74">
        <v>250000</v>
      </c>
      <c r="J74">
        <v>172172</v>
      </c>
      <c r="K74">
        <v>99</v>
      </c>
      <c r="L74" t="s">
        <v>254</v>
      </c>
      <c r="M74">
        <v>1000000</v>
      </c>
      <c r="O74" s="12">
        <v>0.1</v>
      </c>
      <c r="P74" t="s">
        <v>259</v>
      </c>
      <c r="Q74" t="str">
        <f>IF(Initiatives_Table[[#This Row],[Actual_Completion_Date]]="", "In Progress", "Completed")</f>
        <v>In Progress</v>
      </c>
    </row>
    <row r="75" spans="1:17" x14ac:dyDescent="0.25">
      <c r="A75" t="s">
        <v>88</v>
      </c>
      <c r="B75" t="s">
        <v>168</v>
      </c>
      <c r="C75" t="s">
        <v>175</v>
      </c>
      <c r="D75" t="s">
        <v>183</v>
      </c>
      <c r="E75" t="s">
        <v>248</v>
      </c>
      <c r="F75" s="17">
        <v>45219</v>
      </c>
      <c r="H75">
        <v>15</v>
      </c>
      <c r="I75">
        <v>50000</v>
      </c>
      <c r="J75">
        <v>27528</v>
      </c>
      <c r="K75">
        <v>74</v>
      </c>
      <c r="L75" t="s">
        <v>254</v>
      </c>
      <c r="M75">
        <v>5000000</v>
      </c>
      <c r="O75" s="12">
        <v>0.5</v>
      </c>
      <c r="P75" t="s">
        <v>261</v>
      </c>
      <c r="Q75" t="str">
        <f>IF(Initiatives_Table[[#This Row],[Actual_Completion_Date]]="", "In Progress", "Completed")</f>
        <v>In Progress</v>
      </c>
    </row>
    <row r="76" spans="1:17" x14ac:dyDescent="0.25">
      <c r="A76" t="s">
        <v>89</v>
      </c>
      <c r="B76" t="s">
        <v>169</v>
      </c>
      <c r="C76" t="s">
        <v>179</v>
      </c>
      <c r="D76" t="s">
        <v>180</v>
      </c>
      <c r="E76" t="s">
        <v>249</v>
      </c>
      <c r="F76" s="17">
        <v>45320</v>
      </c>
      <c r="H76">
        <v>7</v>
      </c>
      <c r="I76">
        <v>500000</v>
      </c>
      <c r="J76">
        <v>293496</v>
      </c>
      <c r="K76">
        <v>91</v>
      </c>
      <c r="L76" t="s">
        <v>256</v>
      </c>
      <c r="M76">
        <v>100000</v>
      </c>
      <c r="O76" s="12">
        <v>0.8</v>
      </c>
      <c r="P76" t="s">
        <v>261</v>
      </c>
      <c r="Q76" t="str">
        <f>IF(Initiatives_Table[[#This Row],[Actual_Completion_Date]]="", "In Progress", "Completed")</f>
        <v>In Progress</v>
      </c>
    </row>
    <row r="77" spans="1:17" x14ac:dyDescent="0.25">
      <c r="A77" t="s">
        <v>90</v>
      </c>
      <c r="B77" t="s">
        <v>170</v>
      </c>
      <c r="C77" t="s">
        <v>178</v>
      </c>
      <c r="D77" t="s">
        <v>181</v>
      </c>
      <c r="E77" t="s">
        <v>250</v>
      </c>
      <c r="F77" s="17">
        <v>45165</v>
      </c>
      <c r="H77">
        <v>13</v>
      </c>
      <c r="I77">
        <v>100000</v>
      </c>
      <c r="J77">
        <v>51058</v>
      </c>
      <c r="K77">
        <v>64</v>
      </c>
      <c r="L77" t="s">
        <v>257</v>
      </c>
      <c r="M77">
        <v>100000</v>
      </c>
      <c r="O77" s="12">
        <v>0.25</v>
      </c>
      <c r="P77" t="s">
        <v>261</v>
      </c>
      <c r="Q77" t="str">
        <f>IF(Initiatives_Table[[#This Row],[Actual_Completion_Date]]="", "In Progress", "Completed")</f>
        <v>In Progress</v>
      </c>
    </row>
    <row r="78" spans="1:17" x14ac:dyDescent="0.25">
      <c r="A78" t="s">
        <v>91</v>
      </c>
      <c r="B78" t="s">
        <v>171</v>
      </c>
      <c r="C78" t="s">
        <v>176</v>
      </c>
      <c r="D78" t="s">
        <v>181</v>
      </c>
      <c r="E78" t="s">
        <v>251</v>
      </c>
      <c r="F78" s="17">
        <v>45356</v>
      </c>
      <c r="H78">
        <v>3</v>
      </c>
      <c r="I78">
        <v>1000000</v>
      </c>
      <c r="J78">
        <v>470208</v>
      </c>
      <c r="K78">
        <v>95</v>
      </c>
      <c r="L78" t="s">
        <v>257</v>
      </c>
      <c r="M78">
        <v>1000000</v>
      </c>
      <c r="O78" s="12">
        <v>0.25</v>
      </c>
      <c r="P78" t="s">
        <v>259</v>
      </c>
      <c r="Q78" t="str">
        <f>IF(Initiatives_Table[[#This Row],[Actual_Completion_Date]]="", "In Progress", "Completed")</f>
        <v>In Progress</v>
      </c>
    </row>
    <row r="79" spans="1:17" x14ac:dyDescent="0.25">
      <c r="A79" t="s">
        <v>92</v>
      </c>
      <c r="B79" t="s">
        <v>172</v>
      </c>
      <c r="C79" t="s">
        <v>175</v>
      </c>
      <c r="D79" t="s">
        <v>181</v>
      </c>
      <c r="E79" t="s">
        <v>209</v>
      </c>
      <c r="F79" s="17">
        <v>45244</v>
      </c>
      <c r="H79">
        <v>12</v>
      </c>
      <c r="I79">
        <v>100000</v>
      </c>
      <c r="J79">
        <v>101315</v>
      </c>
      <c r="K79">
        <v>78</v>
      </c>
      <c r="L79" t="s">
        <v>255</v>
      </c>
      <c r="M79">
        <v>500000</v>
      </c>
      <c r="O79" s="12">
        <v>0.25</v>
      </c>
      <c r="P79" t="s">
        <v>262</v>
      </c>
      <c r="Q79" t="str">
        <f>IF(Initiatives_Table[[#This Row],[Actual_Completion_Date]]="", "In Progress", "Completed")</f>
        <v>In Progress</v>
      </c>
    </row>
    <row r="80" spans="1:17" x14ac:dyDescent="0.25">
      <c r="A80" t="s">
        <v>93</v>
      </c>
      <c r="B80" t="s">
        <v>173</v>
      </c>
      <c r="C80" t="s">
        <v>177</v>
      </c>
      <c r="D80" t="s">
        <v>181</v>
      </c>
      <c r="E80" t="s">
        <v>252</v>
      </c>
      <c r="F80" s="17">
        <v>45271</v>
      </c>
      <c r="H80">
        <v>15</v>
      </c>
      <c r="I80">
        <v>50000</v>
      </c>
      <c r="J80">
        <v>41507</v>
      </c>
      <c r="K80">
        <v>99</v>
      </c>
      <c r="L80" t="s">
        <v>257</v>
      </c>
      <c r="M80">
        <v>500000</v>
      </c>
      <c r="O80" s="12">
        <v>0.25</v>
      </c>
      <c r="P80" t="s">
        <v>260</v>
      </c>
      <c r="Q80" t="str">
        <f>IF(Initiatives_Table[[#This Row],[Actual_Completion_Date]]="", "In Progress", "Completed")</f>
        <v>In Progress</v>
      </c>
    </row>
    <row r="81" spans="1:17" x14ac:dyDescent="0.25">
      <c r="A81" t="s">
        <v>94</v>
      </c>
      <c r="B81" t="s">
        <v>174</v>
      </c>
      <c r="C81" t="s">
        <v>175</v>
      </c>
      <c r="D81" t="s">
        <v>183</v>
      </c>
      <c r="E81" t="s">
        <v>253</v>
      </c>
      <c r="F81" s="17">
        <v>45192</v>
      </c>
      <c r="H81">
        <v>5</v>
      </c>
      <c r="I81">
        <v>1000000</v>
      </c>
      <c r="J81">
        <v>827530</v>
      </c>
      <c r="K81">
        <v>90</v>
      </c>
      <c r="L81" t="s">
        <v>255</v>
      </c>
      <c r="M81">
        <v>1000000</v>
      </c>
      <c r="O81" s="12">
        <v>0.5</v>
      </c>
      <c r="P81" t="s">
        <v>262</v>
      </c>
      <c r="Q81" t="str">
        <f>IF(Initiatives_Table[[#This Row],[Actual_Completion_Date]]="", "In Progress", "Completed")</f>
        <v>In Progress</v>
      </c>
    </row>
    <row r="82" spans="1:17" x14ac:dyDescent="0.25">
      <c r="O82" s="12"/>
      <c r="Q82" s="5" t="str">
        <f>IF(Initiatives_Table[[#This Row],[Actual_Completion_Date]]="", "In Progress", "Completed")</f>
        <v>In Progress</v>
      </c>
    </row>
    <row r="83" spans="1:17" x14ac:dyDescent="0.25">
      <c r="O83" s="12"/>
      <c r="Q83" s="5" t="str">
        <f>IF(Initiatives_Table[[#This Row],[Actual_Completion_Date]]="", "In Progress", "Completed")</f>
        <v>In Progress</v>
      </c>
    </row>
    <row r="84" spans="1:17" x14ac:dyDescent="0.25">
      <c r="O84" s="12"/>
      <c r="Q84" s="5" t="str">
        <f>IF(Initiatives_Table[[#This Row],[Actual_Completion_Date]]="", "In Progress", "Completed")</f>
        <v>In Progress</v>
      </c>
    </row>
    <row r="85" spans="1:17" x14ac:dyDescent="0.25">
      <c r="O85" s="12"/>
      <c r="Q85" s="5" t="str">
        <f>IF(Initiatives_Table[[#This Row],[Actual_Completion_Date]]="", "In Progress", "Completed")</f>
        <v>In Progress</v>
      </c>
    </row>
  </sheetData>
  <conditionalFormatting sqref="Q8">
    <cfRule type="cellIs" dxfId="21" priority="9" operator="equal">
      <formula>"Completed"</formula>
    </cfRule>
  </conditionalFormatting>
  <conditionalFormatting sqref="Q1:Q1048576">
    <cfRule type="cellIs" dxfId="20" priority="8" operator="equal">
      <formula>"Completed"</formula>
    </cfRule>
    <cfRule type="cellIs" dxfId="19" priority="7" operator="equal">
      <formula>"In Progress"</formula>
    </cfRule>
  </conditionalFormatting>
  <conditionalFormatting sqref="L4">
    <cfRule type="cellIs" dxfId="18" priority="6" operator="equal">
      <formula>"Low"</formula>
    </cfRule>
    <cfRule type="cellIs" dxfId="17" priority="5" operator="equal">
      <formula>"Medium"</formula>
    </cfRule>
  </conditionalFormatting>
  <conditionalFormatting sqref="L1:L1048576">
    <cfRule type="cellIs" dxfId="4" priority="4" operator="equal">
      <formula>"Medium"</formula>
    </cfRule>
    <cfRule type="cellIs" dxfId="5" priority="3" operator="equal">
      <formula>"Low"</formula>
    </cfRule>
    <cfRule type="cellIs" dxfId="6" priority="2" operator="equal">
      <formula>"High"</formula>
    </cfRule>
    <cfRule type="cellIs" dxfId="3" priority="1" operator="equal">
      <formula>"Critical"</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AAB2-9062-4B13-88CC-99483FB19B02}">
  <dimension ref="A1:M113"/>
  <sheetViews>
    <sheetView topLeftCell="C1" zoomScale="85" zoomScaleNormal="85" workbookViewId="0">
      <selection activeCell="J12" sqref="J12:M17"/>
    </sheetView>
  </sheetViews>
  <sheetFormatPr defaultRowHeight="15" x14ac:dyDescent="0.25"/>
  <cols>
    <col min="1" max="1" width="18.85546875" bestFit="1" customWidth="1"/>
    <col min="2" max="2" width="16.28515625" bestFit="1" customWidth="1"/>
    <col min="3" max="3" width="27.42578125" style="6" customWidth="1"/>
    <col min="4" max="4" width="15.42578125" style="6" bestFit="1" customWidth="1"/>
    <col min="5" max="5" width="16.42578125" bestFit="1" customWidth="1"/>
    <col min="6" max="6" width="45.42578125" bestFit="1" customWidth="1"/>
    <col min="7" max="7" width="30.5703125" bestFit="1" customWidth="1"/>
    <col min="8" max="8" width="20.5703125" bestFit="1" customWidth="1"/>
    <col min="9" max="9" width="18" bestFit="1" customWidth="1"/>
    <col min="10" max="10" width="23.7109375" bestFit="1" customWidth="1"/>
    <col min="11" max="11" width="16.28515625" bestFit="1" customWidth="1"/>
    <col min="12" max="12" width="10.7109375" bestFit="1" customWidth="1"/>
    <col min="13" max="13" width="11.28515625" bestFit="1" customWidth="1"/>
  </cols>
  <sheetData>
    <row r="1" spans="1:13" ht="18.75" x14ac:dyDescent="0.3">
      <c r="A1" s="7" t="s">
        <v>267</v>
      </c>
      <c r="B1" s="8"/>
      <c r="C1" s="9"/>
      <c r="D1" s="9"/>
    </row>
    <row r="2" spans="1:13" x14ac:dyDescent="0.25">
      <c r="A2" s="4" t="s">
        <v>268</v>
      </c>
      <c r="B2" s="6" t="s">
        <v>286</v>
      </c>
      <c r="C2" s="6" t="s">
        <v>287</v>
      </c>
      <c r="D2" s="6" t="s">
        <v>266</v>
      </c>
    </row>
    <row r="3" spans="1:13" x14ac:dyDescent="0.25">
      <c r="A3" s="3" t="s">
        <v>175</v>
      </c>
      <c r="B3" s="6">
        <v>7950000</v>
      </c>
      <c r="C3" s="6">
        <v>6750224</v>
      </c>
      <c r="D3" s="6">
        <v>1199776</v>
      </c>
    </row>
    <row r="4" spans="1:13" x14ac:dyDescent="0.25">
      <c r="A4" s="3" t="s">
        <v>179</v>
      </c>
      <c r="B4" s="6">
        <v>6050000</v>
      </c>
      <c r="C4" s="6">
        <v>3767558</v>
      </c>
      <c r="D4" s="6">
        <v>2282442</v>
      </c>
    </row>
    <row r="5" spans="1:13" x14ac:dyDescent="0.25">
      <c r="A5" s="3" t="s">
        <v>177</v>
      </c>
      <c r="B5" s="6">
        <v>4800000</v>
      </c>
      <c r="C5" s="6">
        <v>2815204</v>
      </c>
      <c r="D5" s="6">
        <v>1984796</v>
      </c>
    </row>
    <row r="6" spans="1:13" x14ac:dyDescent="0.25">
      <c r="A6" s="3" t="s">
        <v>176</v>
      </c>
      <c r="B6" s="6">
        <v>5000000</v>
      </c>
      <c r="C6" s="6">
        <v>3449750</v>
      </c>
      <c r="D6" s="6">
        <v>1550250</v>
      </c>
    </row>
    <row r="7" spans="1:13" x14ac:dyDescent="0.25">
      <c r="A7" s="3" t="s">
        <v>178</v>
      </c>
      <c r="B7" s="6">
        <v>6550000</v>
      </c>
      <c r="C7" s="6">
        <v>5148358</v>
      </c>
      <c r="D7" s="6">
        <v>1401642</v>
      </c>
    </row>
    <row r="8" spans="1:13" x14ac:dyDescent="0.25">
      <c r="A8" s="3" t="s">
        <v>269</v>
      </c>
      <c r="B8" s="6"/>
      <c r="D8" s="6">
        <v>0</v>
      </c>
    </row>
    <row r="9" spans="1:13" x14ac:dyDescent="0.25">
      <c r="A9" s="3" t="s">
        <v>265</v>
      </c>
      <c r="B9" s="6">
        <v>30350000</v>
      </c>
      <c r="C9" s="6">
        <v>21931094</v>
      </c>
      <c r="D9" s="6">
        <v>8418906</v>
      </c>
    </row>
    <row r="10" spans="1:13" ht="18.75" x14ac:dyDescent="0.3">
      <c r="A10" s="3"/>
      <c r="B10" s="6"/>
      <c r="F10" s="7" t="s">
        <v>307</v>
      </c>
    </row>
    <row r="11" spans="1:13" ht="18.75" x14ac:dyDescent="0.3">
      <c r="A11" s="7" t="s">
        <v>274</v>
      </c>
      <c r="B11" s="8"/>
      <c r="C11" s="9"/>
      <c r="F11" s="4" t="s">
        <v>304</v>
      </c>
      <c r="G11" t="s">
        <v>305</v>
      </c>
      <c r="H11" t="s">
        <v>306</v>
      </c>
      <c r="J11" s="4" t="s">
        <v>308</v>
      </c>
      <c r="K11" s="4" t="s">
        <v>279</v>
      </c>
    </row>
    <row r="12" spans="1:13" x14ac:dyDescent="0.25">
      <c r="A12" s="4" t="s">
        <v>2</v>
      </c>
      <c r="B12" t="s">
        <v>273</v>
      </c>
      <c r="F12" s="3" t="s">
        <v>95</v>
      </c>
      <c r="G12" s="6">
        <v>5000000</v>
      </c>
      <c r="H12" s="6"/>
      <c r="J12" s="4" t="s">
        <v>268</v>
      </c>
      <c r="K12" t="s">
        <v>272</v>
      </c>
      <c r="L12" t="s">
        <v>271</v>
      </c>
      <c r="M12" t="s">
        <v>265</v>
      </c>
    </row>
    <row r="13" spans="1:13" x14ac:dyDescent="0.25">
      <c r="F13" s="3" t="s">
        <v>107</v>
      </c>
      <c r="G13" s="6">
        <v>1000000</v>
      </c>
      <c r="H13" s="6"/>
      <c r="J13" s="3" t="s">
        <v>175</v>
      </c>
      <c r="K13" s="5">
        <v>4</v>
      </c>
      <c r="L13" s="5">
        <v>18</v>
      </c>
      <c r="M13" s="5">
        <v>22</v>
      </c>
    </row>
    <row r="14" spans="1:13" s="14" customFormat="1" x14ac:dyDescent="0.25">
      <c r="A14" s="13" t="s">
        <v>270</v>
      </c>
      <c r="B14" s="14" t="s">
        <v>289</v>
      </c>
      <c r="C14"/>
      <c r="D14" s="15"/>
      <c r="F14" s="3" t="s">
        <v>121</v>
      </c>
      <c r="G14" s="6">
        <v>100000</v>
      </c>
      <c r="H14" s="6"/>
      <c r="J14" s="3" t="s">
        <v>179</v>
      </c>
      <c r="K14" s="5">
        <v>7</v>
      </c>
      <c r="L14" s="5">
        <v>9</v>
      </c>
      <c r="M14" s="5">
        <v>16</v>
      </c>
    </row>
    <row r="15" spans="1:13" x14ac:dyDescent="0.25">
      <c r="A15" s="3" t="s">
        <v>271</v>
      </c>
      <c r="B15" s="10">
        <v>0.24850000000000011</v>
      </c>
      <c r="C15"/>
      <c r="F15" s="3" t="s">
        <v>122</v>
      </c>
      <c r="G15" s="6">
        <v>1000000</v>
      </c>
      <c r="H15" s="6"/>
      <c r="J15" s="3" t="s">
        <v>177</v>
      </c>
      <c r="K15" s="5">
        <v>4</v>
      </c>
      <c r="L15" s="5">
        <v>11</v>
      </c>
      <c r="M15" s="5">
        <v>15</v>
      </c>
    </row>
    <row r="16" spans="1:13" x14ac:dyDescent="0.25">
      <c r="A16" s="3" t="s">
        <v>272</v>
      </c>
      <c r="B16" s="10">
        <v>0.18</v>
      </c>
      <c r="C16"/>
      <c r="F16" s="3" t="s">
        <v>97</v>
      </c>
      <c r="G16" s="6">
        <v>5000000</v>
      </c>
      <c r="H16" s="6"/>
      <c r="J16" s="3" t="s">
        <v>176</v>
      </c>
      <c r="K16" s="5">
        <v>3</v>
      </c>
      <c r="L16" s="5">
        <v>7</v>
      </c>
      <c r="M16" s="5">
        <v>10</v>
      </c>
    </row>
    <row r="17" spans="1:13" x14ac:dyDescent="0.25">
      <c r="A17" s="3" t="s">
        <v>265</v>
      </c>
      <c r="B17" s="10">
        <v>0.4285000000000001</v>
      </c>
      <c r="C17"/>
      <c r="F17" s="3" t="s">
        <v>126</v>
      </c>
      <c r="G17" s="6">
        <v>1000000</v>
      </c>
      <c r="H17" s="6">
        <v>824994</v>
      </c>
      <c r="J17" s="3" t="s">
        <v>178</v>
      </c>
      <c r="K17" s="5"/>
      <c r="L17" s="5">
        <v>17</v>
      </c>
      <c r="M17" s="5">
        <v>17</v>
      </c>
    </row>
    <row r="18" spans="1:13" x14ac:dyDescent="0.25">
      <c r="C18"/>
      <c r="F18" s="3" t="s">
        <v>130</v>
      </c>
      <c r="G18" s="6">
        <v>5000000</v>
      </c>
      <c r="H18" s="6">
        <v>5721392</v>
      </c>
      <c r="J18" s="3" t="s">
        <v>269</v>
      </c>
      <c r="K18" s="5"/>
      <c r="L18" s="5"/>
      <c r="M18" s="5"/>
    </row>
    <row r="19" spans="1:13" s="14" customFormat="1" ht="18.75" x14ac:dyDescent="0.3">
      <c r="A19" s="7" t="s">
        <v>278</v>
      </c>
      <c r="B19" s="16"/>
      <c r="C19" s="16"/>
      <c r="D19" s="33"/>
      <c r="F19" s="3" t="s">
        <v>133</v>
      </c>
      <c r="G19" s="6">
        <v>100000</v>
      </c>
      <c r="H19" s="6"/>
      <c r="J19"/>
      <c r="K19"/>
      <c r="L19"/>
      <c r="M19"/>
    </row>
    <row r="20" spans="1:13" x14ac:dyDescent="0.25">
      <c r="A20" s="4" t="s">
        <v>276</v>
      </c>
      <c r="B20" t="s">
        <v>277</v>
      </c>
      <c r="C20" t="s">
        <v>275</v>
      </c>
      <c r="F20" s="3" t="s">
        <v>137</v>
      </c>
      <c r="G20" s="6">
        <v>5000000</v>
      </c>
      <c r="H20" s="6"/>
    </row>
    <row r="21" spans="1:13" x14ac:dyDescent="0.25">
      <c r="A21" s="3" t="s">
        <v>258</v>
      </c>
      <c r="B21" s="11">
        <v>188</v>
      </c>
      <c r="C21" s="11">
        <v>80.80952380952381</v>
      </c>
      <c r="F21" s="3" t="s">
        <v>144</v>
      </c>
      <c r="G21" s="6">
        <v>1000000</v>
      </c>
      <c r="H21" s="6"/>
    </row>
    <row r="22" spans="1:13" x14ac:dyDescent="0.25">
      <c r="A22" s="3" t="s">
        <v>262</v>
      </c>
      <c r="B22" s="11">
        <v>67</v>
      </c>
      <c r="C22" s="11">
        <v>76.888888888888886</v>
      </c>
      <c r="F22" s="3" t="s">
        <v>147</v>
      </c>
      <c r="G22" s="6">
        <v>500000</v>
      </c>
      <c r="H22" s="6"/>
    </row>
    <row r="23" spans="1:13" x14ac:dyDescent="0.25">
      <c r="A23" s="3" t="s">
        <v>260</v>
      </c>
      <c r="B23" s="11">
        <v>143</v>
      </c>
      <c r="C23" s="11">
        <v>83.13333333333334</v>
      </c>
      <c r="F23" s="3" t="s">
        <v>148</v>
      </c>
      <c r="G23" s="6">
        <v>1000000</v>
      </c>
      <c r="H23" s="6"/>
    </row>
    <row r="24" spans="1:13" x14ac:dyDescent="0.25">
      <c r="A24" s="3" t="s">
        <v>259</v>
      </c>
      <c r="B24" s="11">
        <v>144</v>
      </c>
      <c r="C24" s="11">
        <v>85.466666666666669</v>
      </c>
      <c r="F24" s="3" t="s">
        <v>151</v>
      </c>
      <c r="G24" s="6">
        <v>100000</v>
      </c>
      <c r="H24" s="6"/>
    </row>
    <row r="25" spans="1:13" x14ac:dyDescent="0.25">
      <c r="A25" s="3" t="s">
        <v>261</v>
      </c>
      <c r="B25" s="11">
        <v>191</v>
      </c>
      <c r="C25" s="11">
        <v>79.2</v>
      </c>
      <c r="F25" s="3" t="s">
        <v>152</v>
      </c>
      <c r="G25" s="6">
        <v>500000</v>
      </c>
      <c r="H25" s="6"/>
    </row>
    <row r="26" spans="1:13" x14ac:dyDescent="0.25">
      <c r="A26" s="3" t="s">
        <v>269</v>
      </c>
      <c r="B26" s="11"/>
      <c r="C26" s="11"/>
      <c r="F26" s="3" t="s">
        <v>157</v>
      </c>
      <c r="G26" s="6">
        <v>500000</v>
      </c>
      <c r="H26" s="6"/>
    </row>
    <row r="27" spans="1:13" x14ac:dyDescent="0.25">
      <c r="A27" s="3" t="s">
        <v>265</v>
      </c>
      <c r="B27" s="11">
        <v>733</v>
      </c>
      <c r="C27" s="11">
        <v>81.275000000000006</v>
      </c>
      <c r="F27" s="3" t="s">
        <v>161</v>
      </c>
      <c r="G27" s="6">
        <v>100000</v>
      </c>
      <c r="H27" s="6"/>
    </row>
    <row r="28" spans="1:13" x14ac:dyDescent="0.25">
      <c r="A28" s="3"/>
      <c r="B28" s="11"/>
      <c r="C28" s="11"/>
      <c r="F28" s="3" t="s">
        <v>164</v>
      </c>
      <c r="G28" s="6">
        <v>500000</v>
      </c>
      <c r="H28" s="6"/>
    </row>
    <row r="29" spans="1:13" ht="18.75" x14ac:dyDescent="0.3">
      <c r="A29" s="19" t="s">
        <v>282</v>
      </c>
      <c r="B29" s="20"/>
      <c r="C29" s="22"/>
      <c r="D29" s="32"/>
      <c r="F29" s="3" t="s">
        <v>166</v>
      </c>
      <c r="G29" s="6">
        <v>500000</v>
      </c>
      <c r="H29" s="6">
        <v>484953</v>
      </c>
    </row>
    <row r="30" spans="1:13" x14ac:dyDescent="0.25">
      <c r="B30" s="21" t="s">
        <v>263</v>
      </c>
      <c r="C30" s="21" t="s">
        <v>281</v>
      </c>
      <c r="D30"/>
      <c r="F30" s="3" t="s">
        <v>168</v>
      </c>
      <c r="G30" s="6">
        <v>5000000</v>
      </c>
      <c r="H30" s="6"/>
    </row>
    <row r="31" spans="1:13" x14ac:dyDescent="0.25">
      <c r="B31" t="s">
        <v>272</v>
      </c>
      <c r="C31" t="s">
        <v>272</v>
      </c>
      <c r="D31" t="s">
        <v>271</v>
      </c>
      <c r="E31" t="s">
        <v>271</v>
      </c>
      <c r="F31" s="3" t="s">
        <v>172</v>
      </c>
      <c r="G31" s="6">
        <v>500000</v>
      </c>
      <c r="H31" s="6"/>
    </row>
    <row r="32" spans="1:13" x14ac:dyDescent="0.25">
      <c r="A32" s="18" t="s">
        <v>280</v>
      </c>
      <c r="B32" s="17" t="s">
        <v>284</v>
      </c>
      <c r="C32" s="17" t="s">
        <v>283</v>
      </c>
      <c r="D32" s="17" t="s">
        <v>284</v>
      </c>
      <c r="E32" s="17" t="s">
        <v>283</v>
      </c>
      <c r="F32" s="3" t="s">
        <v>174</v>
      </c>
      <c r="G32" s="6">
        <v>1000000</v>
      </c>
      <c r="H32" s="6"/>
    </row>
    <row r="33" spans="1:8" x14ac:dyDescent="0.25">
      <c r="A33" s="17" t="s">
        <v>95</v>
      </c>
      <c r="B33" s="17"/>
      <c r="C33" s="17"/>
      <c r="D33" s="17">
        <v>45100</v>
      </c>
      <c r="E33" s="17"/>
      <c r="F33" s="3" t="s">
        <v>103</v>
      </c>
      <c r="G33" s="6">
        <v>1000000</v>
      </c>
      <c r="H33" s="6">
        <v>740974</v>
      </c>
    </row>
    <row r="34" spans="1:8" x14ac:dyDescent="0.25">
      <c r="A34" s="17" t="s">
        <v>107</v>
      </c>
      <c r="B34" s="17"/>
      <c r="C34" s="17"/>
      <c r="D34" s="17">
        <v>45010</v>
      </c>
      <c r="E34" s="17"/>
      <c r="F34" s="3" t="s">
        <v>104</v>
      </c>
      <c r="G34" s="6">
        <v>500000</v>
      </c>
      <c r="H34" s="6"/>
    </row>
    <row r="35" spans="1:8" x14ac:dyDescent="0.25">
      <c r="A35" s="17" t="s">
        <v>121</v>
      </c>
      <c r="B35" s="17"/>
      <c r="C35" s="17"/>
      <c r="D35" s="17">
        <v>45153</v>
      </c>
      <c r="E35" s="17"/>
      <c r="F35" s="3" t="s">
        <v>108</v>
      </c>
      <c r="G35" s="6">
        <v>500000</v>
      </c>
      <c r="H35" s="6"/>
    </row>
    <row r="36" spans="1:8" x14ac:dyDescent="0.25">
      <c r="A36" s="17" t="s">
        <v>122</v>
      </c>
      <c r="B36" s="17"/>
      <c r="C36" s="17"/>
      <c r="D36" s="17">
        <v>45010</v>
      </c>
      <c r="E36" s="17"/>
      <c r="F36" s="3" t="s">
        <v>110</v>
      </c>
      <c r="G36" s="6">
        <v>1000000</v>
      </c>
      <c r="H36" s="6"/>
    </row>
    <row r="37" spans="1:8" x14ac:dyDescent="0.25">
      <c r="A37" s="17" t="s">
        <v>97</v>
      </c>
      <c r="B37" s="17"/>
      <c r="C37" s="17"/>
      <c r="D37" s="17">
        <v>45238</v>
      </c>
      <c r="E37" s="17"/>
      <c r="F37" s="3" t="s">
        <v>113</v>
      </c>
      <c r="G37" s="6">
        <v>100000</v>
      </c>
      <c r="H37" s="6"/>
    </row>
    <row r="38" spans="1:8" x14ac:dyDescent="0.25">
      <c r="A38" s="17" t="s">
        <v>126</v>
      </c>
      <c r="B38" s="17">
        <v>45237</v>
      </c>
      <c r="C38" s="17">
        <v>45248</v>
      </c>
      <c r="D38" s="17"/>
      <c r="E38" s="17"/>
      <c r="F38" s="3" t="s">
        <v>115</v>
      </c>
      <c r="G38" s="6">
        <v>100000</v>
      </c>
      <c r="H38" s="6">
        <v>50329</v>
      </c>
    </row>
    <row r="39" spans="1:8" x14ac:dyDescent="0.25">
      <c r="A39" s="17" t="s">
        <v>130</v>
      </c>
      <c r="B39" s="17">
        <v>45366</v>
      </c>
      <c r="C39" s="17">
        <v>45410</v>
      </c>
      <c r="D39" s="17"/>
      <c r="E39" s="17"/>
      <c r="F39" s="3" t="s">
        <v>116</v>
      </c>
      <c r="G39" s="6">
        <v>5000000</v>
      </c>
      <c r="H39" s="6"/>
    </row>
    <row r="40" spans="1:8" x14ac:dyDescent="0.25">
      <c r="A40" s="17" t="s">
        <v>133</v>
      </c>
      <c r="B40" s="17"/>
      <c r="C40" s="17"/>
      <c r="D40" s="17">
        <v>45326</v>
      </c>
      <c r="E40" s="17"/>
      <c r="F40" s="3" t="s">
        <v>125</v>
      </c>
      <c r="G40" s="6">
        <v>100000</v>
      </c>
      <c r="H40" s="6">
        <v>113481</v>
      </c>
    </row>
    <row r="41" spans="1:8" x14ac:dyDescent="0.25">
      <c r="A41" s="17" t="s">
        <v>137</v>
      </c>
      <c r="B41" s="17"/>
      <c r="C41" s="17"/>
      <c r="D41" s="17">
        <v>45224</v>
      </c>
      <c r="E41" s="17"/>
      <c r="F41" s="3" t="s">
        <v>132</v>
      </c>
      <c r="G41" s="6">
        <v>500000</v>
      </c>
      <c r="H41" s="6"/>
    </row>
    <row r="42" spans="1:8" x14ac:dyDescent="0.25">
      <c r="A42" s="17" t="s">
        <v>144</v>
      </c>
      <c r="B42" s="17"/>
      <c r="C42" s="17"/>
      <c r="D42" s="17">
        <v>45350</v>
      </c>
      <c r="E42" s="17"/>
      <c r="F42" s="3" t="s">
        <v>138</v>
      </c>
      <c r="G42" s="6">
        <v>100000</v>
      </c>
      <c r="H42" s="6">
        <v>112781</v>
      </c>
    </row>
    <row r="43" spans="1:8" x14ac:dyDescent="0.25">
      <c r="A43" s="17" t="s">
        <v>147</v>
      </c>
      <c r="B43" s="17"/>
      <c r="C43" s="17"/>
      <c r="D43" s="17">
        <v>45152</v>
      </c>
      <c r="E43" s="17"/>
      <c r="F43" s="3" t="s">
        <v>143</v>
      </c>
      <c r="G43" s="6">
        <v>1000000</v>
      </c>
      <c r="H43" s="6">
        <v>998312</v>
      </c>
    </row>
    <row r="44" spans="1:8" x14ac:dyDescent="0.25">
      <c r="A44" s="17" t="s">
        <v>148</v>
      </c>
      <c r="B44" s="17"/>
      <c r="C44" s="17"/>
      <c r="D44" s="17">
        <v>45261</v>
      </c>
      <c r="E44" s="17"/>
      <c r="F44" s="3" t="s">
        <v>150</v>
      </c>
      <c r="G44" s="6">
        <v>1000000</v>
      </c>
      <c r="H44" s="6">
        <v>591046</v>
      </c>
    </row>
    <row r="45" spans="1:8" x14ac:dyDescent="0.25">
      <c r="A45" s="17" t="s">
        <v>151</v>
      </c>
      <c r="B45" s="17"/>
      <c r="C45" s="17"/>
      <c r="D45" s="17">
        <v>45234</v>
      </c>
      <c r="E45" s="17"/>
      <c r="F45" s="3" t="s">
        <v>155</v>
      </c>
      <c r="G45" s="6">
        <v>5000000</v>
      </c>
      <c r="H45" s="6">
        <v>3398066</v>
      </c>
    </row>
    <row r="46" spans="1:8" x14ac:dyDescent="0.25">
      <c r="A46" s="17" t="s">
        <v>152</v>
      </c>
      <c r="B46" s="17"/>
      <c r="C46" s="17"/>
      <c r="D46" s="17">
        <v>45329</v>
      </c>
      <c r="E46" s="17"/>
      <c r="F46" s="3" t="s">
        <v>156</v>
      </c>
      <c r="G46" s="6">
        <v>1000000</v>
      </c>
      <c r="H46" s="6"/>
    </row>
    <row r="47" spans="1:8" x14ac:dyDescent="0.25">
      <c r="A47" s="17" t="s">
        <v>157</v>
      </c>
      <c r="B47" s="17"/>
      <c r="C47" s="17"/>
      <c r="D47" s="17">
        <v>45368</v>
      </c>
      <c r="E47" s="17"/>
      <c r="F47" s="3" t="s">
        <v>159</v>
      </c>
      <c r="G47" s="6">
        <v>1000000</v>
      </c>
      <c r="H47" s="6"/>
    </row>
    <row r="48" spans="1:8" x14ac:dyDescent="0.25">
      <c r="A48" s="17" t="s">
        <v>161</v>
      </c>
      <c r="B48" s="17"/>
      <c r="C48" s="17"/>
      <c r="D48" s="17">
        <v>45241</v>
      </c>
      <c r="E48" s="17"/>
      <c r="F48" s="3" t="s">
        <v>162</v>
      </c>
      <c r="G48" s="6">
        <v>1000000</v>
      </c>
      <c r="H48" s="6">
        <v>1172093</v>
      </c>
    </row>
    <row r="49" spans="1:8" x14ac:dyDescent="0.25">
      <c r="A49" s="17" t="s">
        <v>164</v>
      </c>
      <c r="B49" s="17"/>
      <c r="C49" s="17"/>
      <c r="D49" s="17">
        <v>45152</v>
      </c>
      <c r="E49" s="17"/>
      <c r="F49" s="3" t="s">
        <v>169</v>
      </c>
      <c r="G49" s="6">
        <v>100000</v>
      </c>
      <c r="H49" s="6"/>
    </row>
    <row r="50" spans="1:8" x14ac:dyDescent="0.25">
      <c r="A50" s="17" t="s">
        <v>166</v>
      </c>
      <c r="B50" s="17">
        <v>45317</v>
      </c>
      <c r="C50" s="17">
        <v>45315</v>
      </c>
      <c r="D50" s="17"/>
      <c r="E50" s="17"/>
      <c r="F50" s="3" t="s">
        <v>114</v>
      </c>
      <c r="G50" s="6">
        <v>500000</v>
      </c>
      <c r="H50" s="6"/>
    </row>
    <row r="51" spans="1:8" x14ac:dyDescent="0.25">
      <c r="A51" s="17" t="s">
        <v>168</v>
      </c>
      <c r="B51" s="17"/>
      <c r="C51" s="17"/>
      <c r="D51" s="17">
        <v>45219</v>
      </c>
      <c r="E51" s="17"/>
      <c r="F51" s="3" t="s">
        <v>117</v>
      </c>
      <c r="G51" s="6">
        <v>500000</v>
      </c>
      <c r="H51" s="6">
        <v>256270</v>
      </c>
    </row>
    <row r="52" spans="1:8" x14ac:dyDescent="0.25">
      <c r="A52" s="17" t="s">
        <v>172</v>
      </c>
      <c r="B52" s="17"/>
      <c r="C52" s="17"/>
      <c r="D52" s="17">
        <v>45244</v>
      </c>
      <c r="E52" s="17"/>
      <c r="F52" s="3" t="s">
        <v>120</v>
      </c>
      <c r="G52" s="6">
        <v>100000</v>
      </c>
      <c r="H52" s="6"/>
    </row>
    <row r="53" spans="1:8" x14ac:dyDescent="0.25">
      <c r="A53" s="17" t="s">
        <v>174</v>
      </c>
      <c r="B53" s="17"/>
      <c r="C53" s="17"/>
      <c r="D53" s="17">
        <v>45192</v>
      </c>
      <c r="E53" s="17"/>
      <c r="F53" s="3" t="s">
        <v>123</v>
      </c>
      <c r="G53" s="6">
        <v>500000</v>
      </c>
      <c r="H53" s="6"/>
    </row>
    <row r="54" spans="1:8" x14ac:dyDescent="0.25">
      <c r="A54" s="17" t="s">
        <v>103</v>
      </c>
      <c r="B54" s="17">
        <v>45175</v>
      </c>
      <c r="C54" s="17">
        <v>45177</v>
      </c>
      <c r="D54" s="17"/>
      <c r="E54" s="17"/>
      <c r="F54" s="3" t="s">
        <v>124</v>
      </c>
      <c r="G54" s="6">
        <v>500000</v>
      </c>
      <c r="H54" s="6"/>
    </row>
    <row r="55" spans="1:8" x14ac:dyDescent="0.25">
      <c r="A55" s="17" t="s">
        <v>104</v>
      </c>
      <c r="B55" s="17"/>
      <c r="C55" s="17"/>
      <c r="D55" s="17">
        <v>45166</v>
      </c>
      <c r="E55" s="17"/>
      <c r="F55" s="3" t="s">
        <v>129</v>
      </c>
      <c r="G55" s="6">
        <v>500000</v>
      </c>
      <c r="H55" s="6">
        <v>286299</v>
      </c>
    </row>
    <row r="56" spans="1:8" x14ac:dyDescent="0.25">
      <c r="A56" s="17" t="s">
        <v>108</v>
      </c>
      <c r="B56" s="17"/>
      <c r="C56" s="17"/>
      <c r="D56" s="17">
        <v>45199</v>
      </c>
      <c r="E56" s="17"/>
      <c r="F56" s="3" t="s">
        <v>134</v>
      </c>
      <c r="G56" s="6">
        <v>5000000</v>
      </c>
      <c r="H56" s="6"/>
    </row>
    <row r="57" spans="1:8" x14ac:dyDescent="0.25">
      <c r="A57" s="17" t="s">
        <v>110</v>
      </c>
      <c r="B57" s="17"/>
      <c r="C57" s="17"/>
      <c r="D57" s="17">
        <v>45164</v>
      </c>
      <c r="E57" s="17"/>
      <c r="F57" s="3" t="s">
        <v>136</v>
      </c>
      <c r="G57" s="6">
        <v>1000000</v>
      </c>
      <c r="H57" s="6"/>
    </row>
    <row r="58" spans="1:8" x14ac:dyDescent="0.25">
      <c r="A58" s="17" t="s">
        <v>113</v>
      </c>
      <c r="B58" s="17"/>
      <c r="C58" s="17"/>
      <c r="D58" s="17">
        <v>45225</v>
      </c>
      <c r="E58" s="17"/>
      <c r="F58" s="3" t="s">
        <v>139</v>
      </c>
      <c r="G58" s="6">
        <v>5000000</v>
      </c>
      <c r="H58" s="6"/>
    </row>
    <row r="59" spans="1:8" x14ac:dyDescent="0.25">
      <c r="A59" s="17" t="s">
        <v>115</v>
      </c>
      <c r="B59" s="17">
        <v>45164</v>
      </c>
      <c r="C59" s="17">
        <v>45200</v>
      </c>
      <c r="D59" s="17"/>
      <c r="E59" s="17"/>
      <c r="F59" s="3" t="s">
        <v>141</v>
      </c>
      <c r="G59" s="6">
        <v>500000</v>
      </c>
      <c r="H59" s="6"/>
    </row>
    <row r="60" spans="1:8" x14ac:dyDescent="0.25">
      <c r="A60" s="17" t="s">
        <v>116</v>
      </c>
      <c r="B60" s="17"/>
      <c r="C60" s="17"/>
      <c r="D60" s="17">
        <v>45163</v>
      </c>
      <c r="E60" s="17"/>
      <c r="F60" s="3" t="s">
        <v>99</v>
      </c>
      <c r="G60" s="6">
        <v>500000</v>
      </c>
      <c r="H60" s="6"/>
    </row>
    <row r="61" spans="1:8" x14ac:dyDescent="0.25">
      <c r="A61" s="17" t="s">
        <v>125</v>
      </c>
      <c r="B61" s="17">
        <v>45117</v>
      </c>
      <c r="C61" s="17">
        <v>45115</v>
      </c>
      <c r="D61" s="17"/>
      <c r="E61" s="17"/>
      <c r="F61" s="3" t="s">
        <v>158</v>
      </c>
      <c r="G61" s="6">
        <v>5000000</v>
      </c>
      <c r="H61" s="6"/>
    </row>
    <row r="62" spans="1:8" x14ac:dyDescent="0.25">
      <c r="A62" s="17" t="s">
        <v>132</v>
      </c>
      <c r="B62" s="17"/>
      <c r="C62" s="17"/>
      <c r="D62" s="17">
        <v>45358</v>
      </c>
      <c r="E62" s="17"/>
      <c r="F62" s="3" t="s">
        <v>160</v>
      </c>
      <c r="G62" s="6">
        <v>100000</v>
      </c>
      <c r="H62" s="6">
        <v>102917</v>
      </c>
    </row>
    <row r="63" spans="1:8" x14ac:dyDescent="0.25">
      <c r="A63" s="17" t="s">
        <v>138</v>
      </c>
      <c r="B63" s="17">
        <v>45350</v>
      </c>
      <c r="C63" s="17">
        <v>45350</v>
      </c>
      <c r="D63" s="17"/>
      <c r="E63" s="17"/>
      <c r="F63" s="3" t="s">
        <v>101</v>
      </c>
      <c r="G63" s="6">
        <v>100000</v>
      </c>
      <c r="H63" s="6">
        <v>62161</v>
      </c>
    </row>
    <row r="64" spans="1:8" x14ac:dyDescent="0.25">
      <c r="A64" s="17" t="s">
        <v>143</v>
      </c>
      <c r="B64" s="17">
        <v>45222</v>
      </c>
      <c r="C64" s="17">
        <v>45226</v>
      </c>
      <c r="D64" s="17"/>
      <c r="E64" s="17"/>
      <c r="F64" s="3" t="s">
        <v>173</v>
      </c>
      <c r="G64" s="6">
        <v>500000</v>
      </c>
      <c r="H64" s="6"/>
    </row>
    <row r="65" spans="1:8" x14ac:dyDescent="0.25">
      <c r="A65" s="17" t="s">
        <v>150</v>
      </c>
      <c r="B65" s="17">
        <v>45096</v>
      </c>
      <c r="C65" s="17">
        <v>45108</v>
      </c>
      <c r="D65" s="17"/>
      <c r="E65" s="17"/>
      <c r="F65" s="3" t="s">
        <v>112</v>
      </c>
      <c r="G65" s="6">
        <v>5000000</v>
      </c>
      <c r="H65" s="6">
        <v>5258316</v>
      </c>
    </row>
    <row r="66" spans="1:8" x14ac:dyDescent="0.25">
      <c r="A66" s="17" t="s">
        <v>155</v>
      </c>
      <c r="B66" s="17">
        <v>45337</v>
      </c>
      <c r="C66" s="17">
        <v>45385</v>
      </c>
      <c r="D66" s="17"/>
      <c r="E66" s="17"/>
      <c r="F66" s="3" t="s">
        <v>96</v>
      </c>
      <c r="G66" s="6">
        <v>100000</v>
      </c>
      <c r="H66" s="6"/>
    </row>
    <row r="67" spans="1:8" x14ac:dyDescent="0.25">
      <c r="A67" s="17" t="s">
        <v>156</v>
      </c>
      <c r="B67" s="17"/>
      <c r="C67" s="17"/>
      <c r="D67" s="17">
        <v>45331</v>
      </c>
      <c r="E67" s="17"/>
      <c r="F67" s="3" t="s">
        <v>118</v>
      </c>
      <c r="G67" s="6">
        <v>500000</v>
      </c>
      <c r="H67" s="6"/>
    </row>
    <row r="68" spans="1:8" x14ac:dyDescent="0.25">
      <c r="A68" s="17" t="s">
        <v>159</v>
      </c>
      <c r="B68" s="17"/>
      <c r="C68" s="17"/>
      <c r="D68" s="17">
        <v>45029</v>
      </c>
      <c r="E68" s="17"/>
      <c r="F68" s="3" t="s">
        <v>119</v>
      </c>
      <c r="G68" s="6">
        <v>1000000</v>
      </c>
      <c r="H68" s="6"/>
    </row>
    <row r="69" spans="1:8" x14ac:dyDescent="0.25">
      <c r="A69" s="17" t="s">
        <v>162</v>
      </c>
      <c r="B69" s="17">
        <v>45302</v>
      </c>
      <c r="C69" s="17">
        <v>45305</v>
      </c>
      <c r="D69" s="17"/>
      <c r="E69" s="17"/>
      <c r="F69" s="3" t="s">
        <v>127</v>
      </c>
      <c r="G69" s="6">
        <v>100000</v>
      </c>
      <c r="H69" s="6"/>
    </row>
    <row r="70" spans="1:8" x14ac:dyDescent="0.25">
      <c r="A70" s="17" t="s">
        <v>169</v>
      </c>
      <c r="B70" s="17"/>
      <c r="C70" s="17"/>
      <c r="D70" s="17">
        <v>45320</v>
      </c>
      <c r="E70" s="17"/>
      <c r="F70" s="3" t="s">
        <v>131</v>
      </c>
      <c r="G70" s="6">
        <v>500000</v>
      </c>
      <c r="H70" s="6">
        <v>592263</v>
      </c>
    </row>
    <row r="71" spans="1:8" x14ac:dyDescent="0.25">
      <c r="A71" s="17" t="s">
        <v>114</v>
      </c>
      <c r="B71" s="17"/>
      <c r="C71" s="17"/>
      <c r="D71" s="17">
        <v>45304</v>
      </c>
      <c r="E71" s="17"/>
      <c r="F71" s="3" t="s">
        <v>98</v>
      </c>
      <c r="G71" s="6">
        <v>100000</v>
      </c>
      <c r="H71" s="6"/>
    </row>
    <row r="72" spans="1:8" x14ac:dyDescent="0.25">
      <c r="A72" s="17" t="s">
        <v>117</v>
      </c>
      <c r="B72" s="17">
        <v>44968</v>
      </c>
      <c r="C72" s="17">
        <v>44968</v>
      </c>
      <c r="D72" s="17"/>
      <c r="E72" s="17"/>
      <c r="F72" s="3" t="s">
        <v>145</v>
      </c>
      <c r="G72" s="6">
        <v>100000</v>
      </c>
      <c r="H72" s="6"/>
    </row>
    <row r="73" spans="1:8" x14ac:dyDescent="0.25">
      <c r="A73" s="17" t="s">
        <v>120</v>
      </c>
      <c r="B73" s="17"/>
      <c r="C73" s="17"/>
      <c r="D73" s="17">
        <v>45167</v>
      </c>
      <c r="E73" s="17"/>
      <c r="F73" s="3" t="s">
        <v>146</v>
      </c>
      <c r="G73" s="6">
        <v>1000000</v>
      </c>
      <c r="H73" s="6">
        <v>642800</v>
      </c>
    </row>
    <row r="74" spans="1:8" x14ac:dyDescent="0.25">
      <c r="A74" s="17" t="s">
        <v>123</v>
      </c>
      <c r="B74" s="17"/>
      <c r="C74" s="17"/>
      <c r="D74" s="17">
        <v>45218</v>
      </c>
      <c r="E74" s="17"/>
      <c r="F74" s="3" t="s">
        <v>171</v>
      </c>
      <c r="G74" s="6">
        <v>1000000</v>
      </c>
      <c r="H74" s="6"/>
    </row>
    <row r="75" spans="1:8" x14ac:dyDescent="0.25">
      <c r="A75" s="17" t="s">
        <v>124</v>
      </c>
      <c r="B75" s="17"/>
      <c r="C75" s="17"/>
      <c r="D75" s="17">
        <v>45042</v>
      </c>
      <c r="E75" s="17"/>
      <c r="F75" s="3" t="s">
        <v>105</v>
      </c>
      <c r="G75" s="6">
        <v>100000</v>
      </c>
      <c r="H75" s="6"/>
    </row>
    <row r="76" spans="1:8" x14ac:dyDescent="0.25">
      <c r="A76" s="17" t="s">
        <v>129</v>
      </c>
      <c r="B76" s="17">
        <v>45276</v>
      </c>
      <c r="C76" s="17">
        <v>45322</v>
      </c>
      <c r="D76" s="17"/>
      <c r="E76" s="17"/>
      <c r="F76" s="3" t="s">
        <v>106</v>
      </c>
      <c r="G76" s="6">
        <v>1000000</v>
      </c>
      <c r="H76" s="6"/>
    </row>
    <row r="77" spans="1:8" x14ac:dyDescent="0.25">
      <c r="A77" s="17" t="s">
        <v>134</v>
      </c>
      <c r="B77" s="17"/>
      <c r="C77" s="17"/>
      <c r="D77" s="17">
        <v>45111</v>
      </c>
      <c r="E77" s="17"/>
      <c r="F77" s="3" t="s">
        <v>109</v>
      </c>
      <c r="G77" s="6">
        <v>5000000</v>
      </c>
      <c r="H77" s="6"/>
    </row>
    <row r="78" spans="1:8" x14ac:dyDescent="0.25">
      <c r="A78" s="17" t="s">
        <v>136</v>
      </c>
      <c r="B78" s="17"/>
      <c r="C78" s="17"/>
      <c r="D78" s="17">
        <v>45177</v>
      </c>
      <c r="E78" s="17"/>
      <c r="F78" s="3" t="s">
        <v>111</v>
      </c>
      <c r="G78" s="6">
        <v>1000000</v>
      </c>
      <c r="H78" s="6"/>
    </row>
    <row r="79" spans="1:8" x14ac:dyDescent="0.25">
      <c r="A79" s="17" t="s">
        <v>139</v>
      </c>
      <c r="B79" s="17"/>
      <c r="C79" s="17"/>
      <c r="D79" s="17">
        <v>45137</v>
      </c>
      <c r="E79" s="17"/>
      <c r="F79" s="3" t="s">
        <v>128</v>
      </c>
      <c r="G79" s="6">
        <v>100000</v>
      </c>
      <c r="H79" s="6"/>
    </row>
    <row r="80" spans="1:8" x14ac:dyDescent="0.25">
      <c r="A80" s="17" t="s">
        <v>141</v>
      </c>
      <c r="B80" s="17"/>
      <c r="C80" s="17"/>
      <c r="D80" s="17">
        <v>45327</v>
      </c>
      <c r="E80" s="17"/>
      <c r="F80" s="3" t="s">
        <v>135</v>
      </c>
      <c r="G80" s="6">
        <v>100000</v>
      </c>
      <c r="H80" s="6"/>
    </row>
    <row r="81" spans="1:8" x14ac:dyDescent="0.25">
      <c r="A81" s="17" t="s">
        <v>99</v>
      </c>
      <c r="B81" s="17"/>
      <c r="C81" s="17"/>
      <c r="D81" s="17">
        <v>45206</v>
      </c>
      <c r="E81" s="17"/>
      <c r="F81" s="3" t="s">
        <v>140</v>
      </c>
      <c r="G81" s="6">
        <v>500000</v>
      </c>
      <c r="H81" s="6"/>
    </row>
    <row r="82" spans="1:8" x14ac:dyDescent="0.25">
      <c r="A82" s="17" t="s">
        <v>158</v>
      </c>
      <c r="B82" s="17"/>
      <c r="C82" s="17"/>
      <c r="D82" s="17">
        <v>45427</v>
      </c>
      <c r="E82" s="17"/>
      <c r="F82" s="3" t="s">
        <v>142</v>
      </c>
      <c r="G82" s="6">
        <v>500000</v>
      </c>
      <c r="H82" s="6"/>
    </row>
    <row r="83" spans="1:8" x14ac:dyDescent="0.25">
      <c r="A83" s="17" t="s">
        <v>160</v>
      </c>
      <c r="B83" s="17">
        <v>45258</v>
      </c>
      <c r="C83" s="17">
        <v>45263</v>
      </c>
      <c r="D83" s="17"/>
      <c r="E83" s="17"/>
      <c r="F83" s="3" t="s">
        <v>149</v>
      </c>
      <c r="G83" s="6">
        <v>500000</v>
      </c>
      <c r="H83" s="6"/>
    </row>
    <row r="84" spans="1:8" x14ac:dyDescent="0.25">
      <c r="A84" s="17" t="s">
        <v>101</v>
      </c>
      <c r="B84" s="17">
        <v>45260</v>
      </c>
      <c r="C84" s="17">
        <v>45263</v>
      </c>
      <c r="D84" s="17"/>
      <c r="E84" s="17"/>
      <c r="F84" s="3" t="s">
        <v>153</v>
      </c>
      <c r="G84" s="6">
        <v>500000</v>
      </c>
      <c r="H84" s="6"/>
    </row>
    <row r="85" spans="1:8" x14ac:dyDescent="0.25">
      <c r="A85" s="17" t="s">
        <v>173</v>
      </c>
      <c r="B85" s="17"/>
      <c r="C85" s="17"/>
      <c r="D85" s="17">
        <v>45271</v>
      </c>
      <c r="E85" s="17"/>
      <c r="F85" s="3" t="s">
        <v>100</v>
      </c>
      <c r="G85" s="6">
        <v>500000</v>
      </c>
      <c r="H85" s="6"/>
    </row>
    <row r="86" spans="1:8" x14ac:dyDescent="0.25">
      <c r="A86" s="17" t="s">
        <v>112</v>
      </c>
      <c r="B86" s="17">
        <v>45289</v>
      </c>
      <c r="C86" s="17">
        <v>45315</v>
      </c>
      <c r="D86" s="17"/>
      <c r="E86" s="17"/>
      <c r="F86" s="3" t="s">
        <v>154</v>
      </c>
      <c r="G86" s="6">
        <v>100000</v>
      </c>
      <c r="H86" s="6"/>
    </row>
    <row r="87" spans="1:8" x14ac:dyDescent="0.25">
      <c r="A87" s="17" t="s">
        <v>96</v>
      </c>
      <c r="B87" s="17"/>
      <c r="C87" s="17"/>
      <c r="D87" s="17">
        <v>45207</v>
      </c>
      <c r="E87" s="17"/>
      <c r="F87" s="3" t="s">
        <v>163</v>
      </c>
      <c r="G87" s="6">
        <v>5000000</v>
      </c>
      <c r="H87" s="6"/>
    </row>
    <row r="88" spans="1:8" x14ac:dyDescent="0.25">
      <c r="A88" s="17" t="s">
        <v>118</v>
      </c>
      <c r="B88" s="17"/>
      <c r="C88" s="17"/>
      <c r="D88" s="17">
        <v>45149</v>
      </c>
      <c r="E88" s="17"/>
      <c r="F88" s="3" t="s">
        <v>165</v>
      </c>
      <c r="G88" s="6">
        <v>100000</v>
      </c>
      <c r="H88" s="6"/>
    </row>
    <row r="89" spans="1:8" x14ac:dyDescent="0.25">
      <c r="A89" s="17" t="s">
        <v>119</v>
      </c>
      <c r="B89" s="17"/>
      <c r="C89" s="17"/>
      <c r="D89" s="17">
        <v>45323</v>
      </c>
      <c r="E89" s="17"/>
      <c r="F89" s="3" t="s">
        <v>167</v>
      </c>
      <c r="G89" s="6">
        <v>1000000</v>
      </c>
      <c r="H89" s="6"/>
    </row>
    <row r="90" spans="1:8" x14ac:dyDescent="0.25">
      <c r="A90" s="17" t="s">
        <v>127</v>
      </c>
      <c r="B90" s="17"/>
      <c r="C90" s="17"/>
      <c r="D90" s="17">
        <v>45221</v>
      </c>
      <c r="E90" s="17"/>
      <c r="F90" s="3" t="s">
        <v>170</v>
      </c>
      <c r="G90" s="6">
        <v>100000</v>
      </c>
      <c r="H90" s="6"/>
    </row>
    <row r="91" spans="1:8" x14ac:dyDescent="0.25">
      <c r="A91" s="17" t="s">
        <v>131</v>
      </c>
      <c r="B91" s="17">
        <v>45055</v>
      </c>
      <c r="C91" s="17">
        <v>45050</v>
      </c>
      <c r="D91" s="17"/>
      <c r="E91" s="17"/>
      <c r="F91" s="3" t="s">
        <v>102</v>
      </c>
      <c r="G91" s="6">
        <v>5000000</v>
      </c>
      <c r="H91" s="6"/>
    </row>
    <row r="92" spans="1:8" x14ac:dyDescent="0.25">
      <c r="A92" s="17" t="s">
        <v>98</v>
      </c>
      <c r="B92" s="17"/>
      <c r="C92" s="17"/>
      <c r="D92" s="17">
        <v>45132</v>
      </c>
      <c r="E92" s="17"/>
      <c r="F92" s="3" t="s">
        <v>269</v>
      </c>
      <c r="G92" s="6"/>
      <c r="H92" s="6"/>
    </row>
    <row r="93" spans="1:8" x14ac:dyDescent="0.25">
      <c r="A93" s="17" t="s">
        <v>145</v>
      </c>
      <c r="B93" s="17"/>
      <c r="C93" s="17"/>
      <c r="D93" s="17">
        <v>45355</v>
      </c>
      <c r="E93" s="17"/>
      <c r="F93" s="3" t="s">
        <v>265</v>
      </c>
      <c r="G93" s="6">
        <v>104200000</v>
      </c>
      <c r="H93" s="6">
        <v>21409447</v>
      </c>
    </row>
    <row r="94" spans="1:8" x14ac:dyDescent="0.25">
      <c r="A94" s="17" t="s">
        <v>146</v>
      </c>
      <c r="B94" s="17">
        <v>45314</v>
      </c>
      <c r="C94" s="17">
        <v>45311</v>
      </c>
      <c r="D94" s="17"/>
      <c r="E94" s="17"/>
    </row>
    <row r="95" spans="1:8" x14ac:dyDescent="0.25">
      <c r="A95" s="17" t="s">
        <v>171</v>
      </c>
      <c r="B95" s="17"/>
      <c r="C95" s="17"/>
      <c r="D95" s="17">
        <v>45356</v>
      </c>
      <c r="E95" s="17"/>
    </row>
    <row r="96" spans="1:8" x14ac:dyDescent="0.25">
      <c r="A96" s="17" t="s">
        <v>105</v>
      </c>
      <c r="B96" s="17"/>
      <c r="C96" s="17"/>
      <c r="D96" s="17">
        <v>45224</v>
      </c>
      <c r="E96" s="17"/>
    </row>
    <row r="97" spans="1:5" x14ac:dyDescent="0.25">
      <c r="A97" s="17" t="s">
        <v>106</v>
      </c>
      <c r="B97" s="17"/>
      <c r="C97" s="17"/>
      <c r="D97" s="17">
        <v>45269</v>
      </c>
      <c r="E97" s="17"/>
    </row>
    <row r="98" spans="1:5" x14ac:dyDescent="0.25">
      <c r="A98" s="17" t="s">
        <v>109</v>
      </c>
      <c r="B98" s="17"/>
      <c r="C98" s="17"/>
      <c r="D98" s="17">
        <v>45367</v>
      </c>
      <c r="E98" s="17"/>
    </row>
    <row r="99" spans="1:5" x14ac:dyDescent="0.25">
      <c r="A99" s="17" t="s">
        <v>111</v>
      </c>
      <c r="B99" s="17"/>
      <c r="C99" s="17"/>
      <c r="D99" s="17">
        <v>45292</v>
      </c>
      <c r="E99" s="17"/>
    </row>
    <row r="100" spans="1:5" x14ac:dyDescent="0.25">
      <c r="A100" s="17" t="s">
        <v>128</v>
      </c>
      <c r="B100" s="17"/>
      <c r="C100" s="17"/>
      <c r="D100" s="17">
        <v>45249</v>
      </c>
      <c r="E100" s="17"/>
    </row>
    <row r="101" spans="1:5" x14ac:dyDescent="0.25">
      <c r="A101" s="17" t="s">
        <v>135</v>
      </c>
      <c r="B101" s="17"/>
      <c r="C101" s="17"/>
      <c r="D101" s="17">
        <v>45364</v>
      </c>
      <c r="E101" s="17"/>
    </row>
    <row r="102" spans="1:5" x14ac:dyDescent="0.25">
      <c r="A102" s="17" t="s">
        <v>140</v>
      </c>
      <c r="B102" s="17"/>
      <c r="C102" s="17"/>
      <c r="D102" s="17">
        <v>45130</v>
      </c>
      <c r="E102" s="17"/>
    </row>
    <row r="103" spans="1:5" x14ac:dyDescent="0.25">
      <c r="A103" s="17" t="s">
        <v>142</v>
      </c>
      <c r="B103" s="17"/>
      <c r="C103" s="17"/>
      <c r="D103" s="17">
        <v>45349</v>
      </c>
      <c r="E103" s="17"/>
    </row>
    <row r="104" spans="1:5" x14ac:dyDescent="0.25">
      <c r="A104" s="17" t="s">
        <v>149</v>
      </c>
      <c r="B104" s="17"/>
      <c r="C104" s="17"/>
      <c r="D104" s="17">
        <v>45375</v>
      </c>
      <c r="E104" s="17"/>
    </row>
    <row r="105" spans="1:5" x14ac:dyDescent="0.25">
      <c r="A105" s="17" t="s">
        <v>153</v>
      </c>
      <c r="B105" s="17"/>
      <c r="C105" s="17"/>
      <c r="D105" s="17">
        <v>45144</v>
      </c>
      <c r="E105" s="17"/>
    </row>
    <row r="106" spans="1:5" x14ac:dyDescent="0.25">
      <c r="A106" s="17" t="s">
        <v>100</v>
      </c>
      <c r="B106" s="17"/>
      <c r="C106" s="17"/>
      <c r="D106" s="17">
        <v>45200</v>
      </c>
      <c r="E106" s="17"/>
    </row>
    <row r="107" spans="1:5" x14ac:dyDescent="0.25">
      <c r="A107" s="17" t="s">
        <v>154</v>
      </c>
      <c r="B107" s="17"/>
      <c r="C107" s="17"/>
      <c r="D107" s="17">
        <v>45162</v>
      </c>
      <c r="E107" s="17"/>
    </row>
    <row r="108" spans="1:5" x14ac:dyDescent="0.25">
      <c r="A108" s="17" t="s">
        <v>163</v>
      </c>
      <c r="B108" s="17"/>
      <c r="C108" s="17"/>
      <c r="D108" s="17">
        <v>45382</v>
      </c>
      <c r="E108" s="17"/>
    </row>
    <row r="109" spans="1:5" x14ac:dyDescent="0.25">
      <c r="A109" s="17" t="s">
        <v>165</v>
      </c>
      <c r="B109" s="17"/>
      <c r="C109" s="17"/>
      <c r="D109" s="17">
        <v>45135</v>
      </c>
      <c r="E109" s="17"/>
    </row>
    <row r="110" spans="1:5" x14ac:dyDescent="0.25">
      <c r="A110" s="17" t="s">
        <v>167</v>
      </c>
      <c r="B110" s="17"/>
      <c r="C110" s="17"/>
      <c r="D110" s="17">
        <v>45041</v>
      </c>
      <c r="E110" s="17"/>
    </row>
    <row r="111" spans="1:5" x14ac:dyDescent="0.25">
      <c r="A111" s="17" t="s">
        <v>170</v>
      </c>
      <c r="B111" s="17"/>
      <c r="C111" s="17"/>
      <c r="D111" s="17">
        <v>45165</v>
      </c>
      <c r="E111" s="17"/>
    </row>
    <row r="112" spans="1:5" x14ac:dyDescent="0.25">
      <c r="A112" s="17" t="s">
        <v>102</v>
      </c>
      <c r="B112" s="17"/>
      <c r="C112" s="17"/>
      <c r="D112" s="17">
        <v>45202</v>
      </c>
      <c r="E112" s="17"/>
    </row>
    <row r="113" spans="3:4" x14ac:dyDescent="0.25">
      <c r="C113"/>
      <c r="D113"/>
    </row>
  </sheetData>
  <conditionalFormatting pivot="1" sqref="D3:D9">
    <cfRule type="cellIs" dxfId="25" priority="2" operator="lessThan">
      <formula>0</formula>
    </cfRule>
  </conditionalFormatting>
  <conditionalFormatting pivot="1" sqref="D3:D9">
    <cfRule type="cellIs" dxfId="24" priority="1" operator="greaterThanOr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9E99-C7C4-4C64-81C4-1EE2E0F7B252}">
  <dimension ref="A1:AV103"/>
  <sheetViews>
    <sheetView zoomScale="40" zoomScaleNormal="40" workbookViewId="0">
      <selection activeCell="AN121" sqref="AN121"/>
    </sheetView>
  </sheetViews>
  <sheetFormatPr defaultRowHeight="15" x14ac:dyDescent="0.25"/>
  <cols>
    <col min="1" max="2" width="9.140625" customWidth="1"/>
    <col min="10" max="14" width="9.140625" customWidth="1"/>
    <col min="27" max="27" width="31.140625" customWidth="1"/>
    <col min="28" max="28" width="26.140625" customWidth="1"/>
  </cols>
  <sheetData>
    <row r="1" spans="1:48" ht="21" x14ac:dyDescent="0.35">
      <c r="A1" s="23" t="s">
        <v>285</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row>
    <row r="2" spans="1:48" x14ac:dyDescent="0.25">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row>
    <row r="3" spans="1:48" x14ac:dyDescent="0.2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row>
    <row r="4" spans="1:48" ht="18.75" x14ac:dyDescent="0.3">
      <c r="A4" s="24"/>
      <c r="B4" s="25" t="s">
        <v>288</v>
      </c>
      <c r="C4" s="24"/>
      <c r="D4" s="24"/>
      <c r="E4" s="24"/>
      <c r="F4" s="24"/>
      <c r="G4" s="24"/>
      <c r="H4" s="24"/>
      <c r="I4" s="24"/>
      <c r="J4" s="24"/>
      <c r="K4" s="24"/>
      <c r="L4" s="24"/>
      <c r="M4" s="24"/>
      <c r="N4" s="24"/>
      <c r="O4" s="25" t="s">
        <v>290</v>
      </c>
      <c r="P4" s="24"/>
      <c r="Q4" s="24"/>
      <c r="R4" s="24"/>
      <c r="S4" s="24"/>
      <c r="T4" s="24"/>
      <c r="U4" s="24"/>
      <c r="V4" s="24"/>
      <c r="W4" s="24"/>
      <c r="X4" s="24"/>
      <c r="Y4" s="24"/>
      <c r="Z4" s="24"/>
      <c r="AA4" s="29" t="s">
        <v>299</v>
      </c>
      <c r="AB4" s="29" t="s">
        <v>303</v>
      </c>
      <c r="AC4" s="24"/>
      <c r="AD4" s="24"/>
      <c r="AE4" s="24"/>
      <c r="AF4" s="24"/>
      <c r="AG4" s="24"/>
      <c r="AH4" s="24"/>
      <c r="AI4" s="24"/>
      <c r="AJ4" s="24"/>
      <c r="AK4" s="24"/>
      <c r="AL4" s="24"/>
      <c r="AM4" s="24"/>
      <c r="AN4" s="24"/>
      <c r="AO4" s="24"/>
      <c r="AP4" s="24"/>
      <c r="AQ4" s="24"/>
      <c r="AR4" s="24"/>
      <c r="AS4" s="24"/>
      <c r="AT4" s="24"/>
      <c r="AU4" s="24"/>
      <c r="AV4" s="24"/>
    </row>
    <row r="5" spans="1:48" ht="18.75" x14ac:dyDescent="0.25">
      <c r="A5" s="24"/>
      <c r="B5" s="24"/>
      <c r="C5" s="24"/>
      <c r="D5" s="24"/>
      <c r="E5" s="24"/>
      <c r="F5" s="24"/>
      <c r="G5" s="24"/>
      <c r="H5" s="24"/>
      <c r="I5" s="24"/>
      <c r="J5" s="24"/>
      <c r="K5" s="24"/>
      <c r="L5" s="24"/>
      <c r="M5" s="24"/>
      <c r="N5" s="24"/>
      <c r="O5" s="24"/>
      <c r="P5" s="24"/>
      <c r="Q5" s="24"/>
      <c r="R5" s="24"/>
      <c r="S5" s="24"/>
      <c r="T5" s="24"/>
      <c r="U5" s="24"/>
      <c r="V5" s="24"/>
      <c r="W5" s="24"/>
      <c r="X5" s="24"/>
      <c r="Y5" s="24"/>
      <c r="Z5" s="24"/>
      <c r="AA5" s="30" t="s">
        <v>298</v>
      </c>
      <c r="AB5" s="30">
        <v>12</v>
      </c>
      <c r="AC5" s="24"/>
      <c r="AD5" s="24"/>
      <c r="AE5" s="24"/>
      <c r="AF5" s="24"/>
      <c r="AG5" s="24"/>
      <c r="AH5" s="24"/>
      <c r="AI5" s="24"/>
      <c r="AJ5" s="24"/>
      <c r="AK5" s="24"/>
      <c r="AL5" s="24"/>
      <c r="AM5" s="24"/>
      <c r="AN5" s="24"/>
      <c r="AO5" s="24"/>
      <c r="AP5" s="24"/>
      <c r="AQ5" s="24"/>
      <c r="AR5" s="24"/>
      <c r="AS5" s="24"/>
      <c r="AT5" s="24"/>
      <c r="AU5" s="24"/>
      <c r="AV5" s="24"/>
    </row>
    <row r="6" spans="1:48" ht="18.75" x14ac:dyDescent="0.25">
      <c r="A6" s="24"/>
      <c r="B6" s="24"/>
      <c r="C6" s="24"/>
      <c r="D6" s="24"/>
      <c r="E6" s="24"/>
      <c r="F6" s="24"/>
      <c r="G6" s="24"/>
      <c r="H6" s="24"/>
      <c r="I6" s="24"/>
      <c r="J6" s="24"/>
      <c r="K6" s="24"/>
      <c r="L6" s="24"/>
      <c r="M6" s="24"/>
      <c r="N6" s="24"/>
      <c r="O6" s="24"/>
      <c r="P6" s="24"/>
      <c r="Q6" s="24"/>
      <c r="R6" s="24"/>
      <c r="S6" s="24"/>
      <c r="T6" s="24"/>
      <c r="U6" s="24"/>
      <c r="V6" s="24"/>
      <c r="W6" s="24"/>
      <c r="X6" s="24"/>
      <c r="Y6" s="24"/>
      <c r="Z6" s="24"/>
      <c r="AA6" s="30" t="s">
        <v>300</v>
      </c>
      <c r="AB6" s="31">
        <v>0.65</v>
      </c>
      <c r="AC6" s="24"/>
      <c r="AD6" s="24"/>
      <c r="AE6" s="24"/>
      <c r="AF6" s="24"/>
      <c r="AG6" s="24"/>
      <c r="AH6" s="24"/>
      <c r="AI6" s="24"/>
      <c r="AJ6" s="24"/>
      <c r="AK6" s="24"/>
      <c r="AL6" s="24"/>
      <c r="AM6" s="24"/>
      <c r="AN6" s="24"/>
      <c r="AO6" s="24"/>
      <c r="AP6" s="24"/>
      <c r="AQ6" s="24"/>
      <c r="AR6" s="24"/>
      <c r="AS6" s="24"/>
      <c r="AT6" s="24"/>
      <c r="AU6" s="24"/>
      <c r="AV6" s="24"/>
    </row>
    <row r="7" spans="1:48" ht="18.75" x14ac:dyDescent="0.25">
      <c r="A7" s="24"/>
      <c r="B7" s="24"/>
      <c r="C7" s="24"/>
      <c r="D7" s="24"/>
      <c r="E7" s="24"/>
      <c r="F7" s="24"/>
      <c r="G7" s="24"/>
      <c r="H7" s="24"/>
      <c r="I7" s="24"/>
      <c r="J7" s="24"/>
      <c r="K7" s="24"/>
      <c r="L7" s="24"/>
      <c r="M7" s="24"/>
      <c r="N7" s="24"/>
      <c r="O7" s="24"/>
      <c r="P7" s="24"/>
      <c r="Q7" s="24"/>
      <c r="R7" s="24"/>
      <c r="S7" s="24"/>
      <c r="T7" s="24"/>
      <c r="U7" s="24"/>
      <c r="V7" s="24"/>
      <c r="W7" s="24"/>
      <c r="X7" s="24"/>
      <c r="Y7" s="24"/>
      <c r="Z7" s="24"/>
      <c r="AA7" s="30" t="s">
        <v>301</v>
      </c>
      <c r="AB7" s="31">
        <v>0.78</v>
      </c>
      <c r="AC7" s="24"/>
      <c r="AD7" s="24"/>
      <c r="AE7" s="24"/>
      <c r="AF7" s="24"/>
      <c r="AG7" s="24"/>
      <c r="AH7" s="24"/>
      <c r="AI7" s="24"/>
      <c r="AJ7" s="24"/>
      <c r="AK7" s="24"/>
      <c r="AL7" s="24"/>
      <c r="AM7" s="24"/>
      <c r="AN7" s="24"/>
      <c r="AO7" s="24"/>
      <c r="AP7" s="24"/>
      <c r="AQ7" s="24"/>
      <c r="AR7" s="24"/>
      <c r="AS7" s="24"/>
      <c r="AT7" s="24"/>
      <c r="AU7" s="24"/>
      <c r="AV7" s="24"/>
    </row>
    <row r="8" spans="1:48" ht="18.75" x14ac:dyDescent="0.25">
      <c r="A8" s="24"/>
      <c r="B8" s="24"/>
      <c r="C8" s="24"/>
      <c r="D8" s="24"/>
      <c r="E8" s="24"/>
      <c r="F8" s="24"/>
      <c r="G8" s="24"/>
      <c r="H8" s="24"/>
      <c r="I8" s="24"/>
      <c r="J8" s="24"/>
      <c r="K8" s="24"/>
      <c r="L8" s="24"/>
      <c r="M8" s="24"/>
      <c r="N8" s="24"/>
      <c r="O8" s="24"/>
      <c r="P8" s="24"/>
      <c r="Q8" s="24"/>
      <c r="R8" s="24"/>
      <c r="S8" s="24"/>
      <c r="T8" s="24"/>
      <c r="U8" s="24"/>
      <c r="V8" s="24"/>
      <c r="W8" s="24"/>
      <c r="X8" s="24"/>
      <c r="Y8" s="24"/>
      <c r="Z8" s="24"/>
      <c r="AA8" s="30" t="s">
        <v>302</v>
      </c>
      <c r="AB8" s="31">
        <v>0.84</v>
      </c>
      <c r="AC8" s="24"/>
      <c r="AD8" s="24"/>
      <c r="AE8" s="24"/>
      <c r="AF8" s="24"/>
      <c r="AG8" s="24"/>
      <c r="AH8" s="24"/>
      <c r="AI8" s="24"/>
      <c r="AJ8" s="24"/>
      <c r="AK8" s="24"/>
      <c r="AL8" s="24"/>
      <c r="AM8" s="24"/>
      <c r="AN8" s="24"/>
      <c r="AO8" s="24"/>
      <c r="AP8" s="24"/>
      <c r="AQ8" s="24"/>
      <c r="AR8" s="24"/>
      <c r="AS8" s="24"/>
      <c r="AT8" s="24"/>
      <c r="AU8" s="24"/>
      <c r="AV8" s="24"/>
    </row>
    <row r="9" spans="1:48" x14ac:dyDescent="0.25">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row>
    <row r="10" spans="1:48"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row>
    <row r="11" spans="1:48" x14ac:dyDescent="0.25">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row>
    <row r="12" spans="1:48" x14ac:dyDescent="0.25">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row>
    <row r="13" spans="1:48" ht="18.75" x14ac:dyDescent="0.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5" t="s">
        <v>307</v>
      </c>
      <c r="AB13" s="24"/>
      <c r="AC13" s="24"/>
      <c r="AD13" s="24"/>
      <c r="AE13" s="24"/>
      <c r="AF13" s="24"/>
      <c r="AG13" s="24"/>
      <c r="AH13" s="24"/>
      <c r="AI13" s="24"/>
      <c r="AJ13" s="24"/>
      <c r="AK13" s="24"/>
      <c r="AL13" s="24"/>
      <c r="AM13" s="24"/>
      <c r="AN13" s="24"/>
      <c r="AO13" s="24"/>
      <c r="AP13" s="24"/>
      <c r="AQ13" s="24"/>
      <c r="AR13" s="24"/>
      <c r="AS13" s="24"/>
      <c r="AT13" s="24"/>
      <c r="AU13" s="24"/>
      <c r="AV13" s="24"/>
    </row>
    <row r="14" spans="1:48" x14ac:dyDescent="0.25">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row>
    <row r="15" spans="1:48" x14ac:dyDescent="0.2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row>
    <row r="16" spans="1:48" x14ac:dyDescent="0.25">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row>
    <row r="17" spans="1:48" x14ac:dyDescent="0.25">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row>
    <row r="18" spans="1:48" x14ac:dyDescent="0.25">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row>
    <row r="19" spans="1:48" x14ac:dyDescent="0.25">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row>
    <row r="20" spans="1:48" x14ac:dyDescent="0.25">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row>
    <row r="21" spans="1:48" x14ac:dyDescent="0.25">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row>
    <row r="22" spans="1:48"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row>
    <row r="23" spans="1:48" x14ac:dyDescent="0.25">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row>
    <row r="24" spans="1:48" x14ac:dyDescent="0.25">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row>
    <row r="25" spans="1:48"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row>
    <row r="26" spans="1:48"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row>
    <row r="27" spans="1:48"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row>
    <row r="28" spans="1:48"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row>
    <row r="29" spans="1:48" x14ac:dyDescent="0.25">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row>
    <row r="30" spans="1:48" x14ac:dyDescent="0.25">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row>
    <row r="31" spans="1:48" x14ac:dyDescent="0.25">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row>
    <row r="32" spans="1:48" x14ac:dyDescent="0.2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row>
    <row r="33" spans="1:48" x14ac:dyDescent="0.2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row>
    <row r="34" spans="1:48" x14ac:dyDescent="0.2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row>
    <row r="35" spans="1:48" x14ac:dyDescent="0.2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row>
    <row r="36" spans="1:48" x14ac:dyDescent="0.2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row>
    <row r="37" spans="1:48" x14ac:dyDescent="0.2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row>
    <row r="38" spans="1:48" x14ac:dyDescent="0.2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row>
    <row r="39" spans="1:48" ht="18.75" x14ac:dyDescent="0.3">
      <c r="A39" s="24"/>
      <c r="B39" s="25" t="s">
        <v>291</v>
      </c>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row>
    <row r="40" spans="1:48" x14ac:dyDescent="0.2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row>
    <row r="41" spans="1:48" x14ac:dyDescent="0.2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row>
    <row r="42" spans="1:48" x14ac:dyDescent="0.25">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row>
    <row r="43" spans="1:48" x14ac:dyDescent="0.25">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row>
    <row r="44" spans="1:48" x14ac:dyDescent="0.25">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row>
    <row r="45" spans="1:48" ht="18.75" x14ac:dyDescent="0.3">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5" t="s">
        <v>309</v>
      </c>
      <c r="AB45" s="24"/>
      <c r="AC45" s="24"/>
      <c r="AD45" s="24"/>
      <c r="AE45" s="24"/>
      <c r="AF45" s="24"/>
      <c r="AG45" s="24"/>
      <c r="AH45" s="24"/>
      <c r="AI45" s="24"/>
      <c r="AJ45" s="24"/>
      <c r="AK45" s="24"/>
      <c r="AL45" s="24"/>
      <c r="AM45" s="24"/>
      <c r="AN45" s="24"/>
      <c r="AO45" s="24"/>
      <c r="AP45" s="24"/>
      <c r="AQ45" s="24"/>
      <c r="AR45" s="24"/>
      <c r="AS45" s="24"/>
      <c r="AT45" s="24"/>
      <c r="AU45" s="24"/>
      <c r="AV45" s="24"/>
    </row>
    <row r="46" spans="1:48" x14ac:dyDescent="0.25">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row>
    <row r="47" spans="1:48" x14ac:dyDescent="0.25">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row>
    <row r="48" spans="1:48" x14ac:dyDescent="0.25">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row>
    <row r="49" spans="1:48" x14ac:dyDescent="0.25">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row>
    <row r="50" spans="1:48" x14ac:dyDescent="0.25">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row>
    <row r="51" spans="1:48" x14ac:dyDescent="0.25">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row>
    <row r="52" spans="1:48" x14ac:dyDescent="0.2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row>
    <row r="53" spans="1:48" x14ac:dyDescent="0.2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row>
    <row r="54" spans="1:48" x14ac:dyDescent="0.2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row>
    <row r="55" spans="1:48" x14ac:dyDescent="0.2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row>
    <row r="56" spans="1:48" x14ac:dyDescent="0.2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row>
    <row r="57" spans="1:48" x14ac:dyDescent="0.2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row>
    <row r="58" spans="1:48" x14ac:dyDescent="0.2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row>
    <row r="59" spans="1:48" x14ac:dyDescent="0.2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row>
    <row r="60" spans="1:48" x14ac:dyDescent="0.2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row>
    <row r="61" spans="1:48" x14ac:dyDescent="0.2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row>
    <row r="62" spans="1:48" x14ac:dyDescent="0.2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row>
    <row r="63" spans="1:48" x14ac:dyDescent="0.2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row>
    <row r="64" spans="1:48" x14ac:dyDescent="0.2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row>
    <row r="65" spans="1:48" x14ac:dyDescent="0.2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row>
    <row r="66" spans="1:48" x14ac:dyDescent="0.2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row>
    <row r="67" spans="1:48" x14ac:dyDescent="0.2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row>
    <row r="68" spans="1:48" x14ac:dyDescent="0.2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row>
    <row r="69" spans="1:48" x14ac:dyDescent="0.2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row>
    <row r="70" spans="1:48" ht="18.75" x14ac:dyDescent="0.3">
      <c r="A70" s="24"/>
      <c r="B70" s="25" t="s">
        <v>292</v>
      </c>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row>
    <row r="71" spans="1:48" x14ac:dyDescent="0.2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row>
    <row r="72" spans="1:48" x14ac:dyDescent="0.2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row>
    <row r="73" spans="1:48" x14ac:dyDescent="0.2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row>
    <row r="74" spans="1:48" x14ac:dyDescent="0.2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row>
    <row r="75" spans="1:48" x14ac:dyDescent="0.2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row>
    <row r="76" spans="1:48" x14ac:dyDescent="0.2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row>
    <row r="77" spans="1:48" x14ac:dyDescent="0.2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row>
    <row r="78" spans="1:48" x14ac:dyDescent="0.2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row>
    <row r="79" spans="1:48" x14ac:dyDescent="0.2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row>
    <row r="80" spans="1:48" x14ac:dyDescent="0.2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row>
    <row r="81" spans="1:48" x14ac:dyDescent="0.2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row>
    <row r="82" spans="1:48" x14ac:dyDescent="0.2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row>
    <row r="83" spans="1:48" x14ac:dyDescent="0.2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row>
    <row r="84" spans="1:48" x14ac:dyDescent="0.2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row>
    <row r="85" spans="1:48" x14ac:dyDescent="0.2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row>
    <row r="86" spans="1:48" x14ac:dyDescent="0.2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row>
    <row r="87" spans="1:48" x14ac:dyDescent="0.2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row>
    <row r="88" spans="1:48" x14ac:dyDescent="0.2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row>
    <row r="89" spans="1:48" x14ac:dyDescent="0.2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row>
    <row r="90" spans="1:48" x14ac:dyDescent="0.2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row>
    <row r="91" spans="1:48" x14ac:dyDescent="0.2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row>
    <row r="92" spans="1:48" x14ac:dyDescent="0.2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row>
    <row r="93" spans="1:48" x14ac:dyDescent="0.2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row>
    <row r="94" spans="1:48" x14ac:dyDescent="0.2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row>
    <row r="95" spans="1:48" x14ac:dyDescent="0.2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row>
    <row r="96" spans="1:48" x14ac:dyDescent="0.2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row>
    <row r="97" spans="1:48" x14ac:dyDescent="0.2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row>
    <row r="98" spans="1:48" x14ac:dyDescent="0.2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row>
    <row r="99" spans="1:48" x14ac:dyDescent="0.2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row>
    <row r="100" spans="1:48" x14ac:dyDescent="0.2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row>
    <row r="101" spans="1:48" x14ac:dyDescent="0.2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row>
    <row r="102" spans="1:48" x14ac:dyDescent="0.25">
      <c r="A102" s="24"/>
      <c r="B102" s="24"/>
      <c r="C102" s="24"/>
      <c r="D102" s="24"/>
      <c r="E102" s="24"/>
      <c r="F102" s="24"/>
      <c r="G102" s="24"/>
      <c r="H102" s="24"/>
      <c r="I102" s="24"/>
      <c r="J102" s="24"/>
      <c r="K102" s="24"/>
      <c r="L102" s="24"/>
      <c r="M102" s="24"/>
      <c r="N102" s="24"/>
      <c r="O102" s="24"/>
      <c r="P102" s="24"/>
      <c r="Q102" s="24"/>
      <c r="R102" s="24"/>
      <c r="S102" s="24"/>
      <c r="T102" s="24"/>
      <c r="U102" s="24"/>
      <c r="V102" s="26" t="s">
        <v>293</v>
      </c>
      <c r="W102" s="24"/>
      <c r="X102" s="24"/>
      <c r="Y102" s="24"/>
      <c r="Z102" s="24"/>
      <c r="AA102" s="24"/>
      <c r="AB102" s="24"/>
      <c r="AC102" s="24"/>
      <c r="AD102" s="24"/>
      <c r="AE102" s="24"/>
      <c r="AF102" s="24"/>
      <c r="AG102" s="24"/>
      <c r="AH102" s="24"/>
      <c r="AI102" s="24"/>
    </row>
    <row r="103" spans="1:48" x14ac:dyDescent="0.2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69A4D-B194-4765-88A7-C14ACD46D82B}">
  <dimension ref="A1:D5"/>
  <sheetViews>
    <sheetView workbookViewId="0">
      <selection activeCell="F14" sqref="F14"/>
    </sheetView>
  </sheetViews>
  <sheetFormatPr defaultRowHeight="15" x14ac:dyDescent="0.25"/>
  <sheetData>
    <row r="1" spans="1:4" ht="21" x14ac:dyDescent="0.35">
      <c r="A1" s="27" t="s">
        <v>294</v>
      </c>
      <c r="B1" s="28"/>
    </row>
    <row r="3" spans="1:4" x14ac:dyDescent="0.25">
      <c r="A3" s="14" t="s">
        <v>295</v>
      </c>
      <c r="B3" s="14"/>
      <c r="C3" s="14"/>
      <c r="D3" s="14"/>
    </row>
    <row r="4" spans="1:4" x14ac:dyDescent="0.25">
      <c r="A4" s="14" t="s">
        <v>296</v>
      </c>
      <c r="B4" s="14"/>
      <c r="C4" s="14"/>
      <c r="D4" s="14"/>
    </row>
    <row r="5" spans="1:4" x14ac:dyDescent="0.25">
      <c r="A5" s="14" t="s">
        <v>297</v>
      </c>
      <c r="B5" s="14"/>
      <c r="C5" s="14"/>
      <c r="D5"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vt:lpstr>
      <vt:lpstr>Pivots</vt:lpstr>
      <vt:lpstr>Dashboard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 T</dc:creator>
  <cp:lastModifiedBy>Lewis T</cp:lastModifiedBy>
  <dcterms:created xsi:type="dcterms:W3CDTF">2025-10-30T09:00:04Z</dcterms:created>
  <dcterms:modified xsi:type="dcterms:W3CDTF">2025-10-30T13:22:29Z</dcterms:modified>
</cp:coreProperties>
</file>