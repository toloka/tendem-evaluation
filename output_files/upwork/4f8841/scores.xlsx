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Proyecto 7\"/>
    </mc:Choice>
  </mc:AlternateContent>
  <xr:revisionPtr revIDLastSave="0" documentId="8_{58D7C952-A59D-46A5-90F8-29C6E02227C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ean Score" sheetId="1" r:id="rId1"/>
    <sheet name="Mountains" sheetId="2" r:id="rId2"/>
    <sheet name="Bar Grap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0" i="1" l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B60" i="1"/>
</calcChain>
</file>

<file path=xl/sharedStrings.xml><?xml version="1.0" encoding="utf-8"?>
<sst xmlns="http://schemas.openxmlformats.org/spreadsheetml/2006/main" count="83" uniqueCount="81">
  <si>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</si>
  <si>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</si>
  <si>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</si>
  <si>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</si>
  <si>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</si>
  <si>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</si>
  <si>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</si>
  <si>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</si>
  <si>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</si>
  <si>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</si>
  <si>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</si>
  <si>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</si>
  <si>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</si>
  <si>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Wapusk National Park</t>
  </si>
  <si>
    <t>Ivvavik National Park</t>
  </si>
  <si>
    <t>Wood Buffalo National Park</t>
  </si>
  <si>
    <t>Quttinirpaaq National Park</t>
  </si>
  <si>
    <t>Grasslands National Park</t>
  </si>
  <si>
    <t>Aulavik National Park</t>
  </si>
  <si>
    <t>Sirmilik National Park</t>
  </si>
  <si>
    <t>Nahanni National Park Reserve</t>
  </si>
  <si>
    <t>Georgian Bay Islands National Park</t>
  </si>
  <si>
    <t>Chilkoot Trail National Historic Site</t>
  </si>
  <si>
    <t>Gwaii Haanas National Park Reserve, National Marine Conservation Area Reserve, and Haida Heritage Site</t>
  </si>
  <si>
    <t>Jasper National Park</t>
  </si>
  <si>
    <t>Prince of Wales Tower National Historic Site</t>
  </si>
  <si>
    <t>Prince of Wales Fort National Historic Site</t>
  </si>
  <si>
    <t>Auyuittuq National Park</t>
  </si>
  <si>
    <t>Waterton Lakes National Park</t>
  </si>
  <si>
    <t>Kluane National Park and Reserve</t>
  </si>
  <si>
    <t>Pukaskwa National Park</t>
  </si>
  <si>
    <t>York Factory National Historic Site</t>
  </si>
  <si>
    <t>Banff National Park</t>
  </si>
  <si>
    <t>Terra Nova National Park</t>
  </si>
  <si>
    <t>Kootenay National Park</t>
  </si>
  <si>
    <t>Prince Albert National Park</t>
  </si>
  <si>
    <t>Elk Island National Park</t>
  </si>
  <si>
    <t>Forillon National Park</t>
  </si>
  <si>
    <t>Pacific Rim National Park Reserve</t>
  </si>
  <si>
    <t>Yoho National Park</t>
  </si>
  <si>
    <t>Kejimkujik National Park and Historic Site</t>
  </si>
  <si>
    <t>Cape Breton Highlands National Park</t>
  </si>
  <si>
    <t>Thousand Islands National Park</t>
  </si>
  <si>
    <t>Gros Morne National Park</t>
  </si>
  <si>
    <t>Point Pelee National Park</t>
  </si>
  <si>
    <t>La Mauricie National Park</t>
  </si>
  <si>
    <t>Bruce Peninsula National Park</t>
  </si>
  <si>
    <t>Prince Edward Island National Park</t>
  </si>
  <si>
    <t>Mingan Archipelago National Park Reserve</t>
  </si>
  <si>
    <t>Kouchibouguac National Park</t>
  </si>
  <si>
    <t>Fort Battleford National Historic Site</t>
  </si>
  <si>
    <t>Port au Choix National Historic Site</t>
  </si>
  <si>
    <t>Fundy National Park</t>
  </si>
  <si>
    <t>Bellevue House National Historic Site</t>
  </si>
  <si>
    <t>Rocky Mountain House National Historic Site</t>
  </si>
  <si>
    <t>Saguenay-St. Lawrence Marine Park</t>
  </si>
  <si>
    <t>Castle Hill National Historic Site</t>
  </si>
  <si>
    <t>Fort Walsh National Historic Site</t>
  </si>
  <si>
    <t>St. Peter's Canal National Historic Site</t>
  </si>
  <si>
    <t>Port-Royal National Historic Site</t>
  </si>
  <si>
    <t>Fortress of Louisbourg National Historic Site</t>
  </si>
  <si>
    <t>L'Anse aux Meadows National Historic Site</t>
  </si>
  <si>
    <t>Pointe-au-Père Lighthouse National Historic Site</t>
  </si>
  <si>
    <t>Banff Park Museum National Historic Site</t>
  </si>
  <si>
    <t>Sault Ste. Marie Canal National Historic Site</t>
  </si>
  <si>
    <t>Fathom Five National Marine Park</t>
  </si>
  <si>
    <t>Lachine Canal National Historic Site</t>
  </si>
  <si>
    <t>Chambly Canal National Historic Site</t>
  </si>
  <si>
    <t>Rideau Canal National Historic Site</t>
  </si>
  <si>
    <t>Banff National Park of Canada</t>
  </si>
  <si>
    <t>Glacier National Park of Canada</t>
  </si>
  <si>
    <t>Yoho National Park of Canada</t>
  </si>
  <si>
    <t>Jasper National Park of Canada</t>
  </si>
  <si>
    <t>Waterton Lakes National Park of Canada</t>
  </si>
  <si>
    <t>20192</t>
  </si>
  <si>
    <t>20193</t>
  </si>
  <si>
    <t>20194</t>
  </si>
  <si>
    <t>Incidents Related to Wildlife</t>
  </si>
  <si>
    <t>Mean Value</t>
  </si>
  <si>
    <t>Park</t>
  </si>
  <si>
    <t>Mountains Related Accidents 2010-2015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</si>
</sst>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Mean Value of Incidents in National Parks Canada 2010-2023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'Mean Score'!$A$4:$A$59</c:f>
              <c:strCache>
                <c:ptCount val="56"/>
                <c:pt idx="0">
                  <c:v>Rideau Canal National Historic Site</c:v>
                </c:pt>
                <c:pt idx="1">
                  <c:v>Chambly Canal National Historic Site</c:v>
                </c:pt>
                <c:pt idx="2">
                  <c:v>Lachine Canal National Historic Site</c:v>
                </c:pt>
                <c:pt idx="3">
                  <c:v>Fathom Five National Marine Park</c:v>
                </c:pt>
                <c:pt idx="4">
                  <c:v>Sault Ste. Marie Canal National Historic Site</c:v>
                </c:pt>
                <c:pt idx="5">
                  <c:v>Banff Park Museum National Historic Site</c:v>
                </c:pt>
                <c:pt idx="6">
                  <c:v>Pointe-au-Père Lighthouse National Historic Site</c:v>
                </c:pt>
                <c:pt idx="7">
                  <c:v>L'Anse aux Meadows National Historic Site</c:v>
                </c:pt>
                <c:pt idx="8">
                  <c:v>Fortress of Louisbourg National Historic Site</c:v>
                </c:pt>
                <c:pt idx="9">
                  <c:v>Port-Royal National Historic Site</c:v>
                </c:pt>
                <c:pt idx="10">
                  <c:v>St. Peter's Canal National Historic Site</c:v>
                </c:pt>
                <c:pt idx="11">
                  <c:v>Fort Walsh National Historic Site</c:v>
                </c:pt>
                <c:pt idx="12">
                  <c:v>Castle Hill National Historic Site</c:v>
                </c:pt>
                <c:pt idx="13">
                  <c:v>Saguenay-St. Lawrence Marine Park</c:v>
                </c:pt>
                <c:pt idx="14">
                  <c:v>Rocky Mountain House National Historic Site</c:v>
                </c:pt>
                <c:pt idx="15">
                  <c:v>Bellevue House National Historic Site</c:v>
                </c:pt>
                <c:pt idx="16">
                  <c:v>Fundy National Park</c:v>
                </c:pt>
                <c:pt idx="17">
                  <c:v>Port au Choix National Historic Site</c:v>
                </c:pt>
                <c:pt idx="18">
                  <c:v>Fort Battleford National Historic Site</c:v>
                </c:pt>
                <c:pt idx="19">
                  <c:v>Kouchibouguac National Park</c:v>
                </c:pt>
                <c:pt idx="20">
                  <c:v>Mingan Archipelago National Park Reserve</c:v>
                </c:pt>
                <c:pt idx="21">
                  <c:v>Prince Edward Island National Park</c:v>
                </c:pt>
                <c:pt idx="22">
                  <c:v>Bruce Peninsula National Park</c:v>
                </c:pt>
                <c:pt idx="23">
                  <c:v>La Mauricie National Park</c:v>
                </c:pt>
                <c:pt idx="24">
                  <c:v>Point Pelee National Park</c:v>
                </c:pt>
                <c:pt idx="25">
                  <c:v>Gros Morne National Park</c:v>
                </c:pt>
                <c:pt idx="26">
                  <c:v>Thousand Islands National Park</c:v>
                </c:pt>
                <c:pt idx="27">
                  <c:v>Cape Breton Highlands National Park</c:v>
                </c:pt>
                <c:pt idx="28">
                  <c:v>Kejimkujik National Park and Historic Site</c:v>
                </c:pt>
                <c:pt idx="29">
                  <c:v>Yoho National Park</c:v>
                </c:pt>
                <c:pt idx="30">
                  <c:v>Pacific Rim National Park Reserve</c:v>
                </c:pt>
                <c:pt idx="31">
                  <c:v>Forillon National Park</c:v>
                </c:pt>
                <c:pt idx="32">
                  <c:v>Elk Island National Park</c:v>
                </c:pt>
                <c:pt idx="33">
                  <c:v>Prince Albert National Park</c:v>
                </c:pt>
                <c:pt idx="34">
                  <c:v>Kootenay National Park</c:v>
                </c:pt>
                <c:pt idx="35">
                  <c:v>Terra Nova National Park</c:v>
                </c:pt>
                <c:pt idx="36">
                  <c:v>Banff National Park</c:v>
                </c:pt>
                <c:pt idx="37">
                  <c:v>York Factory National Historic Site</c:v>
                </c:pt>
                <c:pt idx="38">
                  <c:v>Pukaskwa National Park</c:v>
                </c:pt>
                <c:pt idx="39">
                  <c:v>Kluane National Park and Reserve</c:v>
                </c:pt>
                <c:pt idx="40">
                  <c:v>Waterton Lakes National Park</c:v>
                </c:pt>
                <c:pt idx="41">
                  <c:v>Auyuittuq National Park</c:v>
                </c:pt>
                <c:pt idx="42">
                  <c:v>Prince of Wales Fort National Historic Site</c:v>
                </c:pt>
                <c:pt idx="43">
                  <c:v>Prince of Wales Tower National Historic Site</c:v>
                </c:pt>
                <c:pt idx="44">
                  <c:v>Jasper National Park</c:v>
                </c:pt>
                <c:pt idx="45">
                  <c:v>Gwaii Haanas National Park Reserve, National Marine Conservation Area Reserve, and Haida Heritage Site</c:v>
                </c:pt>
                <c:pt idx="46">
                  <c:v>Chilkoot Trail National Historic Site</c:v>
                </c:pt>
                <c:pt idx="47">
                  <c:v>Georgian Bay Islands National Park</c:v>
                </c:pt>
                <c:pt idx="48">
                  <c:v>Nahanni National Park Reserve</c:v>
                </c:pt>
                <c:pt idx="49">
                  <c:v>Sirmilik National Park</c:v>
                </c:pt>
                <c:pt idx="50">
                  <c:v>Aulavik National Park</c:v>
                </c:pt>
                <c:pt idx="51">
                  <c:v>Grasslands National Park</c:v>
                </c:pt>
                <c:pt idx="52">
                  <c:v>Quttinirpaaq National Park</c:v>
                </c:pt>
                <c:pt idx="53">
                  <c:v>Wood Buffalo National Park</c:v>
                </c:pt>
                <c:pt idx="54">
                  <c:v>Ivvavik National Park</c:v>
                </c:pt>
                <c:pt idx="55">
                  <c:v>Wapusk National Park</c:v>
                </c:pt>
              </c:strCache>
            </c:strRef>
          </c:cat>
          <c:val>
            <c:numRef>
              <c:f>'Mean Score'!$R$4:$R$59</c:f>
              <c:numCache>
                <c:formatCode>0</c:formatCode>
                <c:ptCount val="56"/>
                <c:pt idx="0">
                  <c:v>1.2378235299360191E-2</c:v>
                </c:pt>
                <c:pt idx="1">
                  <c:v>2.882814734181419E-2</c:v>
                </c:pt>
                <c:pt idx="2">
                  <c:v>4.4208689518040169E-2</c:v>
                </c:pt>
                <c:pt idx="3">
                  <c:v>4.6122557069433898E-2</c:v>
                </c:pt>
                <c:pt idx="4">
                  <c:v>6.4358015919598818E-2</c:v>
                </c:pt>
                <c:pt idx="5">
                  <c:v>9.0205813584273875E-2</c:v>
                </c:pt>
                <c:pt idx="6">
                  <c:v>0.19452528050545451</c:v>
                </c:pt>
                <c:pt idx="7">
                  <c:v>0.20755155580646231</c:v>
                </c:pt>
                <c:pt idx="8">
                  <c:v>0.27399598960804772</c:v>
                </c:pt>
                <c:pt idx="9">
                  <c:v>0.29081941277744172</c:v>
                </c:pt>
                <c:pt idx="10">
                  <c:v>0.43672699322199698</c:v>
                </c:pt>
                <c:pt idx="11">
                  <c:v>0.52133294407140174</c:v>
                </c:pt>
                <c:pt idx="12">
                  <c:v>0.55741360089186176</c:v>
                </c:pt>
                <c:pt idx="13">
                  <c:v>0.89961643772334166</c:v>
                </c:pt>
                <c:pt idx="14">
                  <c:v>1.0792050144181791</c:v>
                </c:pt>
                <c:pt idx="15">
                  <c:v>1.4311556868402371</c:v>
                </c:pt>
                <c:pt idx="16">
                  <c:v>2.3448621265985028</c:v>
                </c:pt>
                <c:pt idx="17">
                  <c:v>3.887325749735187</c:v>
                </c:pt>
                <c:pt idx="18">
                  <c:v>5.2257525083612038</c:v>
                </c:pt>
                <c:pt idx="19">
                  <c:v>5.7102919829632341</c:v>
                </c:pt>
                <c:pt idx="20">
                  <c:v>5.9237919756197872</c:v>
                </c:pt>
                <c:pt idx="21">
                  <c:v>5.9886589525698701</c:v>
                </c:pt>
                <c:pt idx="22">
                  <c:v>8.1310550229228511</c:v>
                </c:pt>
                <c:pt idx="23">
                  <c:v>9.4772534905922061</c:v>
                </c:pt>
                <c:pt idx="24">
                  <c:v>9.5219337674551063</c:v>
                </c:pt>
                <c:pt idx="25">
                  <c:v>9.7077418230904673</c:v>
                </c:pt>
                <c:pt idx="26">
                  <c:v>11.038469862356269</c:v>
                </c:pt>
                <c:pt idx="27">
                  <c:v>16.70674120588318</c:v>
                </c:pt>
                <c:pt idx="28">
                  <c:v>18.118151824767999</c:v>
                </c:pt>
                <c:pt idx="29">
                  <c:v>27.352079580457382</c:v>
                </c:pt>
                <c:pt idx="30">
                  <c:v>28.779947674424541</c:v>
                </c:pt>
                <c:pt idx="31">
                  <c:v>30.270219569210841</c:v>
                </c:pt>
                <c:pt idx="32">
                  <c:v>34.904776222675338</c:v>
                </c:pt>
                <c:pt idx="33">
                  <c:v>36.016586587791473</c:v>
                </c:pt>
                <c:pt idx="34">
                  <c:v>37.778795089163573</c:v>
                </c:pt>
                <c:pt idx="35">
                  <c:v>44.353672298522213</c:v>
                </c:pt>
                <c:pt idx="36">
                  <c:v>56.771390092619598</c:v>
                </c:pt>
                <c:pt idx="37">
                  <c:v>57.870370370370367</c:v>
                </c:pt>
                <c:pt idx="38">
                  <c:v>63.835531566856673</c:v>
                </c:pt>
                <c:pt idx="39">
                  <c:v>75.389899669220327</c:v>
                </c:pt>
                <c:pt idx="40">
                  <c:v>79.158996264832879</c:v>
                </c:pt>
                <c:pt idx="41">
                  <c:v>79.527909969218598</c:v>
                </c:pt>
                <c:pt idx="42">
                  <c:v>84.336991359065308</c:v>
                </c:pt>
                <c:pt idx="43">
                  <c:v>96.057744907602384</c:v>
                </c:pt>
                <c:pt idx="44">
                  <c:v>100.2910527058407</c:v>
                </c:pt>
                <c:pt idx="45">
                  <c:v>118.88773101876281</c:v>
                </c:pt>
                <c:pt idx="46">
                  <c:v>189.1802214742896</c:v>
                </c:pt>
                <c:pt idx="47">
                  <c:v>190.1218569286377</c:v>
                </c:pt>
                <c:pt idx="48">
                  <c:v>195.7029895526386</c:v>
                </c:pt>
                <c:pt idx="49">
                  <c:v>233.2834331337325</c:v>
                </c:pt>
                <c:pt idx="50">
                  <c:v>347.22222222222217</c:v>
                </c:pt>
                <c:pt idx="51">
                  <c:v>446.13662995803412</c:v>
                </c:pt>
                <c:pt idx="52">
                  <c:v>606.06060606060612</c:v>
                </c:pt>
                <c:pt idx="53">
                  <c:v>851.13456643218615</c:v>
                </c:pt>
                <c:pt idx="54">
                  <c:v>1101.303810719704</c:v>
                </c:pt>
                <c:pt idx="55">
                  <c:v>2943.8090814090792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A-4CDA-BDF1-E083A786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33068856"/>
        <c:axId val="633070496"/>
      </c:barChart>
      <c:catAx>
        <c:axId val="633068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3070496"/>
        <c:crosses val="autoZero"/>
        <c:auto val="1"/>
        <c:lblAlgn val="ctr"/>
        <c:lblOffset val="100"/>
        <c:noMultiLvlLbl val="0"/>
      </c:catAx>
      <c:valAx>
        <c:axId val="63307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33068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29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D08011-2534-46DC-AA20-14F282DE5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5EAFA8-1C79-422E-9C39-129F29C54266}" name="Tabla3" displayName="Tabla3" ref="A3:R60" totalsRowShown="0" headerRowDxfId="5" headerRowBorderDxfId="23" tableBorderDxfId="24">
  <autoFilter ref="A3:R60" xr:uid="{CF5EAFA8-1C79-422E-9C39-129F29C54266}"/>
  <sortState xmlns:xlrd2="http://schemas.microsoft.com/office/spreadsheetml/2017/richdata2" ref="A4:R60">
    <sortCondition ref="R3:R60"/>
  </sortState>
  <tableColumns count="18">
    <tableColumn id="1" xr3:uid="{6AB58B07-0874-4BAB-907D-15EFFD113057}" name="Park"/>
    <tableColumn id="2" xr3:uid="{8A4ED71B-5E62-445A-A36F-4141212D1CB5}" name="2010" dataDxfId="22"/>
    <tableColumn id="3" xr3:uid="{7E5A96EC-3AC6-4389-A941-38B3FA95F86B}" name="2011" dataDxfId="21"/>
    <tableColumn id="4" xr3:uid="{1F262CCD-9662-40B7-8580-E3BE28FCC926}" name="2012" dataDxfId="20"/>
    <tableColumn id="5" xr3:uid="{B7DD017D-88B5-4450-B600-BA2B1956D7F3}" name="2013" dataDxfId="19"/>
    <tableColumn id="6" xr3:uid="{581BE815-F3A6-4D63-856E-7CA656383906}" name="2014" dataDxfId="18"/>
    <tableColumn id="7" xr3:uid="{0123B644-E902-46D0-8DD9-1D287D918E26}" name="2015" dataDxfId="17"/>
    <tableColumn id="8" xr3:uid="{24996D90-C6CC-4B49-8C17-07365A05BED8}" name="2016" dataDxfId="16"/>
    <tableColumn id="9" xr3:uid="{44ECBEB8-C120-48C5-B280-5221B597A676}" name="2017" dataDxfId="15"/>
    <tableColumn id="10" xr3:uid="{38102319-8D02-403B-A464-8D91B08C3D50}" name="2018" dataDxfId="14"/>
    <tableColumn id="11" xr3:uid="{0883ED7B-8B52-4333-8E78-44707EF0BBC6}" name="2019" dataDxfId="13"/>
    <tableColumn id="12" xr3:uid="{0D084F4F-2281-4A1E-BEFB-55CF35A71BD6}" name="20192" dataDxfId="12"/>
    <tableColumn id="13" xr3:uid="{B9F9CA91-4D1F-4FEE-B09C-0E64736E4588}" name="20193" dataDxfId="11"/>
    <tableColumn id="14" xr3:uid="{6158609F-4D35-49F9-A59A-E4B7B315789C}" name="20194" dataDxfId="10"/>
    <tableColumn id="15" xr3:uid="{CC310EA6-35AA-408D-91D1-C183BAEB98D7}" name="2020" dataDxfId="9"/>
    <tableColumn id="16" xr3:uid="{8228ACE1-179A-4EFE-B2D2-27507E46F704}" name="2021" dataDxfId="8"/>
    <tableColumn id="17" xr3:uid="{099A6E8C-666E-44C0-AAF4-B5DBBA73EBE5}" name="2022" dataDxfId="7"/>
    <tableColumn id="18" xr3:uid="{611411C0-7266-4D60-BEE7-C7B5E5C6F394}" name="Mean Value" dataDxfId="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10B9EF-B9B5-4B15-A5B9-1F6B40999B98}" name="Tabla4" displayName="Tabla4" ref="A4:B9" totalsRowShown="0" headerRowDxfId="2" headerRowBorderDxfId="3" tableBorderDxfId="4">
  <autoFilter ref="A4:B9" xr:uid="{5F10B9EF-B9B5-4B15-A5B9-1F6B40999B98}"/>
  <tableColumns count="2">
    <tableColumn id="1" xr3:uid="{F319939F-0650-4B0A-B208-6B1BA8530FBE}" name="Park"/>
    <tableColumn id="2" xr3:uid="{6442578A-05A2-440E-8990-F5E82E330713}" name="Mountains Related Accidents 2010-20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opLeftCell="A3" workbookViewId="0">
      <selection activeCell="A4" sqref="A4:A6"/>
    </sheetView>
  </sheetViews>
  <sheetFormatPr baseColWidth="10" defaultColWidth="9.140625" defaultRowHeight="15" x14ac:dyDescent="0.25"/>
  <cols>
    <col min="1" max="1" width="96" bestFit="1" customWidth="1"/>
    <col min="18" max="18" width="16.28515625" bestFit="1" customWidth="1"/>
    <col min="20" max="20" width="39.28515625" bestFit="1" customWidth="1"/>
  </cols>
  <sheetData>
    <row r="1" spans="1:19" x14ac:dyDescent="0.25">
      <c r="B1" s="6" t="s">
        <v>77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S1" s="2"/>
    </row>
    <row r="2" spans="1:19" x14ac:dyDescent="0.25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x14ac:dyDescent="0.25">
      <c r="A3" s="5" t="s">
        <v>79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74</v>
      </c>
      <c r="M3" s="3" t="s">
        <v>75</v>
      </c>
      <c r="N3" s="3" t="s">
        <v>76</v>
      </c>
      <c r="O3" s="3" t="s">
        <v>10</v>
      </c>
      <c r="P3" s="3" t="s">
        <v>11</v>
      </c>
      <c r="Q3" s="3" t="s">
        <v>12</v>
      </c>
      <c r="R3" s="5" t="s">
        <v>78</v>
      </c>
    </row>
    <row r="4" spans="1:19" x14ac:dyDescent="0.25">
      <c r="A4" t="s">
        <v>68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0.19805176478976311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1.2378235299360191E-2</v>
      </c>
    </row>
    <row r="5" spans="1:19" x14ac:dyDescent="0.25">
      <c r="A5" t="s">
        <v>67</v>
      </c>
      <c r="B5" s="4">
        <v>0.46125035746902709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2.882814734181419E-2</v>
      </c>
    </row>
    <row r="6" spans="1:19" x14ac:dyDescent="0.25">
      <c r="A6" t="s">
        <v>66</v>
      </c>
      <c r="B6" s="4">
        <v>0</v>
      </c>
      <c r="C6" s="4">
        <v>0.20768324152003359</v>
      </c>
      <c r="D6" s="4">
        <v>0.41148030038061922</v>
      </c>
      <c r="E6" s="4">
        <v>0</v>
      </c>
      <c r="F6" s="4">
        <v>0</v>
      </c>
      <c r="G6" s="4">
        <v>0</v>
      </c>
      <c r="H6" s="4">
        <v>8.8175490387989788E-2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4.4208689518040169E-2</v>
      </c>
    </row>
    <row r="7" spans="1:19" x14ac:dyDescent="0.25">
      <c r="A7" t="s">
        <v>65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0.23854335883361841</v>
      </c>
      <c r="J7" s="4">
        <v>0</v>
      </c>
      <c r="K7" s="4">
        <v>0</v>
      </c>
      <c r="L7" s="4">
        <v>0.24970877713866199</v>
      </c>
      <c r="M7" s="4">
        <v>0</v>
      </c>
      <c r="N7" s="4">
        <v>0.24970877713866199</v>
      </c>
      <c r="O7" s="4">
        <v>0</v>
      </c>
      <c r="P7" s="4">
        <v>0</v>
      </c>
      <c r="Q7" s="4">
        <v>0</v>
      </c>
      <c r="R7" s="4">
        <v>4.6122557069433898E-2</v>
      </c>
    </row>
    <row r="8" spans="1:19" x14ac:dyDescent="0.25">
      <c r="A8" t="s">
        <v>64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1.0297282547135811</v>
      </c>
      <c r="P8" s="4">
        <v>0</v>
      </c>
      <c r="Q8" s="4">
        <v>0</v>
      </c>
      <c r="R8" s="4">
        <v>6.4358015919598818E-2</v>
      </c>
    </row>
    <row r="9" spans="1:19" x14ac:dyDescent="0.25">
      <c r="A9" t="s">
        <v>63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1.443293017348382</v>
      </c>
      <c r="Q9" s="4">
        <v>0</v>
      </c>
      <c r="R9" s="4">
        <v>9.0205813584273875E-2</v>
      </c>
    </row>
    <row r="10" spans="1:19" x14ac:dyDescent="0.25">
      <c r="A10" t="s">
        <v>62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3.1124044880872721</v>
      </c>
      <c r="Q10" s="4">
        <v>0</v>
      </c>
      <c r="R10" s="4">
        <v>0.19452528050545451</v>
      </c>
    </row>
    <row r="11" spans="1:19" x14ac:dyDescent="0.25">
      <c r="A11" t="s">
        <v>61</v>
      </c>
      <c r="B11" s="4">
        <v>3.320824892903397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0.20755155580646231</v>
      </c>
    </row>
    <row r="12" spans="1:19" x14ac:dyDescent="0.25">
      <c r="A12" t="s">
        <v>60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1.6990837690775249</v>
      </c>
      <c r="Q12" s="4">
        <v>2.6848520646512379</v>
      </c>
      <c r="R12" s="4">
        <v>0.27399598960804772</v>
      </c>
    </row>
    <row r="13" spans="1:19" x14ac:dyDescent="0.25">
      <c r="A13" t="s">
        <v>59</v>
      </c>
      <c r="B13" s="4">
        <v>0</v>
      </c>
      <c r="C13" s="4">
        <v>4.6531106044390684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0.29081941277744172</v>
      </c>
    </row>
    <row r="14" spans="1:19" x14ac:dyDescent="0.25">
      <c r="A14" t="s">
        <v>58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6.9876318915519526</v>
      </c>
      <c r="Q14" s="4">
        <v>0</v>
      </c>
      <c r="R14" s="4">
        <v>0.43672699322199698</v>
      </c>
    </row>
    <row r="15" spans="1:19" x14ac:dyDescent="0.25">
      <c r="A15" t="s">
        <v>57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8.3413271051424278</v>
      </c>
      <c r="P15" s="4">
        <v>0</v>
      </c>
      <c r="Q15" s="4">
        <v>0</v>
      </c>
      <c r="R15" s="4">
        <v>0.52133294407140174</v>
      </c>
    </row>
    <row r="16" spans="1:19" x14ac:dyDescent="0.25">
      <c r="A16" t="s">
        <v>56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8.9186176142697882</v>
      </c>
      <c r="Q16" s="4">
        <v>0</v>
      </c>
      <c r="R16" s="4">
        <v>0.55741360089186176</v>
      </c>
    </row>
    <row r="17" spans="1:18" x14ac:dyDescent="0.25">
      <c r="A17" t="s">
        <v>55</v>
      </c>
      <c r="B17" s="4">
        <v>1.2252070599931391</v>
      </c>
      <c r="C17" s="4">
        <v>0.95199471452534501</v>
      </c>
      <c r="D17" s="4">
        <v>0.53106415520526962</v>
      </c>
      <c r="E17" s="4">
        <v>1.052963169980722</v>
      </c>
      <c r="F17" s="4">
        <v>0.89334609031550305</v>
      </c>
      <c r="G17" s="4">
        <v>0.88361703330882757</v>
      </c>
      <c r="H17" s="4">
        <v>1.5744229739800359</v>
      </c>
      <c r="I17" s="4">
        <v>1.5185746995331231</v>
      </c>
      <c r="J17" s="4">
        <v>1.052608566452393</v>
      </c>
      <c r="K17" s="4">
        <v>0.99159253479560183</v>
      </c>
      <c r="L17" s="4">
        <v>1.156857957261535</v>
      </c>
      <c r="M17" s="4">
        <v>0.99159253479560183</v>
      </c>
      <c r="N17" s="4">
        <v>1.156857957261535</v>
      </c>
      <c r="O17" s="4">
        <v>0.41316355616483408</v>
      </c>
      <c r="P17" s="4">
        <v>0</v>
      </c>
      <c r="Q17" s="4">
        <v>0</v>
      </c>
      <c r="R17" s="4">
        <v>0.89961643772334166</v>
      </c>
    </row>
    <row r="18" spans="1:18" x14ac:dyDescent="0.25">
      <c r="A18" t="s">
        <v>54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17.267280230690869</v>
      </c>
      <c r="Q18" s="4">
        <v>0</v>
      </c>
      <c r="R18" s="4">
        <v>1.0792050144181791</v>
      </c>
    </row>
    <row r="19" spans="1:18" x14ac:dyDescent="0.25">
      <c r="A19" t="s">
        <v>53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22.8984909894438</v>
      </c>
      <c r="Q19" s="4">
        <v>0</v>
      </c>
      <c r="R19" s="4">
        <v>1.4311556868402371</v>
      </c>
    </row>
    <row r="20" spans="1:18" x14ac:dyDescent="0.25">
      <c r="A20" t="s">
        <v>52</v>
      </c>
      <c r="B20" s="4">
        <v>0.35017438684464858</v>
      </c>
      <c r="C20" s="4">
        <v>1.162034024356233</v>
      </c>
      <c r="D20" s="4">
        <v>0.83166653498613197</v>
      </c>
      <c r="E20" s="4">
        <v>3.5743965971744389</v>
      </c>
      <c r="F20" s="4">
        <v>0.40857183714326573</v>
      </c>
      <c r="G20" s="4">
        <v>0.35550625868768421</v>
      </c>
      <c r="H20" s="4">
        <v>0.91603053435114501</v>
      </c>
      <c r="I20" s="4">
        <v>0.27102841732955701</v>
      </c>
      <c r="J20" s="4">
        <v>2.7429386473198059</v>
      </c>
      <c r="K20" s="4">
        <v>3.6329343664995011</v>
      </c>
      <c r="L20" s="4">
        <v>2.1192117137913762</v>
      </c>
      <c r="M20" s="4">
        <v>3.6329343664995011</v>
      </c>
      <c r="N20" s="4">
        <v>2.1192117137913762</v>
      </c>
      <c r="O20" s="4">
        <v>3.3301898359578761</v>
      </c>
      <c r="P20" s="4">
        <v>4.8439124886660014</v>
      </c>
      <c r="Q20" s="4">
        <v>7.227052302177511</v>
      </c>
      <c r="R20" s="4">
        <v>2.3448621265985028</v>
      </c>
    </row>
    <row r="21" spans="1:18" x14ac:dyDescent="0.25">
      <c r="A21" t="s">
        <v>51</v>
      </c>
      <c r="B21" s="4">
        <v>11.38174368313226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6.337135614702154</v>
      </c>
      <c r="K21" s="4">
        <v>6.3540475282755118</v>
      </c>
      <c r="L21" s="4">
        <v>0</v>
      </c>
      <c r="M21" s="4">
        <v>6.3540475282755118</v>
      </c>
      <c r="N21" s="4">
        <v>0</v>
      </c>
      <c r="O21" s="4">
        <v>0</v>
      </c>
      <c r="P21" s="4">
        <v>31.770237641377559</v>
      </c>
      <c r="Q21" s="4">
        <v>0</v>
      </c>
      <c r="R21" s="4">
        <v>3.887325749735187</v>
      </c>
    </row>
    <row r="22" spans="1:18" x14ac:dyDescent="0.25">
      <c r="A22" t="s">
        <v>50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83.61204013377926</v>
      </c>
      <c r="R22" s="4">
        <v>5.2257525083612038</v>
      </c>
    </row>
    <row r="23" spans="1:18" x14ac:dyDescent="0.25">
      <c r="A23" t="s">
        <v>49</v>
      </c>
      <c r="B23" s="4">
        <v>4.9138841797498829</v>
      </c>
      <c r="C23" s="4">
        <v>1.2785026177341099</v>
      </c>
      <c r="D23" s="4">
        <v>3.7989831388465021</v>
      </c>
      <c r="E23" s="4">
        <v>5.8190282222868781</v>
      </c>
      <c r="F23" s="4">
        <v>6.2174748347706057</v>
      </c>
      <c r="G23" s="4">
        <v>5.6462439930237522</v>
      </c>
      <c r="H23" s="4">
        <v>11.816001228864129</v>
      </c>
      <c r="I23" s="4">
        <v>7.9708797194250343</v>
      </c>
      <c r="J23" s="4">
        <v>10.276055967511221</v>
      </c>
      <c r="K23" s="4">
        <v>5.5623926632040774</v>
      </c>
      <c r="L23" s="4">
        <v>4.6353272193367303</v>
      </c>
      <c r="M23" s="4">
        <v>5.5623926632040774</v>
      </c>
      <c r="N23" s="4">
        <v>4.6353272193367303</v>
      </c>
      <c r="O23" s="4">
        <v>6.4894581070714228</v>
      </c>
      <c r="P23" s="4">
        <v>4.6353272193367303</v>
      </c>
      <c r="Q23" s="4">
        <v>2.1073927337098541</v>
      </c>
      <c r="R23" s="4">
        <v>5.7102919829632341</v>
      </c>
    </row>
    <row r="24" spans="1:18" x14ac:dyDescent="0.25">
      <c r="A24" t="s">
        <v>48</v>
      </c>
      <c r="B24" s="4">
        <v>11.42074006395614</v>
      </c>
      <c r="C24" s="4">
        <v>14.75056789686403</v>
      </c>
      <c r="D24" s="4">
        <v>12.21597849987784</v>
      </c>
      <c r="E24" s="4">
        <v>0</v>
      </c>
      <c r="F24" s="4">
        <v>9.1085742045178524</v>
      </c>
      <c r="G24" s="4">
        <v>0</v>
      </c>
      <c r="H24" s="4">
        <v>8.7445710787885851</v>
      </c>
      <c r="I24" s="4">
        <v>12.80770511539742</v>
      </c>
      <c r="J24" s="4">
        <v>5.1622228531605714</v>
      </c>
      <c r="K24" s="4">
        <v>10.285155948677071</v>
      </c>
      <c r="L24" s="4">
        <v>0</v>
      </c>
      <c r="M24" s="4">
        <v>10.285155948677071</v>
      </c>
      <c r="N24" s="4">
        <v>0</v>
      </c>
      <c r="O24" s="4">
        <v>0</v>
      </c>
      <c r="P24" s="4">
        <v>0</v>
      </c>
      <c r="Q24" s="4">
        <v>0</v>
      </c>
      <c r="R24" s="4">
        <v>5.9237919756197872</v>
      </c>
    </row>
    <row r="25" spans="1:18" x14ac:dyDescent="0.25">
      <c r="A25" t="s">
        <v>47</v>
      </c>
      <c r="B25" s="4">
        <v>12.665193428074801</v>
      </c>
      <c r="C25" s="4">
        <v>11.646666034008261</v>
      </c>
      <c r="D25" s="4">
        <v>2.1990016532494252</v>
      </c>
      <c r="E25" s="4">
        <v>4.429875077522814</v>
      </c>
      <c r="F25" s="4">
        <v>4.723704370042678</v>
      </c>
      <c r="G25" s="4">
        <v>7.7322455384000284</v>
      </c>
      <c r="H25" s="4">
        <v>5.2805579286634341</v>
      </c>
      <c r="I25" s="4">
        <v>3.884752347037876</v>
      </c>
      <c r="J25" s="4">
        <v>4.2865505457984439</v>
      </c>
      <c r="K25" s="4">
        <v>2.7747987230376281</v>
      </c>
      <c r="L25" s="4">
        <v>3.6072383399489159</v>
      </c>
      <c r="M25" s="4">
        <v>2.7747987230376281</v>
      </c>
      <c r="N25" s="4">
        <v>3.6072383399489159</v>
      </c>
      <c r="O25" s="4">
        <v>3.0522785953413911</v>
      </c>
      <c r="P25" s="4">
        <v>14.01273355134002</v>
      </c>
      <c r="Q25" s="4">
        <v>9.1409100456656525</v>
      </c>
      <c r="R25" s="4">
        <v>5.9886589525698701</v>
      </c>
    </row>
    <row r="26" spans="1:18" x14ac:dyDescent="0.25">
      <c r="A26" t="s">
        <v>46</v>
      </c>
      <c r="B26" s="4">
        <v>34.798281500252067</v>
      </c>
      <c r="C26" s="4">
        <v>20.07053358947157</v>
      </c>
      <c r="D26" s="4">
        <v>3.573910453688077</v>
      </c>
      <c r="E26" s="4">
        <v>5.2848349898355007</v>
      </c>
      <c r="F26" s="4">
        <v>2.1148877523325451</v>
      </c>
      <c r="G26" s="4">
        <v>6.5566195318573657</v>
      </c>
      <c r="H26" s="4">
        <v>5.5740954818320843</v>
      </c>
      <c r="I26" s="4">
        <v>12.820871446287541</v>
      </c>
      <c r="J26" s="4">
        <v>5.7960934330261402</v>
      </c>
      <c r="K26" s="4">
        <v>0</v>
      </c>
      <c r="L26" s="4">
        <v>4.0439731530732299</v>
      </c>
      <c r="M26" s="4">
        <v>0</v>
      </c>
      <c r="N26" s="4">
        <v>4.0439731530732299</v>
      </c>
      <c r="O26" s="4">
        <v>1.010993288268307</v>
      </c>
      <c r="P26" s="4">
        <v>8.3406946282135372</v>
      </c>
      <c r="Q26" s="4">
        <v>16.06711796555442</v>
      </c>
      <c r="R26" s="4">
        <v>8.1310550229228511</v>
      </c>
    </row>
    <row r="27" spans="1:18" x14ac:dyDescent="0.25">
      <c r="A27" t="s">
        <v>45</v>
      </c>
      <c r="B27" s="4">
        <v>16.856142190923901</v>
      </c>
      <c r="C27" s="4">
        <v>12.894490828793399</v>
      </c>
      <c r="D27" s="4">
        <v>20.355417933740029</v>
      </c>
      <c r="E27" s="4">
        <v>17.222573052414031</v>
      </c>
      <c r="F27" s="4">
        <v>17.448555841194882</v>
      </c>
      <c r="G27" s="4">
        <v>9.3769305445238729</v>
      </c>
      <c r="H27" s="4">
        <v>10.126489054185919</v>
      </c>
      <c r="I27" s="4">
        <v>3.8401323368682241</v>
      </c>
      <c r="J27" s="4">
        <v>3.7134227855622122</v>
      </c>
      <c r="K27" s="4">
        <v>5.1988978336592648</v>
      </c>
      <c r="L27" s="4">
        <v>1.5996608718951579</v>
      </c>
      <c r="M27" s="4">
        <v>5.1988978336592648</v>
      </c>
      <c r="N27" s="4">
        <v>1.5996608718951579</v>
      </c>
      <c r="O27" s="4">
        <v>4.3990673977116854</v>
      </c>
      <c r="P27" s="4">
        <v>4.7989826156854747</v>
      </c>
      <c r="Q27" s="4">
        <v>17.006733856762811</v>
      </c>
      <c r="R27" s="4">
        <v>9.4772534905922061</v>
      </c>
    </row>
    <row r="28" spans="1:18" x14ac:dyDescent="0.25">
      <c r="A28" t="s">
        <v>44</v>
      </c>
      <c r="B28" s="4">
        <v>0.42106326896679491</v>
      </c>
      <c r="C28" s="4">
        <v>0.40834326968622903</v>
      </c>
      <c r="D28" s="4">
        <v>7.7304906827243878</v>
      </c>
      <c r="E28" s="4">
        <v>13.24218297386324</v>
      </c>
      <c r="F28" s="4">
        <v>11.321694631252409</v>
      </c>
      <c r="G28" s="4">
        <v>5.6646651516464184</v>
      </c>
      <c r="H28" s="4">
        <v>1.200174025233659</v>
      </c>
      <c r="I28" s="4">
        <v>4.5959490539047376</v>
      </c>
      <c r="J28" s="4">
        <v>10.809073779231969</v>
      </c>
      <c r="K28" s="4">
        <v>12.261366054986439</v>
      </c>
      <c r="L28" s="4">
        <v>10.873286878950241</v>
      </c>
      <c r="M28" s="4">
        <v>12.261366054986439</v>
      </c>
      <c r="N28" s="4">
        <v>10.873286878950241</v>
      </c>
      <c r="O28" s="4">
        <v>9.9479007615927753</v>
      </c>
      <c r="P28" s="4">
        <v>13.418098701683279</v>
      </c>
      <c r="Q28" s="4">
        <v>27.321998111622449</v>
      </c>
      <c r="R28" s="4">
        <v>9.5219337674551063</v>
      </c>
    </row>
    <row r="29" spans="1:18" x14ac:dyDescent="0.25">
      <c r="A29" t="s">
        <v>43</v>
      </c>
      <c r="B29" s="4">
        <v>17.66614203578197</v>
      </c>
      <c r="C29" s="4">
        <v>28.25124776344289</v>
      </c>
      <c r="D29" s="4">
        <v>14.255011184701081</v>
      </c>
      <c r="E29" s="4">
        <v>17.134757075875822</v>
      </c>
      <c r="F29" s="4">
        <v>8.7138375740676199</v>
      </c>
      <c r="G29" s="4">
        <v>9.17541953398527</v>
      </c>
      <c r="H29" s="4">
        <v>0.40934619226171959</v>
      </c>
      <c r="I29" s="4">
        <v>3.7729521254296969</v>
      </c>
      <c r="J29" s="4">
        <v>4.7170215868060623</v>
      </c>
      <c r="K29" s="4">
        <v>2.119820747957553</v>
      </c>
      <c r="L29" s="4">
        <v>1.6958565983660421</v>
      </c>
      <c r="M29" s="4">
        <v>2.119820747957553</v>
      </c>
      <c r="N29" s="4">
        <v>1.6958565983660421</v>
      </c>
      <c r="O29" s="4">
        <v>2.119820747957553</v>
      </c>
      <c r="P29" s="4">
        <v>13.14288863733683</v>
      </c>
      <c r="Q29" s="4">
        <v>28.334070019153831</v>
      </c>
      <c r="R29" s="4">
        <v>9.7077418230904673</v>
      </c>
    </row>
    <row r="30" spans="1:18" x14ac:dyDescent="0.25">
      <c r="A30" t="s">
        <v>42</v>
      </c>
      <c r="B30" s="4">
        <v>0</v>
      </c>
      <c r="C30" s="4">
        <v>14.684647201350989</v>
      </c>
      <c r="D30" s="4">
        <v>2.4868816990375771</v>
      </c>
      <c r="E30" s="4">
        <v>34.60023421697008</v>
      </c>
      <c r="F30" s="4">
        <v>20.5301922139246</v>
      </c>
      <c r="G30" s="4">
        <v>8.597607408681128</v>
      </c>
      <c r="H30" s="4">
        <v>14.2918393597256</v>
      </c>
      <c r="I30" s="4">
        <v>6.7781292363307726</v>
      </c>
      <c r="J30" s="4">
        <v>5.738156445097319</v>
      </c>
      <c r="K30" s="4">
        <v>4.5543562417452286</v>
      </c>
      <c r="L30" s="4">
        <v>12.524479664799379</v>
      </c>
      <c r="M30" s="4">
        <v>4.5543562417452286</v>
      </c>
      <c r="N30" s="4">
        <v>12.524479664799379</v>
      </c>
      <c r="O30" s="4">
        <v>11.38589060436307</v>
      </c>
      <c r="P30" s="4">
        <v>12.524479664799379</v>
      </c>
      <c r="Q30" s="4">
        <v>10.839787934330589</v>
      </c>
      <c r="R30" s="4">
        <v>11.038469862356269</v>
      </c>
    </row>
    <row r="31" spans="1:18" x14ac:dyDescent="0.25">
      <c r="A31" t="s">
        <v>41</v>
      </c>
      <c r="B31" s="4">
        <v>34.196891191709852</v>
      </c>
      <c r="C31" s="4">
        <v>31.66983365003167</v>
      </c>
      <c r="D31" s="4">
        <v>26.813245743397239</v>
      </c>
      <c r="E31" s="4">
        <v>17.085684708814711</v>
      </c>
      <c r="F31" s="4">
        <v>16.970805500426628</v>
      </c>
      <c r="G31" s="4">
        <v>15.427587774854659</v>
      </c>
      <c r="H31" s="4">
        <v>10.236867914683961</v>
      </c>
      <c r="I31" s="4">
        <v>5.3933230660442373</v>
      </c>
      <c r="J31" s="4">
        <v>7.4461171883461503</v>
      </c>
      <c r="K31" s="4">
        <v>3.4964923824145511</v>
      </c>
      <c r="L31" s="4">
        <v>19.07177663135209</v>
      </c>
      <c r="M31" s="4">
        <v>3.4964923824145511</v>
      </c>
      <c r="N31" s="4">
        <v>19.07177663135209</v>
      </c>
      <c r="O31" s="4">
        <v>8.582299484108443</v>
      </c>
      <c r="P31" s="4">
        <v>17.48246191207275</v>
      </c>
      <c r="Q31" s="4">
        <v>30.866203132107351</v>
      </c>
      <c r="R31" s="4">
        <v>16.70674120588318</v>
      </c>
    </row>
    <row r="32" spans="1:18" x14ac:dyDescent="0.25">
      <c r="A32" t="s">
        <v>40</v>
      </c>
      <c r="B32" s="4">
        <v>30.18488240472897</v>
      </c>
      <c r="C32" s="4">
        <v>26.107615591468029</v>
      </c>
      <c r="D32" s="4">
        <v>24.775472282440379</v>
      </c>
      <c r="E32" s="4">
        <v>16.182800919183091</v>
      </c>
      <c r="F32" s="4">
        <v>29.068922415046071</v>
      </c>
      <c r="G32" s="4">
        <v>30.479357162648931</v>
      </c>
      <c r="H32" s="4">
        <v>22.166805209199229</v>
      </c>
      <c r="I32" s="4">
        <v>13.190654421342479</v>
      </c>
      <c r="J32" s="4">
        <v>31.723472832017869</v>
      </c>
      <c r="K32" s="4">
        <v>20.07816141407622</v>
      </c>
      <c r="L32" s="4">
        <v>2.8683087734394608</v>
      </c>
      <c r="M32" s="4">
        <v>20.07816141407622</v>
      </c>
      <c r="N32" s="4">
        <v>2.8683087734394608</v>
      </c>
      <c r="O32" s="4">
        <v>4.3024631601591912</v>
      </c>
      <c r="P32" s="4">
        <v>12.907389480477571</v>
      </c>
      <c r="Q32" s="4">
        <v>2.9076529425447779</v>
      </c>
      <c r="R32" s="4">
        <v>18.118151824767999</v>
      </c>
    </row>
    <row r="33" spans="1:18" x14ac:dyDescent="0.25">
      <c r="A33" t="s">
        <v>39</v>
      </c>
      <c r="B33" s="4">
        <v>17.71896623532249</v>
      </c>
      <c r="C33" s="4">
        <v>29.410056060650071</v>
      </c>
      <c r="D33" s="4">
        <v>26.59759621992821</v>
      </c>
      <c r="E33" s="4">
        <v>20.58835746445348</v>
      </c>
      <c r="F33" s="4">
        <v>26.909420266075099</v>
      </c>
      <c r="G33" s="4">
        <v>18.196734457213001</v>
      </c>
      <c r="H33" s="4">
        <v>17.29256550467408</v>
      </c>
      <c r="I33" s="4">
        <v>17.274164871370669</v>
      </c>
      <c r="J33" s="4">
        <v>17.414030815638661</v>
      </c>
      <c r="K33" s="4">
        <v>17.911873581976671</v>
      </c>
      <c r="L33" s="4">
        <v>29.853122636627791</v>
      </c>
      <c r="M33" s="4">
        <v>17.911873581976671</v>
      </c>
      <c r="N33" s="4">
        <v>29.853122636627791</v>
      </c>
      <c r="O33" s="4">
        <v>52.882674384883522</v>
      </c>
      <c r="P33" s="4">
        <v>78.47106521627876</v>
      </c>
      <c r="Q33" s="4">
        <v>19.34764935362108</v>
      </c>
      <c r="R33" s="4">
        <v>27.352079580457382</v>
      </c>
    </row>
    <row r="34" spans="1:18" x14ac:dyDescent="0.25">
      <c r="A34" t="s">
        <v>38</v>
      </c>
      <c r="B34" s="4">
        <v>15.17353634939764</v>
      </c>
      <c r="C34" s="4">
        <v>14.946722799914509</v>
      </c>
      <c r="D34" s="4">
        <v>11.81430566396398</v>
      </c>
      <c r="E34" s="4">
        <v>15.4146407735537</v>
      </c>
      <c r="F34" s="4">
        <v>16.356084158156008</v>
      </c>
      <c r="G34" s="4">
        <v>10.91268159549762</v>
      </c>
      <c r="H34" s="4">
        <v>19.019664061635069</v>
      </c>
      <c r="I34" s="4">
        <v>32.790710418253909</v>
      </c>
      <c r="J34" s="4">
        <v>49.048212479639339</v>
      </c>
      <c r="K34" s="4">
        <v>50.760375521576009</v>
      </c>
      <c r="L34" s="4">
        <v>35.681300237100928</v>
      </c>
      <c r="M34" s="4">
        <v>50.760375521576009</v>
      </c>
      <c r="N34" s="4">
        <v>35.681300237100928</v>
      </c>
      <c r="O34" s="4">
        <v>39.977083312329292</v>
      </c>
      <c r="P34" s="4">
        <v>31.034840992466162</v>
      </c>
      <c r="Q34" s="4">
        <v>31.107328668631489</v>
      </c>
      <c r="R34" s="4">
        <v>28.779947674424541</v>
      </c>
    </row>
    <row r="35" spans="1:18" x14ac:dyDescent="0.25">
      <c r="A35" t="s">
        <v>37</v>
      </c>
      <c r="B35" s="4">
        <v>24.72187886279357</v>
      </c>
      <c r="C35" s="4">
        <v>57.11294084051211</v>
      </c>
      <c r="D35" s="4">
        <v>29.3151464464007</v>
      </c>
      <c r="E35" s="4">
        <v>26.816616245841331</v>
      </c>
      <c r="F35" s="4">
        <v>12.211006186909801</v>
      </c>
      <c r="G35" s="4">
        <v>13.72890896360466</v>
      </c>
      <c r="H35" s="4">
        <v>11.61088068529998</v>
      </c>
      <c r="I35" s="4">
        <v>51.759834368530022</v>
      </c>
      <c r="J35" s="4">
        <v>53.957379732638159</v>
      </c>
      <c r="K35" s="4">
        <v>29.513760790968789</v>
      </c>
      <c r="L35" s="4">
        <v>20.659632553678151</v>
      </c>
      <c r="M35" s="4">
        <v>29.513760790968789</v>
      </c>
      <c r="N35" s="4">
        <v>20.659632553678151</v>
      </c>
      <c r="O35" s="4">
        <v>44.270641186453183</v>
      </c>
      <c r="P35" s="4">
        <v>33.64568730170442</v>
      </c>
      <c r="Q35" s="4">
        <v>24.825805597391639</v>
      </c>
      <c r="R35" s="4">
        <v>30.270219569210841</v>
      </c>
    </row>
    <row r="36" spans="1:18" x14ac:dyDescent="0.25">
      <c r="A36" t="s">
        <v>36</v>
      </c>
      <c r="B36" s="4">
        <v>27.090440747696171</v>
      </c>
      <c r="C36" s="4">
        <v>45.254453449623568</v>
      </c>
      <c r="D36" s="4">
        <v>27.632067694035999</v>
      </c>
      <c r="E36" s="4">
        <v>28.768826984274519</v>
      </c>
      <c r="F36" s="4">
        <v>58.823289120550967</v>
      </c>
      <c r="G36" s="4">
        <v>42.795691480825333</v>
      </c>
      <c r="H36" s="4">
        <v>36.320485308225066</v>
      </c>
      <c r="I36" s="4">
        <v>29.320132337836021</v>
      </c>
      <c r="J36" s="4">
        <v>24.209362567483598</v>
      </c>
      <c r="K36" s="4">
        <v>33.984744625745783</v>
      </c>
      <c r="L36" s="4">
        <v>37.760827361939747</v>
      </c>
      <c r="M36" s="4">
        <v>33.984744625745783</v>
      </c>
      <c r="N36" s="4">
        <v>37.760827361939747</v>
      </c>
      <c r="O36" s="4">
        <v>39.315684959196091</v>
      </c>
      <c r="P36" s="4">
        <v>34.4289896535333</v>
      </c>
      <c r="Q36" s="4">
        <v>21.02585128415387</v>
      </c>
      <c r="R36" s="4">
        <v>34.904776222675338</v>
      </c>
    </row>
    <row r="37" spans="1:18" x14ac:dyDescent="0.25">
      <c r="A37" t="s">
        <v>35</v>
      </c>
      <c r="B37" s="4">
        <v>46.749136939010363</v>
      </c>
      <c r="C37" s="4">
        <v>41.229612562905473</v>
      </c>
      <c r="D37" s="4">
        <v>40.268287465237137</v>
      </c>
      <c r="E37" s="4">
        <v>38.547145646037727</v>
      </c>
      <c r="F37" s="4">
        <v>42.342921741492468</v>
      </c>
      <c r="G37" s="4">
        <v>29.000862292305492</v>
      </c>
      <c r="H37" s="4">
        <v>8.8243552204083269</v>
      </c>
      <c r="I37" s="4">
        <v>59.832602417370843</v>
      </c>
      <c r="J37" s="4">
        <v>32.934541673296742</v>
      </c>
      <c r="K37" s="4">
        <v>29.855936326068971</v>
      </c>
      <c r="L37" s="4">
        <v>35.827123591282771</v>
      </c>
      <c r="M37" s="4">
        <v>29.855936326068971</v>
      </c>
      <c r="N37" s="4">
        <v>35.827123591282771</v>
      </c>
      <c r="O37" s="4">
        <v>42.852049785651943</v>
      </c>
      <c r="P37" s="4">
        <v>31.612167874661271</v>
      </c>
      <c r="Q37" s="4">
        <v>30.70558195158214</v>
      </c>
      <c r="R37" s="4">
        <v>36.016586587791473</v>
      </c>
    </row>
    <row r="38" spans="1:18" x14ac:dyDescent="0.25">
      <c r="A38" t="s">
        <v>34</v>
      </c>
      <c r="B38" s="4">
        <v>35.40111560094558</v>
      </c>
      <c r="C38" s="4">
        <v>49.165589706130241</v>
      </c>
      <c r="D38" s="4">
        <v>40.940151478560473</v>
      </c>
      <c r="E38" s="4">
        <v>34.50148845948523</v>
      </c>
      <c r="F38" s="4">
        <v>42.871115209120561</v>
      </c>
      <c r="G38" s="4">
        <v>26.606491984044101</v>
      </c>
      <c r="H38" s="4">
        <v>28.583157805887751</v>
      </c>
      <c r="I38" s="4">
        <v>31.07291966802822</v>
      </c>
      <c r="J38" s="4">
        <v>38.969574650000872</v>
      </c>
      <c r="K38" s="4">
        <v>42.606200252962367</v>
      </c>
      <c r="L38" s="4">
        <v>37.06548362813767</v>
      </c>
      <c r="M38" s="4">
        <v>42.606200252962367</v>
      </c>
      <c r="N38" s="4">
        <v>37.06548362813767</v>
      </c>
      <c r="O38" s="4">
        <v>46.61844332611129</v>
      </c>
      <c r="P38" s="4">
        <v>52.159159950936001</v>
      </c>
      <c r="Q38" s="4">
        <v>18.2281458251666</v>
      </c>
      <c r="R38" s="4">
        <v>37.778795089163573</v>
      </c>
    </row>
    <row r="39" spans="1:18" x14ac:dyDescent="0.25">
      <c r="A39" t="s">
        <v>33</v>
      </c>
      <c r="B39" s="4">
        <v>11.57947961818596</v>
      </c>
      <c r="C39" s="4">
        <v>8.4916183866697033</v>
      </c>
      <c r="D39" s="4">
        <v>13.895375541823149</v>
      </c>
      <c r="E39" s="4">
        <v>13.509392887883619</v>
      </c>
      <c r="F39" s="4">
        <v>9.6495663484882996</v>
      </c>
      <c r="G39" s="4">
        <v>52.975454705986223</v>
      </c>
      <c r="H39" s="4">
        <v>57.88784858552301</v>
      </c>
      <c r="I39" s="4">
        <v>25.713551041398819</v>
      </c>
      <c r="J39" s="4">
        <v>38.767644979589967</v>
      </c>
      <c r="K39" s="4">
        <v>41.980136766866629</v>
      </c>
      <c r="L39" s="4">
        <v>46.399098531799957</v>
      </c>
      <c r="M39" s="4">
        <v>41.980136766866629</v>
      </c>
      <c r="N39" s="4">
        <v>46.399098531799957</v>
      </c>
      <c r="O39" s="4">
        <v>57.446502944133272</v>
      </c>
      <c r="P39" s="4">
        <v>97.217158828533229</v>
      </c>
      <c r="Q39" s="4">
        <v>145.766692310807</v>
      </c>
      <c r="R39" s="4">
        <v>44.353672298522213</v>
      </c>
    </row>
    <row r="40" spans="1:18" x14ac:dyDescent="0.25">
      <c r="A40" t="s">
        <v>32</v>
      </c>
      <c r="B40" s="4">
        <v>36.455925610874722</v>
      </c>
      <c r="C40" s="4">
        <v>41.400963997895253</v>
      </c>
      <c r="D40" s="4">
        <v>42.556370555588991</v>
      </c>
      <c r="E40" s="4">
        <v>45.131766399201027</v>
      </c>
      <c r="F40" s="4">
        <v>50.420554520826038</v>
      </c>
      <c r="G40" s="4">
        <v>43.781577944561477</v>
      </c>
      <c r="H40" s="4">
        <v>52.888247650020212</v>
      </c>
      <c r="I40" s="4">
        <v>40.580087205340021</v>
      </c>
      <c r="J40" s="4">
        <v>45.557819181675917</v>
      </c>
      <c r="K40" s="4">
        <v>77.715794018326079</v>
      </c>
      <c r="L40" s="4">
        <v>69.446098450725728</v>
      </c>
      <c r="M40" s="4">
        <v>77.715794018326079</v>
      </c>
      <c r="N40" s="4">
        <v>69.446098450725728</v>
      </c>
      <c r="O40" s="4">
        <v>59.991563459697268</v>
      </c>
      <c r="P40" s="4">
        <v>76.458413405708484</v>
      </c>
      <c r="Q40" s="4">
        <v>78.795166612420658</v>
      </c>
      <c r="R40" s="4">
        <v>56.771390092619598</v>
      </c>
    </row>
    <row r="41" spans="1:18" x14ac:dyDescent="0.25">
      <c r="A41" t="s">
        <v>31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462.96296296296288</v>
      </c>
      <c r="L41" s="4">
        <v>0</v>
      </c>
      <c r="M41" s="4">
        <v>462.96296296296288</v>
      </c>
      <c r="N41" s="4">
        <v>0</v>
      </c>
      <c r="O41" s="4">
        <v>0</v>
      </c>
      <c r="P41" s="4">
        <v>0</v>
      </c>
      <c r="Q41" s="4">
        <v>0</v>
      </c>
      <c r="R41" s="4">
        <v>57.870370370370367</v>
      </c>
    </row>
    <row r="42" spans="1:18" x14ac:dyDescent="0.25">
      <c r="A42" t="s">
        <v>30</v>
      </c>
      <c r="B42" s="4">
        <v>197.2108747710945</v>
      </c>
      <c r="C42" s="4">
        <v>41.530703055473147</v>
      </c>
      <c r="D42" s="4">
        <v>53.409293217019759</v>
      </c>
      <c r="E42" s="4">
        <v>0</v>
      </c>
      <c r="F42" s="4">
        <v>56.017178601437777</v>
      </c>
      <c r="G42" s="4">
        <v>151.28593040847201</v>
      </c>
      <c r="H42" s="4">
        <v>145.9397477327218</v>
      </c>
      <c r="I42" s="4">
        <v>7.0851636672807139</v>
      </c>
      <c r="J42" s="4">
        <v>75.732987125392199</v>
      </c>
      <c r="K42" s="4">
        <v>25.688230509055099</v>
      </c>
      <c r="L42" s="4">
        <v>59.939204521128573</v>
      </c>
      <c r="M42" s="4">
        <v>25.688230509055099</v>
      </c>
      <c r="N42" s="4">
        <v>59.939204521128573</v>
      </c>
      <c r="O42" s="4">
        <v>68.501948024146941</v>
      </c>
      <c r="P42" s="4">
        <v>25.688230509055099</v>
      </c>
      <c r="Q42" s="4">
        <v>27.711577897245469</v>
      </c>
      <c r="R42" s="4">
        <v>63.835531566856673</v>
      </c>
    </row>
    <row r="43" spans="1:18" x14ac:dyDescent="0.25">
      <c r="A43" t="s">
        <v>29</v>
      </c>
      <c r="B43" s="4">
        <v>19.01823637554677</v>
      </c>
      <c r="C43" s="4">
        <v>10.36785136648281</v>
      </c>
      <c r="D43" s="4">
        <v>11.43013899049012</v>
      </c>
      <c r="E43" s="4">
        <v>3.0668261416260321</v>
      </c>
      <c r="F43" s="4">
        <v>11.94124905465112</v>
      </c>
      <c r="G43" s="4">
        <v>66.713613283421665</v>
      </c>
      <c r="H43" s="4">
        <v>65.203216692023474</v>
      </c>
      <c r="I43" s="4">
        <v>90.777661970883898</v>
      </c>
      <c r="J43" s="4">
        <v>118.5055822366369</v>
      </c>
      <c r="K43" s="4">
        <v>93.837467035544975</v>
      </c>
      <c r="L43" s="4">
        <v>139.1383131906357</v>
      </c>
      <c r="M43" s="4">
        <v>93.837467035544975</v>
      </c>
      <c r="N43" s="4">
        <v>139.1383131906357</v>
      </c>
      <c r="O43" s="4">
        <v>126.19521428918119</v>
      </c>
      <c r="P43" s="4">
        <v>45.300846155090682</v>
      </c>
      <c r="Q43" s="4">
        <v>171.76639769912919</v>
      </c>
      <c r="R43" s="4">
        <v>75.389899669220327</v>
      </c>
    </row>
    <row r="44" spans="1:18" x14ac:dyDescent="0.25">
      <c r="A44" t="s">
        <v>28</v>
      </c>
      <c r="B44" s="4">
        <v>68.766609151248758</v>
      </c>
      <c r="C44" s="4">
        <v>52.931189453710182</v>
      </c>
      <c r="D44" s="4">
        <v>45.709516025656953</v>
      </c>
      <c r="E44" s="4">
        <v>55.106902448426872</v>
      </c>
      <c r="F44" s="4">
        <v>55.744427351613361</v>
      </c>
      <c r="G44" s="4">
        <v>34.727787572794782</v>
      </c>
      <c r="H44" s="4">
        <v>68.546096318441329</v>
      </c>
      <c r="I44" s="4">
        <v>89.309730717097352</v>
      </c>
      <c r="J44" s="4">
        <v>151.38303541151959</v>
      </c>
      <c r="K44" s="4">
        <v>98.607776364082738</v>
      </c>
      <c r="L44" s="4">
        <v>55.008470285748622</v>
      </c>
      <c r="M44" s="4">
        <v>98.607776364082738</v>
      </c>
      <c r="N44" s="4">
        <v>55.008470285748622</v>
      </c>
      <c r="O44" s="4">
        <v>124.074660755633</v>
      </c>
      <c r="P44" s="4">
        <v>114.0916420741453</v>
      </c>
      <c r="Q44" s="4">
        <v>98.919849657375835</v>
      </c>
      <c r="R44" s="4">
        <v>79.158996264832879</v>
      </c>
    </row>
    <row r="45" spans="1:18" x14ac:dyDescent="0.25">
      <c r="A45" t="s">
        <v>27</v>
      </c>
      <c r="B45" s="4">
        <v>0</v>
      </c>
      <c r="C45" s="4">
        <v>205.3388090349076</v>
      </c>
      <c r="D45" s="4">
        <v>567.10775047258983</v>
      </c>
      <c r="E45" s="4">
        <v>0</v>
      </c>
      <c r="F45" s="4">
        <v>0</v>
      </c>
      <c r="G45" s="4">
        <v>0</v>
      </c>
      <c r="H45" s="4">
        <v>500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79.527909969218598</v>
      </c>
    </row>
    <row r="46" spans="1:18" x14ac:dyDescent="0.25">
      <c r="A46" t="s">
        <v>26</v>
      </c>
      <c r="B46" s="4">
        <v>221.8430034129693</v>
      </c>
      <c r="C46" s="4">
        <v>0</v>
      </c>
      <c r="D46" s="4">
        <v>46.61570016781652</v>
      </c>
      <c r="E46" s="4">
        <v>0</v>
      </c>
      <c r="F46" s="4">
        <v>0</v>
      </c>
      <c r="G46" s="4">
        <v>0</v>
      </c>
      <c r="H46" s="4">
        <v>0</v>
      </c>
      <c r="I46" s="4">
        <v>65.919578114700059</v>
      </c>
      <c r="J46" s="4">
        <v>177.47057724640391</v>
      </c>
      <c r="K46" s="4">
        <v>140.0928114876105</v>
      </c>
      <c r="L46" s="4">
        <v>113.8254093336836</v>
      </c>
      <c r="M46" s="4">
        <v>140.0928114876105</v>
      </c>
      <c r="N46" s="4">
        <v>113.8254093336836</v>
      </c>
      <c r="O46" s="4">
        <v>0</v>
      </c>
      <c r="P46" s="4">
        <v>0</v>
      </c>
      <c r="Q46" s="4">
        <v>329.70656116056711</v>
      </c>
      <c r="R46" s="4">
        <v>84.336991359065308</v>
      </c>
    </row>
    <row r="47" spans="1:18" x14ac:dyDescent="0.25">
      <c r="A47" t="s">
        <v>25</v>
      </c>
      <c r="B47" s="4">
        <v>358.37353549276361</v>
      </c>
      <c r="C47" s="4">
        <v>0</v>
      </c>
      <c r="D47" s="4">
        <v>58.927519151443732</v>
      </c>
      <c r="E47" s="4">
        <v>0</v>
      </c>
      <c r="F47" s="4">
        <v>0</v>
      </c>
      <c r="G47" s="4">
        <v>0</v>
      </c>
      <c r="H47" s="4">
        <v>0</v>
      </c>
      <c r="I47" s="4">
        <v>94.284030642309958</v>
      </c>
      <c r="J47" s="4">
        <v>223.92457277548621</v>
      </c>
      <c r="K47" s="4">
        <v>188.56806128461989</v>
      </c>
      <c r="L47" s="4">
        <v>153.2115497937537</v>
      </c>
      <c r="M47" s="4">
        <v>188.56806128461989</v>
      </c>
      <c r="N47" s="4">
        <v>153.2115497937537</v>
      </c>
      <c r="O47" s="4">
        <v>0</v>
      </c>
      <c r="P47" s="4">
        <v>0</v>
      </c>
      <c r="Q47" s="4">
        <v>117.85503830288749</v>
      </c>
      <c r="R47" s="4">
        <v>96.057744907602384</v>
      </c>
    </row>
    <row r="48" spans="1:18" x14ac:dyDescent="0.25">
      <c r="A48" t="s">
        <v>24</v>
      </c>
      <c r="B48" s="4">
        <v>43.147593465148283</v>
      </c>
      <c r="C48" s="4">
        <v>61.076311685287457</v>
      </c>
      <c r="D48" s="4">
        <v>69.789412579855195</v>
      </c>
      <c r="E48" s="4">
        <v>58.986677232430289</v>
      </c>
      <c r="F48" s="4">
        <v>78.939998680488628</v>
      </c>
      <c r="G48" s="4">
        <v>71.312826776907357</v>
      </c>
      <c r="H48" s="4">
        <v>67.288380601501842</v>
      </c>
      <c r="I48" s="4">
        <v>74.983160736030413</v>
      </c>
      <c r="J48" s="4">
        <v>87.490101149186572</v>
      </c>
      <c r="K48" s="4">
        <v>146.30935273505921</v>
      </c>
      <c r="L48" s="4">
        <v>104.0257855865993</v>
      </c>
      <c r="M48" s="4">
        <v>146.30935273505921</v>
      </c>
      <c r="N48" s="4">
        <v>104.0257855865993</v>
      </c>
      <c r="O48" s="4">
        <v>124.30547701508399</v>
      </c>
      <c r="P48" s="4">
        <v>164.78275585817269</v>
      </c>
      <c r="Q48" s="4">
        <v>201.88387087004091</v>
      </c>
      <c r="R48" s="4">
        <v>100.2910527058407</v>
      </c>
    </row>
    <row r="49" spans="1:18" x14ac:dyDescent="0.25">
      <c r="A49" t="s">
        <v>23</v>
      </c>
      <c r="B49" s="4">
        <v>58.105752469494483</v>
      </c>
      <c r="C49" s="4">
        <v>1420.454545454545</v>
      </c>
      <c r="D49" s="4">
        <v>272.62813522355509</v>
      </c>
      <c r="E49" s="4">
        <v>117.5088131609871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33.506449991623391</v>
      </c>
      <c r="Q49" s="4">
        <v>0</v>
      </c>
      <c r="R49" s="4">
        <v>118.88773101876281</v>
      </c>
    </row>
    <row r="50" spans="1:18" x14ac:dyDescent="0.25">
      <c r="A50" t="s">
        <v>22</v>
      </c>
      <c r="B50" s="4">
        <v>88.028169014084511</v>
      </c>
      <c r="C50" s="4">
        <v>168.56300042140751</v>
      </c>
      <c r="D50" s="4">
        <v>379.86704653371322</v>
      </c>
      <c r="E50" s="4">
        <v>302.50648228176323</v>
      </c>
      <c r="F50" s="4">
        <v>153.6098310291859</v>
      </c>
      <c r="G50" s="4">
        <v>445.70502431118308</v>
      </c>
      <c r="H50" s="4">
        <v>136.89253935660511</v>
      </c>
      <c r="I50" s="4">
        <v>364.72148541114058</v>
      </c>
      <c r="J50" s="4">
        <v>139.27576601671311</v>
      </c>
      <c r="K50" s="4">
        <v>423.85709960641839</v>
      </c>
      <c r="L50" s="4">
        <v>0</v>
      </c>
      <c r="M50" s="4">
        <v>423.85709960641839</v>
      </c>
      <c r="N50" s="4">
        <v>0</v>
      </c>
      <c r="O50" s="4">
        <v>0</v>
      </c>
      <c r="P50" s="4">
        <v>0</v>
      </c>
      <c r="Q50" s="4">
        <v>0</v>
      </c>
      <c r="R50" s="4">
        <v>189.1802214742896</v>
      </c>
    </row>
    <row r="51" spans="1:18" x14ac:dyDescent="0.25">
      <c r="A51" t="s">
        <v>21</v>
      </c>
      <c r="B51" s="4">
        <v>38.436195914781457</v>
      </c>
      <c r="C51" s="4">
        <v>247.8604498900996</v>
      </c>
      <c r="D51" s="4">
        <v>193.3488012374323</v>
      </c>
      <c r="E51" s="4">
        <v>121.4517723485383</v>
      </c>
      <c r="F51" s="4">
        <v>337.51938455924841</v>
      </c>
      <c r="G51" s="4">
        <v>425.70012466932218</v>
      </c>
      <c r="H51" s="4">
        <v>209.35757803862529</v>
      </c>
      <c r="I51" s="4">
        <v>104.52169961372419</v>
      </c>
      <c r="J51" s="4">
        <v>233.61672406733939</v>
      </c>
      <c r="K51" s="4">
        <v>177.71334369994511</v>
      </c>
      <c r="L51" s="4">
        <v>135.6233412446949</v>
      </c>
      <c r="M51" s="4">
        <v>177.71334369994511</v>
      </c>
      <c r="N51" s="4">
        <v>135.6233412446949</v>
      </c>
      <c r="O51" s="4">
        <v>79.503337971028046</v>
      </c>
      <c r="P51" s="4">
        <v>250.20168126176469</v>
      </c>
      <c r="Q51" s="4">
        <v>173.7585913970191</v>
      </c>
      <c r="R51" s="4">
        <v>190.1218569286377</v>
      </c>
    </row>
    <row r="52" spans="1:18" x14ac:dyDescent="0.25">
      <c r="A52" t="s">
        <v>20</v>
      </c>
      <c r="B52" s="4">
        <v>774.19354838709683</v>
      </c>
      <c r="C52" s="4">
        <v>96.805421103581807</v>
      </c>
      <c r="D52" s="4">
        <v>0</v>
      </c>
      <c r="E52" s="4">
        <v>131.57894736842101</v>
      </c>
      <c r="F52" s="4">
        <v>0</v>
      </c>
      <c r="G52" s="4">
        <v>766.28352490421457</v>
      </c>
      <c r="H52" s="4">
        <v>0</v>
      </c>
      <c r="I52" s="4">
        <v>0</v>
      </c>
      <c r="J52" s="4">
        <v>111.2347052280311</v>
      </c>
      <c r="K52" s="4">
        <v>90.867787369377552</v>
      </c>
      <c r="L52" s="4">
        <v>0</v>
      </c>
      <c r="M52" s="4">
        <v>90.867787369377552</v>
      </c>
      <c r="N52" s="4">
        <v>0</v>
      </c>
      <c r="O52" s="4">
        <v>90.867787369377552</v>
      </c>
      <c r="P52" s="4">
        <v>181.7355747387551</v>
      </c>
      <c r="Q52" s="4">
        <v>796.81274900398409</v>
      </c>
      <c r="R52" s="4">
        <v>195.7029895526386</v>
      </c>
    </row>
    <row r="53" spans="1:18" x14ac:dyDescent="0.25">
      <c r="A53" t="s">
        <v>19</v>
      </c>
      <c r="B53" s="4">
        <v>0</v>
      </c>
      <c r="C53" s="4">
        <v>0</v>
      </c>
      <c r="D53" s="4">
        <v>0</v>
      </c>
      <c r="E53" s="4">
        <v>0</v>
      </c>
      <c r="F53" s="4">
        <v>3333.333333333333</v>
      </c>
      <c r="G53" s="4">
        <v>0</v>
      </c>
      <c r="H53" s="4">
        <v>0</v>
      </c>
      <c r="I53" s="4">
        <v>0</v>
      </c>
      <c r="J53" s="4">
        <v>0</v>
      </c>
      <c r="K53" s="4">
        <v>199.60079840319361</v>
      </c>
      <c r="L53" s="4">
        <v>0</v>
      </c>
      <c r="M53" s="4">
        <v>199.60079840319361</v>
      </c>
      <c r="N53" s="4">
        <v>0</v>
      </c>
      <c r="O53" s="4">
        <v>0</v>
      </c>
      <c r="P53" s="4">
        <v>0</v>
      </c>
      <c r="Q53" s="4">
        <v>0</v>
      </c>
      <c r="R53" s="4">
        <v>233.2834331337325</v>
      </c>
    </row>
    <row r="54" spans="1:18" x14ac:dyDescent="0.25">
      <c r="A54" t="s">
        <v>18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5555.5555555555557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347.22222222222217</v>
      </c>
    </row>
    <row r="55" spans="1:18" x14ac:dyDescent="0.25">
      <c r="A55" t="s">
        <v>17</v>
      </c>
      <c r="B55" s="4">
        <v>198.93204900010471</v>
      </c>
      <c r="C55" s="4">
        <v>301.09812256464761</v>
      </c>
      <c r="D55" s="4">
        <v>750.16307893020223</v>
      </c>
      <c r="E55" s="4">
        <v>812.85078382039876</v>
      </c>
      <c r="F55" s="4">
        <v>363.88140161725067</v>
      </c>
      <c r="G55" s="4">
        <v>396.65430714840051</v>
      </c>
      <c r="H55" s="4">
        <v>572.40559024680351</v>
      </c>
      <c r="I55" s="4">
        <v>486.44512461740271</v>
      </c>
      <c r="J55" s="4">
        <v>519.51343132285865</v>
      </c>
      <c r="K55" s="4">
        <v>275.82159624413151</v>
      </c>
      <c r="L55" s="4">
        <v>193.66197183098589</v>
      </c>
      <c r="M55" s="4">
        <v>275.82159624413151</v>
      </c>
      <c r="N55" s="4">
        <v>193.66197183098589</v>
      </c>
      <c r="O55" s="4">
        <v>534.03755868544602</v>
      </c>
      <c r="P55" s="4">
        <v>1115.0234741784041</v>
      </c>
      <c r="Q55" s="4">
        <v>148.214021046391</v>
      </c>
      <c r="R55" s="4">
        <v>446.13662995803412</v>
      </c>
    </row>
    <row r="56" spans="1:18" x14ac:dyDescent="0.25">
      <c r="A56" t="s">
        <v>16</v>
      </c>
      <c r="B56" s="4">
        <v>0</v>
      </c>
      <c r="C56" s="4">
        <v>6666.666666666667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3030.30303030303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606.06060606060612</v>
      </c>
    </row>
    <row r="57" spans="1:18" x14ac:dyDescent="0.25">
      <c r="A57" t="s">
        <v>15</v>
      </c>
      <c r="B57" s="4">
        <v>2188.8680425265788</v>
      </c>
      <c r="C57" s="4">
        <v>1963.746223564955</v>
      </c>
      <c r="D57" s="4">
        <v>1284.916201117318</v>
      </c>
      <c r="E57" s="4">
        <v>624.25683709869202</v>
      </c>
      <c r="F57" s="4">
        <v>998.46390168970811</v>
      </c>
      <c r="G57" s="4">
        <v>993.9083039435717</v>
      </c>
      <c r="H57" s="4">
        <v>898.20359281437118</v>
      </c>
      <c r="I57" s="4">
        <v>432.4843825084094</v>
      </c>
      <c r="J57" s="4">
        <v>640.36885245901647</v>
      </c>
      <c r="K57" s="4">
        <v>520.70419042896106</v>
      </c>
      <c r="L57" s="4">
        <v>446.3178775105381</v>
      </c>
      <c r="M57" s="4">
        <v>520.70419042896106</v>
      </c>
      <c r="N57" s="4">
        <v>446.3178775105381</v>
      </c>
      <c r="O57" s="4">
        <v>619.88594098685849</v>
      </c>
      <c r="P57" s="4">
        <v>347.13612695264072</v>
      </c>
      <c r="Q57" s="4">
        <v>691.87052137385717</v>
      </c>
      <c r="R57" s="4">
        <v>851.13456643218615</v>
      </c>
    </row>
    <row r="58" spans="1:18" x14ac:dyDescent="0.25">
      <c r="A58" t="s">
        <v>14</v>
      </c>
      <c r="B58" s="4">
        <v>0</v>
      </c>
      <c r="C58" s="4">
        <v>7692.3076923076924</v>
      </c>
      <c r="D58" s="4">
        <v>0</v>
      </c>
      <c r="E58" s="4">
        <v>0</v>
      </c>
      <c r="F58" s="4">
        <v>2702.7027027027029</v>
      </c>
      <c r="G58" s="4">
        <v>1666.666666666667</v>
      </c>
      <c r="H58" s="4">
        <v>1459.8540145985401</v>
      </c>
      <c r="I58" s="4">
        <v>840.33613445378148</v>
      </c>
      <c r="J58" s="4">
        <v>1612.903225806451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1646.0905349794241</v>
      </c>
      <c r="Q58" s="4">
        <v>0</v>
      </c>
      <c r="R58" s="4">
        <v>1101.303810719704</v>
      </c>
    </row>
    <row r="59" spans="1:18" x14ac:dyDescent="0.25">
      <c r="A59" t="s">
        <v>13</v>
      </c>
      <c r="B59" s="4">
        <v>8888.8888888888887</v>
      </c>
      <c r="C59" s="4">
        <v>344.82758620689663</v>
      </c>
      <c r="D59" s="4">
        <v>1036.269430051814</v>
      </c>
      <c r="E59" s="4">
        <v>396.82539682539681</v>
      </c>
      <c r="F59" s="4">
        <v>1020.408163265306</v>
      </c>
      <c r="G59" s="4">
        <v>1298.701298701299</v>
      </c>
      <c r="H59" s="4">
        <v>943.39622641509425</v>
      </c>
      <c r="I59" s="4">
        <v>1851.851851851852</v>
      </c>
      <c r="J59" s="4">
        <v>493.82716049382708</v>
      </c>
      <c r="K59" s="4">
        <v>352.73368606701939</v>
      </c>
      <c r="L59" s="4">
        <v>0</v>
      </c>
      <c r="M59" s="4">
        <v>352.73368606701939</v>
      </c>
      <c r="N59" s="4">
        <v>0</v>
      </c>
      <c r="O59" s="4">
        <v>0</v>
      </c>
      <c r="P59" s="4">
        <v>0</v>
      </c>
      <c r="Q59" s="4">
        <v>30120.481927710851</v>
      </c>
      <c r="R59" s="4">
        <v>2943.8090814090792</v>
      </c>
    </row>
    <row r="60" spans="1:18" x14ac:dyDescent="0.25">
      <c r="A60" t="s">
        <v>78</v>
      </c>
      <c r="B60" s="4">
        <f>AVERAGE(B4:B59)</f>
        <v>241.76009641925916</v>
      </c>
      <c r="C60" s="4">
        <f>AVERAGE(C4:C59)</f>
        <v>352.309353600149</v>
      </c>
      <c r="D60" s="4">
        <f>AVERAGE(D4:D59)</f>
        <v>91.48535587547714</v>
      </c>
      <c r="E60" s="4">
        <f>AVERAGE(E4:E59)</f>
        <v>53.268696510559501</v>
      </c>
      <c r="F60" s="4">
        <f>AVERAGE(F4:F59)</f>
        <v>169.6368945839568</v>
      </c>
      <c r="G60" s="4">
        <f>AVERAGE(G4:G59)</f>
        <v>118.85270827690533</v>
      </c>
      <c r="H60" s="4">
        <f>AVERAGE(H4:H59)</f>
        <v>96.284635073367113</v>
      </c>
      <c r="I60" s="4">
        <f>AVERAGE(I4:I59)</f>
        <v>141.0437595049917</v>
      </c>
      <c r="J60" s="4">
        <f>AVERAGE(J4:J59)</f>
        <v>188.24038773606094</v>
      </c>
      <c r="K60" s="4">
        <f>AVERAGE(K4:K59)</f>
        <v>64.26792861646075</v>
      </c>
      <c r="L60" s="4">
        <f>AVERAGE(L4:L59)</f>
        <v>31.748041015507397</v>
      </c>
      <c r="M60" s="4">
        <f>AVERAGE(M4:M59)</f>
        <v>64.26792861646075</v>
      </c>
      <c r="N60" s="4">
        <f>AVERAGE(N4:N59)</f>
        <v>31.748041015507397</v>
      </c>
      <c r="O60" s="4">
        <f>AVERAGE(O4:O59)</f>
        <v>39.555913381317204</v>
      </c>
      <c r="P60" s="4">
        <f>AVERAGE(P4:P59)</f>
        <v>81.40694300829206</v>
      </c>
      <c r="Q60" s="4">
        <f>AVERAGE(Q4:Q59)</f>
        <v>597.98034176723547</v>
      </c>
      <c r="R60" s="4"/>
    </row>
  </sheetData>
  <mergeCells count="1">
    <mergeCell ref="B1:M2"/>
  </mergeCells>
  <conditionalFormatting sqref="R4:R59">
    <cfRule type="cellIs" dxfId="0" priority="2" operator="greaterThan">
      <formula>148</formula>
    </cfRule>
    <cfRule type="cellIs" dxfId="1" priority="1" operator="lessThan">
      <formula>148</formula>
    </cfRule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36.85546875" bestFit="1" customWidth="1"/>
    <col min="2" max="2" width="48.140625" bestFit="1" customWidth="1"/>
  </cols>
  <sheetData>
    <row r="1" spans="1:17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4" spans="1:17" x14ac:dyDescent="0.25">
      <c r="A4" s="5" t="s">
        <v>79</v>
      </c>
      <c r="B4" s="5" t="s">
        <v>80</v>
      </c>
    </row>
    <row r="5" spans="1:17" x14ac:dyDescent="0.25">
      <c r="A5" t="s">
        <v>69</v>
      </c>
      <c r="B5">
        <v>48</v>
      </c>
    </row>
    <row r="6" spans="1:17" x14ac:dyDescent="0.25">
      <c r="A6" t="s">
        <v>70</v>
      </c>
      <c r="B6">
        <v>13</v>
      </c>
    </row>
    <row r="7" spans="1:17" x14ac:dyDescent="0.25">
      <c r="A7" t="s">
        <v>71</v>
      </c>
      <c r="B7">
        <v>9</v>
      </c>
    </row>
    <row r="8" spans="1:17" x14ac:dyDescent="0.25">
      <c r="A8" t="s">
        <v>72</v>
      </c>
      <c r="B8">
        <v>11</v>
      </c>
    </row>
    <row r="9" spans="1:17" x14ac:dyDescent="0.25">
      <c r="A9" t="s">
        <v>73</v>
      </c>
      <c r="B9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tabSelected="1" workbookViewId="0">
      <selection activeCell="P8" sqref="P8"/>
    </sheetView>
  </sheetViews>
  <sheetFormatPr baseColWidth="10" defaultColWidth="9.140625" defaultRowHeight="15" x14ac:dyDescent="0.25"/>
  <sheetData>
    <row r="1" spans="1:2" x14ac:dyDescent="0.25">
      <c r="A1" s="1"/>
      <c r="B1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Mean Score</vt:lpstr>
      <vt:lpstr>Mountains</vt:lpstr>
      <vt:lpstr>Bar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TORRES RAMOS</cp:lastModifiedBy>
  <dcterms:created xsi:type="dcterms:W3CDTF">2025-10-10T19:30:36Z</dcterms:created>
  <dcterms:modified xsi:type="dcterms:W3CDTF">2025-10-10T21:50:22Z</dcterms:modified>
</cp:coreProperties>
</file>