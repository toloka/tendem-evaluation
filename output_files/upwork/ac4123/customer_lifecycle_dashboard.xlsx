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8DC0F609-0049-40F2-A2A1-2D806942CC98}" xr6:coauthVersionLast="47" xr6:coauthVersionMax="47" xr10:uidLastSave="{00000000-0000-0000-0000-000000000000}"/>
  <bookViews>
    <workbookView xWindow="-110" yWindow="-110" windowWidth="19420" windowHeight="10300" firstSheet="10" activeTab="11" xr2:uid="{3AC26563-0DC6-4698-84E2-5F2F049E8A0A}"/>
  </bookViews>
  <sheets>
    <sheet name="Data - Sheet1" sheetId="1" r:id="rId1"/>
    <sheet name="KPI Card (Total Active.C)" sheetId="37" r:id="rId2"/>
    <sheet name="KPI Card (Average Customer LTV)" sheetId="46" r:id="rId3"/>
    <sheet name="KPI Card (MRR)" sheetId="45" r:id="rId4"/>
    <sheet name="KPI Card ( Churn rate)" sheetId="48" r:id="rId5"/>
    <sheet name="Retention rate by product line" sheetId="3" r:id="rId6"/>
    <sheet name="Churn analysis by customer sgt" sheetId="7" r:id="rId7"/>
    <sheet name="Customer health score breakdown" sheetId="21" r:id="rId8"/>
    <sheet name="Time series retention trend" sheetId="22" r:id="rId9"/>
    <sheet name="Retention drivers analysis" sheetId="53" r:id="rId10"/>
    <sheet name="Month over month trend" sheetId="5" r:id="rId11"/>
    <sheet name="Dashboard Page" sheetId="35" r:id="rId12"/>
  </sheets>
  <definedNames>
    <definedName name="Churn">'KPI Card ( Churn rate)'!$B$7</definedName>
    <definedName name="LTV">'KPI Card (Average Customer LTV)'!$A$4</definedName>
    <definedName name="MRR">'KPI Card (MRR)'!$A$5</definedName>
    <definedName name="Slicer_Months__Subscription_Start_Date">#N/A</definedName>
    <definedName name="Slicer_Quarters__Subscription_Start_Date">#N/A</definedName>
    <definedName name="TAC">'KPI Card (Total Active.C)'!$A$4</definedName>
  </definedNames>
  <calcPr calcId="0"/>
  <pivotCaches>
    <pivotCache cacheId="326"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F14" i="22" l="1"/>
  <c r="R2" i="1"/>
  <c r="S2" i="1" s="1"/>
  <c r="R3" i="1"/>
  <c r="S3" i="1" s="1"/>
  <c r="R4" i="1"/>
  <c r="S4" i="1" s="1"/>
  <c r="R5" i="1"/>
  <c r="S5" i="1" s="1"/>
  <c r="R6" i="1"/>
  <c r="S6" i="1" s="1"/>
  <c r="R7" i="1"/>
  <c r="S7" i="1" s="1"/>
  <c r="R8" i="1"/>
  <c r="S8" i="1" s="1"/>
  <c r="R9" i="1"/>
  <c r="S9" i="1" s="1"/>
  <c r="R10" i="1"/>
  <c r="S10" i="1" s="1"/>
  <c r="R11" i="1"/>
  <c r="S11" i="1" s="1"/>
  <c r="R12" i="1"/>
  <c r="S12" i="1" s="1"/>
  <c r="R13" i="1"/>
  <c r="S13" i="1" s="1"/>
  <c r="R14" i="1"/>
  <c r="S14" i="1" s="1"/>
  <c r="R15" i="1"/>
  <c r="S15" i="1" s="1"/>
  <c r="R16" i="1"/>
  <c r="S16" i="1" s="1"/>
  <c r="R17" i="1"/>
  <c r="S17" i="1" s="1"/>
  <c r="R18" i="1"/>
  <c r="S18" i="1" s="1"/>
  <c r="R19" i="1"/>
  <c r="S19" i="1" s="1"/>
  <c r="R20" i="1"/>
  <c r="S20" i="1" s="1"/>
  <c r="R21" i="1"/>
  <c r="S21" i="1" s="1"/>
  <c r="R22" i="1"/>
  <c r="S22" i="1" s="1"/>
  <c r="R23" i="1"/>
  <c r="S23" i="1" s="1"/>
  <c r="R24" i="1"/>
  <c r="S24" i="1" s="1"/>
  <c r="R25" i="1"/>
  <c r="S25" i="1" s="1"/>
  <c r="R26" i="1"/>
  <c r="S26" i="1" s="1"/>
  <c r="R27" i="1"/>
  <c r="S27" i="1" s="1"/>
  <c r="R28" i="1"/>
  <c r="S28" i="1" s="1"/>
  <c r="R29" i="1"/>
  <c r="S29" i="1" s="1"/>
  <c r="R30" i="1"/>
  <c r="S30" i="1" s="1"/>
  <c r="R31" i="1"/>
  <c r="S31" i="1" s="1"/>
  <c r="R32" i="1"/>
  <c r="S32" i="1" s="1"/>
  <c r="R33" i="1"/>
  <c r="S33" i="1" s="1"/>
  <c r="R34" i="1"/>
  <c r="S34" i="1" s="1"/>
  <c r="R35" i="1"/>
  <c r="S35" i="1" s="1"/>
  <c r="R36" i="1"/>
  <c r="S36" i="1" s="1"/>
  <c r="R37" i="1"/>
  <c r="S37" i="1" s="1"/>
  <c r="R38" i="1"/>
  <c r="S38" i="1" s="1"/>
  <c r="R39" i="1"/>
  <c r="S39" i="1" s="1"/>
  <c r="R40" i="1"/>
  <c r="S40" i="1" s="1"/>
  <c r="R41" i="1"/>
  <c r="S41" i="1" s="1"/>
  <c r="R42" i="1"/>
  <c r="S42" i="1" s="1"/>
  <c r="R43" i="1"/>
  <c r="S43" i="1" s="1"/>
  <c r="R44" i="1"/>
  <c r="S44" i="1" s="1"/>
  <c r="R45" i="1"/>
  <c r="S45" i="1" s="1"/>
  <c r="R46" i="1"/>
  <c r="S46" i="1" s="1"/>
  <c r="R47" i="1"/>
  <c r="S47" i="1" s="1"/>
  <c r="R48" i="1"/>
  <c r="S48" i="1" s="1"/>
  <c r="R49" i="1"/>
  <c r="S49" i="1" s="1"/>
  <c r="R50" i="1"/>
  <c r="S50" i="1" s="1"/>
  <c r="R51" i="1"/>
  <c r="S51" i="1" s="1"/>
  <c r="R52" i="1"/>
  <c r="S52" i="1" s="1"/>
  <c r="R53" i="1"/>
  <c r="S53" i="1" s="1"/>
  <c r="R54" i="1"/>
  <c r="S54" i="1" s="1"/>
  <c r="R55" i="1"/>
  <c r="S55" i="1" s="1"/>
  <c r="R56" i="1"/>
  <c r="S56" i="1" s="1"/>
  <c r="R57" i="1"/>
  <c r="S57" i="1" s="1"/>
  <c r="R58" i="1"/>
  <c r="S58" i="1" s="1"/>
  <c r="R59" i="1"/>
  <c r="S59" i="1" s="1"/>
  <c r="R60" i="1"/>
  <c r="S60" i="1" s="1"/>
  <c r="R61" i="1"/>
  <c r="S61" i="1" s="1"/>
  <c r="R62" i="1"/>
  <c r="S62" i="1" s="1"/>
  <c r="R63" i="1"/>
  <c r="S63" i="1" s="1"/>
  <c r="R64" i="1"/>
  <c r="S64" i="1" s="1"/>
  <c r="R65" i="1"/>
  <c r="S65" i="1" s="1"/>
  <c r="R66" i="1"/>
  <c r="S66" i="1" s="1"/>
  <c r="R67" i="1"/>
  <c r="S67" i="1" s="1"/>
  <c r="R68" i="1"/>
  <c r="S68" i="1" s="1"/>
  <c r="R69" i="1"/>
  <c r="S69" i="1" s="1"/>
  <c r="R70" i="1"/>
  <c r="S70" i="1" s="1"/>
  <c r="R71" i="1"/>
  <c r="S71" i="1" s="1"/>
  <c r="R72" i="1"/>
  <c r="S72" i="1" s="1"/>
  <c r="R73" i="1"/>
  <c r="S73" i="1" s="1"/>
  <c r="R74" i="1"/>
  <c r="S74" i="1" s="1"/>
  <c r="R75" i="1"/>
  <c r="S75" i="1" s="1"/>
  <c r="R76" i="1"/>
  <c r="S76" i="1" s="1"/>
  <c r="R77" i="1"/>
  <c r="S77" i="1" s="1"/>
  <c r="R78" i="1"/>
  <c r="S78" i="1" s="1"/>
  <c r="R79" i="1"/>
  <c r="S79" i="1" s="1"/>
  <c r="R80" i="1"/>
  <c r="S80" i="1" s="1"/>
  <c r="R81" i="1"/>
  <c r="S81" i="1" s="1"/>
  <c r="R82" i="1"/>
  <c r="S82" i="1" s="1"/>
  <c r="R83" i="1"/>
  <c r="S83" i="1" s="1"/>
  <c r="R84" i="1"/>
  <c r="S84" i="1" s="1"/>
  <c r="R85" i="1"/>
  <c r="S85" i="1" s="1"/>
  <c r="R86" i="1"/>
  <c r="S86" i="1" s="1"/>
  <c r="R87" i="1"/>
  <c r="S87" i="1" s="1"/>
  <c r="R88" i="1"/>
  <c r="S88" i="1" s="1"/>
  <c r="R89" i="1"/>
  <c r="S89" i="1" s="1"/>
  <c r="R90" i="1"/>
  <c r="S90" i="1" s="1"/>
  <c r="R91" i="1"/>
  <c r="S91" i="1" s="1"/>
  <c r="R92" i="1"/>
  <c r="S92" i="1" s="1"/>
  <c r="R93" i="1"/>
  <c r="S93" i="1" s="1"/>
  <c r="R94" i="1"/>
  <c r="S94" i="1" s="1"/>
  <c r="R95" i="1"/>
  <c r="S95" i="1" s="1"/>
  <c r="R96" i="1"/>
  <c r="S96" i="1" s="1"/>
  <c r="R97" i="1"/>
  <c r="S97" i="1" s="1"/>
  <c r="R98" i="1"/>
  <c r="S98" i="1" s="1"/>
  <c r="R99" i="1"/>
  <c r="S99" i="1" s="1"/>
  <c r="R100" i="1"/>
  <c r="S100" i="1" s="1"/>
  <c r="R101" i="1"/>
  <c r="S101" i="1" s="1"/>
  <c r="R102" i="1"/>
  <c r="S102" i="1" s="1"/>
  <c r="R103" i="1"/>
  <c r="S103" i="1" s="1"/>
  <c r="R104" i="1"/>
  <c r="S104" i="1" s="1"/>
  <c r="R105" i="1"/>
  <c r="S105" i="1" s="1"/>
  <c r="R106" i="1"/>
  <c r="S106" i="1" s="1"/>
  <c r="R107" i="1"/>
  <c r="S107" i="1" s="1"/>
  <c r="R108" i="1"/>
  <c r="S108" i="1" s="1"/>
  <c r="R109" i="1"/>
  <c r="S109" i="1" s="1"/>
  <c r="R110" i="1"/>
  <c r="S110" i="1" s="1"/>
  <c r="R111" i="1"/>
  <c r="S111" i="1" s="1"/>
  <c r="R112" i="1"/>
  <c r="S112" i="1" s="1"/>
  <c r="R113" i="1"/>
  <c r="S113" i="1" s="1"/>
  <c r="R114" i="1"/>
  <c r="S114" i="1" s="1"/>
  <c r="R115" i="1"/>
  <c r="S115" i="1" s="1"/>
  <c r="R116" i="1"/>
  <c r="S116" i="1" s="1"/>
  <c r="R117" i="1"/>
  <c r="S117" i="1" s="1"/>
  <c r="R118" i="1"/>
  <c r="S118" i="1" s="1"/>
  <c r="R119" i="1"/>
  <c r="S119" i="1" s="1"/>
  <c r="R120" i="1"/>
  <c r="S120" i="1" s="1"/>
  <c r="R121" i="1"/>
  <c r="S121" i="1" s="1"/>
  <c r="R122" i="1"/>
  <c r="S122" i="1" s="1"/>
  <c r="R123" i="1"/>
  <c r="S123" i="1" s="1"/>
  <c r="R124" i="1"/>
  <c r="S124" i="1" s="1"/>
  <c r="R125" i="1"/>
  <c r="S125" i="1" s="1"/>
  <c r="R126" i="1"/>
  <c r="S126" i="1" s="1"/>
  <c r="R127" i="1"/>
  <c r="S127" i="1" s="1"/>
  <c r="R128" i="1"/>
  <c r="S128" i="1" s="1"/>
  <c r="R129" i="1"/>
  <c r="S129" i="1" s="1"/>
  <c r="R130" i="1"/>
  <c r="S130" i="1" s="1"/>
  <c r="R131" i="1"/>
  <c r="S131" i="1" s="1"/>
  <c r="R132" i="1"/>
  <c r="S132" i="1" s="1"/>
  <c r="R133" i="1"/>
  <c r="S133" i="1" s="1"/>
  <c r="R134" i="1"/>
  <c r="S134" i="1" s="1"/>
  <c r="R135" i="1"/>
  <c r="S135" i="1" s="1"/>
  <c r="R136" i="1"/>
  <c r="S136" i="1" s="1"/>
  <c r="R137" i="1"/>
  <c r="S137" i="1" s="1"/>
  <c r="R138" i="1"/>
  <c r="S138" i="1" s="1"/>
  <c r="R139" i="1"/>
  <c r="S139" i="1" s="1"/>
  <c r="R140" i="1"/>
  <c r="S140" i="1" s="1"/>
  <c r="R141" i="1"/>
  <c r="S141" i="1" s="1"/>
  <c r="R142" i="1"/>
  <c r="S142" i="1" s="1"/>
  <c r="R143" i="1"/>
  <c r="S143" i="1" s="1"/>
  <c r="R144" i="1"/>
  <c r="S144" i="1" s="1"/>
  <c r="R145" i="1"/>
  <c r="S145" i="1" s="1"/>
  <c r="R146" i="1"/>
  <c r="S146" i="1" s="1"/>
  <c r="R147" i="1"/>
  <c r="S147" i="1" s="1"/>
  <c r="R148" i="1"/>
  <c r="S148" i="1" s="1"/>
  <c r="R149" i="1"/>
  <c r="S149" i="1" s="1"/>
  <c r="R150" i="1"/>
  <c r="S150" i="1" s="1"/>
  <c r="R151" i="1"/>
  <c r="S151" i="1" s="1"/>
  <c r="R152" i="1"/>
  <c r="S152" i="1" s="1"/>
  <c r="R153" i="1"/>
  <c r="S153" i="1" s="1"/>
  <c r="R154" i="1"/>
  <c r="S154" i="1" s="1"/>
  <c r="R155" i="1"/>
  <c r="S155" i="1" s="1"/>
  <c r="R156" i="1"/>
  <c r="S156" i="1" s="1"/>
  <c r="R157" i="1"/>
  <c r="S157" i="1" s="1"/>
  <c r="R158" i="1"/>
  <c r="S158" i="1" s="1"/>
  <c r="R159" i="1"/>
  <c r="S159" i="1" s="1"/>
  <c r="R160" i="1"/>
  <c r="S160" i="1" s="1"/>
  <c r="R161" i="1"/>
  <c r="S161" i="1" s="1"/>
  <c r="R162" i="1"/>
  <c r="S162" i="1" s="1"/>
  <c r="R163" i="1"/>
  <c r="S163" i="1" s="1"/>
  <c r="R164" i="1"/>
  <c r="S164" i="1" s="1"/>
  <c r="R165" i="1"/>
  <c r="S165" i="1" s="1"/>
  <c r="R166" i="1"/>
  <c r="S166" i="1" s="1"/>
  <c r="R167" i="1"/>
  <c r="S167" i="1" s="1"/>
  <c r="R168" i="1"/>
  <c r="S168" i="1" s="1"/>
  <c r="R169" i="1"/>
  <c r="S169" i="1" s="1"/>
  <c r="R170" i="1"/>
  <c r="S170" i="1" s="1"/>
  <c r="R171" i="1"/>
  <c r="S171" i="1" s="1"/>
  <c r="R172" i="1"/>
  <c r="S172" i="1" s="1"/>
  <c r="R173" i="1"/>
  <c r="S173" i="1" s="1"/>
  <c r="R174" i="1"/>
  <c r="S174" i="1" s="1"/>
  <c r="R175" i="1"/>
  <c r="S175" i="1" s="1"/>
  <c r="R176" i="1"/>
  <c r="S176" i="1" s="1"/>
  <c r="R177" i="1"/>
  <c r="S177" i="1" s="1"/>
  <c r="R178" i="1"/>
  <c r="S178" i="1" s="1"/>
  <c r="R179" i="1"/>
  <c r="S179" i="1" s="1"/>
  <c r="R180" i="1"/>
  <c r="S180" i="1" s="1"/>
  <c r="R181" i="1"/>
  <c r="S181" i="1" s="1"/>
  <c r="R182" i="1"/>
  <c r="S182" i="1" s="1"/>
  <c r="R183" i="1"/>
  <c r="S183" i="1" s="1"/>
  <c r="R184" i="1"/>
  <c r="S184" i="1" s="1"/>
  <c r="R185" i="1"/>
  <c r="S185" i="1" s="1"/>
  <c r="R186" i="1"/>
  <c r="S186" i="1" s="1"/>
  <c r="R187" i="1"/>
  <c r="S187" i="1" s="1"/>
  <c r="R188" i="1"/>
  <c r="S188" i="1" s="1"/>
  <c r="R189" i="1"/>
  <c r="S189" i="1" s="1"/>
  <c r="R190" i="1"/>
  <c r="S190" i="1" s="1"/>
  <c r="R191" i="1"/>
  <c r="S191" i="1" s="1"/>
  <c r="R192" i="1"/>
  <c r="S192" i="1" s="1"/>
  <c r="R193" i="1"/>
  <c r="S193" i="1" s="1"/>
  <c r="R194" i="1"/>
  <c r="S194" i="1" s="1"/>
  <c r="R195" i="1"/>
  <c r="S195" i="1" s="1"/>
  <c r="R196" i="1"/>
  <c r="S196" i="1" s="1"/>
  <c r="R197" i="1"/>
  <c r="S197" i="1" s="1"/>
  <c r="R198" i="1"/>
  <c r="S198" i="1" s="1"/>
  <c r="R199" i="1"/>
  <c r="S199" i="1" s="1"/>
  <c r="R200" i="1"/>
  <c r="S200" i="1" s="1"/>
  <c r="R201" i="1"/>
  <c r="S201" i="1" s="1"/>
  <c r="R202" i="1"/>
  <c r="S202" i="1" s="1"/>
  <c r="R203" i="1"/>
  <c r="S203" i="1" s="1"/>
  <c r="R204" i="1"/>
  <c r="S204" i="1" s="1"/>
  <c r="R205" i="1"/>
  <c r="S205" i="1" s="1"/>
  <c r="R206" i="1"/>
  <c r="S206" i="1" s="1"/>
  <c r="R207" i="1"/>
  <c r="S207" i="1" s="1"/>
  <c r="R208" i="1"/>
  <c r="S208" i="1" s="1"/>
  <c r="R209" i="1"/>
  <c r="S209" i="1" s="1"/>
  <c r="R210" i="1"/>
  <c r="S210" i="1" s="1"/>
  <c r="R211" i="1"/>
  <c r="S211" i="1" s="1"/>
  <c r="R212" i="1"/>
  <c r="S212" i="1" s="1"/>
  <c r="R213" i="1"/>
  <c r="S213" i="1" s="1"/>
  <c r="R214" i="1"/>
  <c r="S214" i="1" s="1"/>
  <c r="R215" i="1"/>
  <c r="S215" i="1" s="1"/>
  <c r="R216" i="1"/>
  <c r="S216" i="1" s="1"/>
  <c r="R217" i="1"/>
  <c r="S217" i="1" s="1"/>
  <c r="R218" i="1"/>
  <c r="S218" i="1" s="1"/>
  <c r="R219" i="1"/>
  <c r="S219" i="1" s="1"/>
  <c r="R220" i="1"/>
  <c r="S220" i="1" s="1"/>
  <c r="R221" i="1"/>
  <c r="S221" i="1" s="1"/>
  <c r="R222" i="1"/>
  <c r="S222" i="1" s="1"/>
  <c r="R223" i="1"/>
  <c r="S223" i="1" s="1"/>
  <c r="R224" i="1"/>
  <c r="S224" i="1" s="1"/>
  <c r="R225" i="1"/>
  <c r="S225" i="1" s="1"/>
  <c r="R226" i="1"/>
  <c r="S226" i="1" s="1"/>
  <c r="R227" i="1"/>
  <c r="S227" i="1" s="1"/>
  <c r="R228" i="1"/>
  <c r="S228" i="1" s="1"/>
  <c r="R229" i="1"/>
  <c r="S229" i="1" s="1"/>
  <c r="R230" i="1"/>
  <c r="S230" i="1" s="1"/>
  <c r="R231" i="1"/>
  <c r="S231" i="1" s="1"/>
  <c r="R232" i="1"/>
  <c r="S232" i="1" s="1"/>
  <c r="R233" i="1"/>
  <c r="S233" i="1" s="1"/>
  <c r="R234" i="1"/>
  <c r="S234" i="1" s="1"/>
  <c r="R235" i="1"/>
  <c r="S235" i="1" s="1"/>
  <c r="R236" i="1"/>
  <c r="S236" i="1" s="1"/>
  <c r="R237" i="1"/>
  <c r="S237" i="1" s="1"/>
  <c r="R238" i="1"/>
  <c r="S238" i="1" s="1"/>
  <c r="R239" i="1"/>
  <c r="S239" i="1" s="1"/>
  <c r="R240" i="1"/>
  <c r="S240" i="1" s="1"/>
  <c r="R241" i="1"/>
  <c r="S241" i="1" s="1"/>
  <c r="R242" i="1"/>
  <c r="S242" i="1" s="1"/>
  <c r="R243" i="1"/>
  <c r="S243" i="1" s="1"/>
  <c r="R244" i="1"/>
  <c r="S244" i="1" s="1"/>
  <c r="R245" i="1"/>
  <c r="S245" i="1" s="1"/>
  <c r="R246" i="1"/>
  <c r="S246" i="1" s="1"/>
  <c r="R247" i="1"/>
  <c r="S247" i="1" s="1"/>
  <c r="R248" i="1"/>
  <c r="S248" i="1" s="1"/>
  <c r="R249" i="1"/>
  <c r="S249" i="1" s="1"/>
  <c r="R250" i="1"/>
  <c r="S250" i="1" s="1"/>
  <c r="R251" i="1"/>
  <c r="S251" i="1" s="1"/>
  <c r="R252" i="1"/>
  <c r="S252" i="1" s="1"/>
  <c r="R253" i="1"/>
  <c r="S253" i="1" s="1"/>
  <c r="R254" i="1"/>
  <c r="S254" i="1" s="1"/>
  <c r="R255" i="1"/>
  <c r="S255" i="1" s="1"/>
  <c r="R256" i="1"/>
  <c r="S256" i="1" s="1"/>
  <c r="R257" i="1"/>
  <c r="S257" i="1" s="1"/>
  <c r="R258" i="1"/>
  <c r="S258" i="1" s="1"/>
  <c r="R259" i="1"/>
  <c r="S259" i="1" s="1"/>
  <c r="R260" i="1"/>
  <c r="S260" i="1" s="1"/>
  <c r="R261" i="1"/>
  <c r="S261" i="1" s="1"/>
  <c r="R262" i="1"/>
  <c r="S262" i="1" s="1"/>
  <c r="R263" i="1"/>
  <c r="S263" i="1" s="1"/>
  <c r="R264" i="1"/>
  <c r="S264" i="1" s="1"/>
  <c r="R265" i="1"/>
  <c r="S265" i="1" s="1"/>
  <c r="R266" i="1"/>
  <c r="S266" i="1" s="1"/>
  <c r="R267" i="1"/>
  <c r="S267" i="1" s="1"/>
  <c r="R268" i="1"/>
  <c r="S268" i="1" s="1"/>
  <c r="R269" i="1"/>
  <c r="S269" i="1" s="1"/>
  <c r="R270" i="1"/>
  <c r="S270" i="1" s="1"/>
  <c r="R271" i="1"/>
  <c r="S271" i="1" s="1"/>
  <c r="R272" i="1"/>
  <c r="S272" i="1" s="1"/>
  <c r="R273" i="1"/>
  <c r="S273" i="1" s="1"/>
  <c r="R274" i="1"/>
  <c r="S274" i="1" s="1"/>
  <c r="R275" i="1"/>
  <c r="S275" i="1" s="1"/>
  <c r="R276" i="1"/>
  <c r="S276" i="1" s="1"/>
  <c r="R277" i="1"/>
  <c r="S277" i="1" s="1"/>
  <c r="R278" i="1"/>
  <c r="S278" i="1" s="1"/>
  <c r="R279" i="1"/>
  <c r="S279" i="1" s="1"/>
  <c r="R280" i="1"/>
  <c r="S280" i="1" s="1"/>
  <c r="R281" i="1"/>
  <c r="S281" i="1" s="1"/>
  <c r="R282" i="1"/>
  <c r="S282" i="1" s="1"/>
  <c r="R283" i="1"/>
  <c r="S283" i="1" s="1"/>
  <c r="R284" i="1"/>
  <c r="S284" i="1" s="1"/>
  <c r="R285" i="1"/>
  <c r="S285" i="1" s="1"/>
  <c r="R286" i="1"/>
  <c r="S286" i="1" s="1"/>
  <c r="R287" i="1"/>
  <c r="S287" i="1" s="1"/>
  <c r="R288" i="1"/>
  <c r="S288" i="1" s="1"/>
  <c r="R289" i="1"/>
  <c r="S289" i="1" s="1"/>
  <c r="R290" i="1"/>
  <c r="S290" i="1" s="1"/>
  <c r="R291" i="1"/>
  <c r="S291" i="1" s="1"/>
  <c r="R292" i="1"/>
  <c r="S292" i="1" s="1"/>
  <c r="R293" i="1"/>
  <c r="S293" i="1" s="1"/>
  <c r="R294" i="1"/>
  <c r="S294" i="1" s="1"/>
  <c r="R295" i="1"/>
  <c r="S295" i="1" s="1"/>
  <c r="R296" i="1"/>
  <c r="S296" i="1" s="1"/>
  <c r="R297" i="1"/>
  <c r="S297" i="1" s="1"/>
  <c r="R298" i="1"/>
  <c r="S298" i="1" s="1"/>
  <c r="R299" i="1"/>
  <c r="S299" i="1" s="1"/>
  <c r="R300" i="1"/>
  <c r="S300" i="1" s="1"/>
  <c r="R301" i="1"/>
  <c r="S301" i="1" s="1"/>
  <c r="R302" i="1"/>
  <c r="S302" i="1" s="1"/>
  <c r="R303" i="1"/>
  <c r="S303" i="1" s="1"/>
  <c r="R304" i="1"/>
  <c r="S304" i="1" s="1"/>
  <c r="R305" i="1"/>
  <c r="S305" i="1" s="1"/>
  <c r="R306" i="1"/>
  <c r="S306" i="1" s="1"/>
  <c r="R307" i="1"/>
  <c r="S307" i="1" s="1"/>
  <c r="R308" i="1"/>
  <c r="S308" i="1" s="1"/>
  <c r="R309" i="1"/>
  <c r="S309" i="1" s="1"/>
  <c r="R310" i="1"/>
  <c r="S310" i="1" s="1"/>
  <c r="R311" i="1"/>
  <c r="S311" i="1" s="1"/>
  <c r="R312" i="1"/>
  <c r="S312" i="1" s="1"/>
  <c r="R313" i="1"/>
  <c r="S313" i="1" s="1"/>
  <c r="R314" i="1"/>
  <c r="S314" i="1" s="1"/>
  <c r="R315" i="1"/>
  <c r="S315" i="1" s="1"/>
  <c r="R316" i="1"/>
  <c r="S316" i="1" s="1"/>
  <c r="R317" i="1"/>
  <c r="S317" i="1" s="1"/>
  <c r="R318" i="1"/>
  <c r="S318" i="1" s="1"/>
  <c r="R319" i="1"/>
  <c r="S319" i="1" s="1"/>
  <c r="R320" i="1"/>
  <c r="S320" i="1" s="1"/>
  <c r="R321" i="1"/>
  <c r="S321" i="1" s="1"/>
  <c r="R322" i="1"/>
  <c r="S322" i="1" s="1"/>
  <c r="R323" i="1"/>
  <c r="S323" i="1" s="1"/>
  <c r="R324" i="1"/>
  <c r="S324" i="1" s="1"/>
  <c r="R325" i="1"/>
  <c r="S325" i="1" s="1"/>
  <c r="R326" i="1"/>
  <c r="S326" i="1" s="1"/>
  <c r="R327" i="1"/>
  <c r="S327" i="1" s="1"/>
  <c r="R328" i="1"/>
  <c r="S328" i="1" s="1"/>
  <c r="R329" i="1"/>
  <c r="S329" i="1" s="1"/>
  <c r="R330" i="1"/>
  <c r="S330" i="1" s="1"/>
  <c r="R331" i="1"/>
  <c r="S331" i="1" s="1"/>
  <c r="R332" i="1"/>
  <c r="S332" i="1" s="1"/>
  <c r="R333" i="1"/>
  <c r="S333" i="1" s="1"/>
  <c r="R334" i="1"/>
  <c r="S334" i="1" s="1"/>
  <c r="R335" i="1"/>
  <c r="S335" i="1" s="1"/>
  <c r="R336" i="1"/>
  <c r="S336" i="1" s="1"/>
  <c r="R337" i="1"/>
  <c r="S337" i="1" s="1"/>
  <c r="R338" i="1"/>
  <c r="S338" i="1" s="1"/>
  <c r="R339" i="1"/>
  <c r="S339" i="1" s="1"/>
  <c r="R340" i="1"/>
  <c r="S340" i="1" s="1"/>
  <c r="R341" i="1"/>
  <c r="S341" i="1" s="1"/>
  <c r="R342" i="1"/>
  <c r="S342" i="1" s="1"/>
  <c r="R343" i="1"/>
  <c r="S343" i="1" s="1"/>
  <c r="R344" i="1"/>
  <c r="S344" i="1" s="1"/>
  <c r="R345" i="1"/>
  <c r="S345" i="1" s="1"/>
  <c r="R346" i="1"/>
  <c r="S346" i="1" s="1"/>
  <c r="R347" i="1"/>
  <c r="S347" i="1" s="1"/>
  <c r="R348" i="1"/>
  <c r="S348" i="1" s="1"/>
  <c r="R349" i="1"/>
  <c r="S349" i="1" s="1"/>
  <c r="R350" i="1"/>
  <c r="S350" i="1" s="1"/>
  <c r="R351" i="1"/>
  <c r="S351" i="1" s="1"/>
  <c r="R352" i="1"/>
  <c r="S352" i="1" s="1"/>
  <c r="R353" i="1"/>
  <c r="S353" i="1" s="1"/>
  <c r="R354" i="1"/>
  <c r="S354" i="1" s="1"/>
  <c r="R355" i="1"/>
  <c r="S355" i="1" s="1"/>
  <c r="R356" i="1"/>
  <c r="S356" i="1" s="1"/>
  <c r="R357" i="1"/>
  <c r="S357" i="1" s="1"/>
  <c r="R358" i="1"/>
  <c r="S358" i="1" s="1"/>
  <c r="R359" i="1"/>
  <c r="S359" i="1" s="1"/>
  <c r="R360" i="1"/>
  <c r="S360" i="1" s="1"/>
  <c r="R361" i="1"/>
  <c r="S361" i="1" s="1"/>
  <c r="R362" i="1"/>
  <c r="S362" i="1" s="1"/>
  <c r="R363" i="1"/>
  <c r="S363" i="1" s="1"/>
  <c r="R364" i="1"/>
  <c r="S364" i="1" s="1"/>
  <c r="R365" i="1"/>
  <c r="S365" i="1" s="1"/>
  <c r="R366" i="1"/>
  <c r="S366" i="1" s="1"/>
  <c r="R367" i="1"/>
  <c r="S367" i="1" s="1"/>
  <c r="R368" i="1"/>
  <c r="S368" i="1" s="1"/>
  <c r="R369" i="1"/>
  <c r="S369" i="1" s="1"/>
  <c r="R370" i="1"/>
  <c r="S370" i="1" s="1"/>
  <c r="R371" i="1"/>
  <c r="S371" i="1" s="1"/>
  <c r="R372" i="1"/>
  <c r="S372" i="1" s="1"/>
  <c r="R373" i="1"/>
  <c r="S373" i="1" s="1"/>
  <c r="R374" i="1"/>
  <c r="S374" i="1" s="1"/>
  <c r="R375" i="1"/>
  <c r="S375" i="1" s="1"/>
  <c r="R376" i="1"/>
  <c r="S376" i="1" s="1"/>
  <c r="R377" i="1"/>
  <c r="S377" i="1" s="1"/>
  <c r="R378" i="1"/>
  <c r="S378" i="1" s="1"/>
  <c r="R379" i="1"/>
  <c r="S379" i="1" s="1"/>
  <c r="R380" i="1"/>
  <c r="S380" i="1" s="1"/>
  <c r="R381" i="1"/>
  <c r="S381" i="1" s="1"/>
  <c r="R382" i="1"/>
  <c r="S382" i="1" s="1"/>
  <c r="R383" i="1"/>
  <c r="S383" i="1" s="1"/>
  <c r="R384" i="1"/>
  <c r="S384" i="1" s="1"/>
  <c r="R385" i="1"/>
  <c r="S385" i="1" s="1"/>
  <c r="R386" i="1"/>
  <c r="S386" i="1" s="1"/>
  <c r="R387" i="1"/>
  <c r="S387" i="1" s="1"/>
  <c r="R388" i="1"/>
  <c r="S388" i="1" s="1"/>
  <c r="R389" i="1"/>
  <c r="S389" i="1" s="1"/>
  <c r="R390" i="1"/>
  <c r="S390" i="1" s="1"/>
  <c r="R391" i="1"/>
  <c r="S391" i="1" s="1"/>
  <c r="R392" i="1"/>
  <c r="S392" i="1" s="1"/>
  <c r="R393" i="1"/>
  <c r="S393" i="1" s="1"/>
  <c r="R394" i="1"/>
  <c r="S394" i="1" s="1"/>
  <c r="R395" i="1"/>
  <c r="S395" i="1" s="1"/>
  <c r="R396" i="1"/>
  <c r="S396" i="1" s="1"/>
  <c r="R397" i="1"/>
  <c r="S397" i="1" s="1"/>
  <c r="R398" i="1"/>
  <c r="S398" i="1" s="1"/>
  <c r="R399" i="1"/>
  <c r="S399" i="1" s="1"/>
  <c r="R400" i="1"/>
  <c r="S400" i="1" s="1"/>
  <c r="R401" i="1"/>
  <c r="S401" i="1" s="1"/>
  <c r="R402" i="1"/>
  <c r="S402" i="1" s="1"/>
  <c r="R403" i="1"/>
  <c r="S403" i="1" s="1"/>
  <c r="R404" i="1"/>
  <c r="S404" i="1" s="1"/>
  <c r="R405" i="1"/>
  <c r="S405" i="1" s="1"/>
  <c r="R406" i="1"/>
  <c r="S406" i="1" s="1"/>
  <c r="R407" i="1"/>
  <c r="S407" i="1" s="1"/>
  <c r="R408" i="1"/>
  <c r="S408" i="1" s="1"/>
  <c r="R409" i="1"/>
  <c r="S409" i="1" s="1"/>
  <c r="R410" i="1"/>
  <c r="S410" i="1" s="1"/>
  <c r="R411" i="1"/>
  <c r="S411" i="1" s="1"/>
  <c r="R412" i="1"/>
  <c r="S412" i="1" s="1"/>
  <c r="R413" i="1"/>
  <c r="S413" i="1" s="1"/>
  <c r="R414" i="1"/>
  <c r="S414" i="1" s="1"/>
  <c r="R415" i="1"/>
  <c r="S415" i="1" s="1"/>
  <c r="R416" i="1"/>
  <c r="S416" i="1" s="1"/>
  <c r="R417" i="1"/>
  <c r="S417" i="1" s="1"/>
  <c r="R418" i="1"/>
  <c r="S418" i="1" s="1"/>
  <c r="R419" i="1"/>
  <c r="S419" i="1" s="1"/>
  <c r="R420" i="1"/>
  <c r="S420" i="1" s="1"/>
  <c r="R421" i="1"/>
  <c r="S421" i="1" s="1"/>
  <c r="R422" i="1"/>
  <c r="S422" i="1" s="1"/>
  <c r="R423" i="1"/>
  <c r="S423" i="1" s="1"/>
  <c r="R424" i="1"/>
  <c r="S424" i="1" s="1"/>
  <c r="R425" i="1"/>
  <c r="S425" i="1" s="1"/>
  <c r="R426" i="1"/>
  <c r="S426" i="1" s="1"/>
  <c r="R427" i="1"/>
  <c r="S427" i="1" s="1"/>
  <c r="R428" i="1"/>
  <c r="S428" i="1" s="1"/>
  <c r="R429" i="1"/>
  <c r="S429" i="1" s="1"/>
  <c r="R430" i="1"/>
  <c r="S430" i="1" s="1"/>
  <c r="R431" i="1"/>
  <c r="S431" i="1" s="1"/>
  <c r="R432" i="1"/>
  <c r="S432" i="1" s="1"/>
  <c r="R433" i="1"/>
  <c r="S433" i="1" s="1"/>
  <c r="R434" i="1"/>
  <c r="S434" i="1" s="1"/>
  <c r="R435" i="1"/>
  <c r="S435" i="1" s="1"/>
  <c r="R436" i="1"/>
  <c r="S436" i="1" s="1"/>
  <c r="R437" i="1"/>
  <c r="S437" i="1" s="1"/>
  <c r="R438" i="1"/>
  <c r="S438" i="1" s="1"/>
  <c r="R439" i="1"/>
  <c r="S439" i="1" s="1"/>
  <c r="R440" i="1"/>
  <c r="S440" i="1" s="1"/>
  <c r="R441" i="1"/>
  <c r="S441" i="1" s="1"/>
  <c r="R442" i="1"/>
  <c r="S442" i="1" s="1"/>
  <c r="R443" i="1"/>
  <c r="S443" i="1" s="1"/>
  <c r="R444" i="1"/>
  <c r="S444" i="1" s="1"/>
  <c r="R445" i="1"/>
  <c r="S445" i="1" s="1"/>
  <c r="R446" i="1"/>
  <c r="S446" i="1" s="1"/>
  <c r="R447" i="1"/>
  <c r="S447" i="1" s="1"/>
  <c r="R448" i="1"/>
  <c r="S448" i="1" s="1"/>
  <c r="R449" i="1"/>
  <c r="S449" i="1" s="1"/>
  <c r="R450" i="1"/>
  <c r="S450" i="1" s="1"/>
  <c r="R451" i="1"/>
  <c r="S451" i="1" s="1"/>
  <c r="R452" i="1"/>
  <c r="S452" i="1" s="1"/>
  <c r="R453" i="1"/>
  <c r="S453" i="1" s="1"/>
  <c r="R454" i="1"/>
  <c r="S454" i="1" s="1"/>
  <c r="R455" i="1"/>
  <c r="S455" i="1" s="1"/>
  <c r="R456" i="1"/>
  <c r="S456" i="1" s="1"/>
  <c r="R457" i="1"/>
  <c r="S457" i="1" s="1"/>
  <c r="R458" i="1"/>
  <c r="S458" i="1" s="1"/>
  <c r="R459" i="1"/>
  <c r="S459" i="1" s="1"/>
  <c r="R460" i="1"/>
  <c r="S460" i="1" s="1"/>
  <c r="R461" i="1"/>
  <c r="S461" i="1" s="1"/>
  <c r="R462" i="1"/>
  <c r="S462" i="1" s="1"/>
  <c r="R463" i="1"/>
  <c r="S463" i="1" s="1"/>
  <c r="R464" i="1"/>
  <c r="S464" i="1" s="1"/>
  <c r="R465" i="1"/>
  <c r="S465" i="1" s="1"/>
  <c r="R466" i="1"/>
  <c r="S466" i="1" s="1"/>
  <c r="R467" i="1"/>
  <c r="S467" i="1" s="1"/>
  <c r="R468" i="1"/>
  <c r="S468" i="1" s="1"/>
  <c r="R469" i="1"/>
  <c r="S469" i="1" s="1"/>
  <c r="R470" i="1"/>
  <c r="S470" i="1" s="1"/>
  <c r="R471" i="1"/>
  <c r="S471" i="1" s="1"/>
  <c r="R472" i="1"/>
  <c r="S472" i="1" s="1"/>
  <c r="R473" i="1"/>
  <c r="S473" i="1" s="1"/>
  <c r="R474" i="1"/>
  <c r="S474" i="1" s="1"/>
  <c r="R475" i="1"/>
  <c r="S475" i="1" s="1"/>
  <c r="R476" i="1"/>
  <c r="S476" i="1" s="1"/>
  <c r="R477" i="1"/>
  <c r="S477" i="1" s="1"/>
  <c r="R478" i="1"/>
  <c r="S478" i="1" s="1"/>
  <c r="R479" i="1"/>
  <c r="S479" i="1" s="1"/>
  <c r="R480" i="1"/>
  <c r="S480" i="1" s="1"/>
  <c r="R481" i="1"/>
  <c r="S481" i="1" s="1"/>
  <c r="R482" i="1"/>
  <c r="S482" i="1" s="1"/>
  <c r="R483" i="1"/>
  <c r="S483" i="1" s="1"/>
  <c r="R484" i="1"/>
  <c r="S484" i="1" s="1"/>
  <c r="R485" i="1"/>
  <c r="S485" i="1" s="1"/>
  <c r="R486" i="1"/>
  <c r="S486" i="1" s="1"/>
  <c r="R487" i="1"/>
  <c r="S487" i="1" s="1"/>
  <c r="R488" i="1"/>
  <c r="S488" i="1" s="1"/>
  <c r="R489" i="1"/>
  <c r="S489" i="1" s="1"/>
  <c r="R490" i="1"/>
  <c r="S490" i="1" s="1"/>
  <c r="R491" i="1"/>
  <c r="S491" i="1" s="1"/>
  <c r="R492" i="1"/>
  <c r="S492" i="1" s="1"/>
  <c r="R493" i="1"/>
  <c r="S493" i="1" s="1"/>
  <c r="R494" i="1"/>
  <c r="S494" i="1" s="1"/>
  <c r="R495" i="1"/>
  <c r="S495" i="1" s="1"/>
  <c r="R496" i="1"/>
  <c r="S496" i="1" s="1"/>
  <c r="R497" i="1"/>
  <c r="S497" i="1" s="1"/>
  <c r="R498" i="1"/>
  <c r="S498" i="1" s="1"/>
  <c r="R499" i="1"/>
  <c r="S499" i="1" s="1"/>
  <c r="R500" i="1"/>
  <c r="S500" i="1" s="1"/>
  <c r="R501" i="1"/>
  <c r="S501" i="1" s="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C4" i="3"/>
  <c r="F4" i="3" s="1"/>
  <c r="F17" i="22"/>
  <c r="F6" i="22"/>
  <c r="F7" i="22"/>
  <c r="F8" i="22"/>
  <c r="F9" i="22"/>
  <c r="F10" i="22"/>
  <c r="F11" i="22"/>
  <c r="F12" i="22"/>
  <c r="F13" i="22"/>
  <c r="F15" i="22"/>
  <c r="F16" i="22"/>
  <c r="F5" i="22"/>
  <c r="J9" i="1"/>
  <c r="K2" i="1"/>
  <c r="O11" i="1"/>
  <c r="P11" i="1" s="1"/>
  <c r="O14" i="1"/>
  <c r="P14" i="1" s="1"/>
  <c r="O19" i="1"/>
  <c r="P19" i="1" s="1"/>
  <c r="O22" i="1"/>
  <c r="P22" i="1" s="1"/>
  <c r="O33" i="1"/>
  <c r="P33" i="1" s="1"/>
  <c r="O36" i="1"/>
  <c r="P36" i="1" s="1"/>
  <c r="O48" i="1"/>
  <c r="P48" i="1" s="1"/>
  <c r="O55" i="1"/>
  <c r="P55" i="1" s="1"/>
  <c r="O68" i="1"/>
  <c r="P68" i="1" s="1"/>
  <c r="O80" i="1"/>
  <c r="P80" i="1" s="1"/>
  <c r="O82" i="1"/>
  <c r="P82" i="1" s="1"/>
  <c r="O100" i="1"/>
  <c r="P100" i="1" s="1"/>
  <c r="O108" i="1"/>
  <c r="P108" i="1" s="1"/>
  <c r="O109" i="1"/>
  <c r="P109" i="1" s="1"/>
  <c r="O160" i="1"/>
  <c r="P160" i="1" s="1"/>
  <c r="O165" i="1"/>
  <c r="P165" i="1" s="1"/>
  <c r="O182" i="1"/>
  <c r="P182" i="1" s="1"/>
  <c r="O200" i="1"/>
  <c r="P200" i="1" s="1"/>
  <c r="O208" i="1"/>
  <c r="P208" i="1" s="1"/>
  <c r="O213" i="1"/>
  <c r="P213" i="1" s="1"/>
  <c r="O229" i="1"/>
  <c r="P229" i="1" s="1"/>
  <c r="O254" i="1"/>
  <c r="P254" i="1" s="1"/>
  <c r="O259" i="1"/>
  <c r="P259" i="1" s="1"/>
  <c r="O260" i="1"/>
  <c r="P260" i="1" s="1"/>
  <c r="O265" i="1"/>
  <c r="P265" i="1" s="1"/>
  <c r="O282" i="1"/>
  <c r="P282" i="1" s="1"/>
  <c r="O302" i="1"/>
  <c r="P302" i="1" s="1"/>
  <c r="O313" i="1"/>
  <c r="P313" i="1" s="1"/>
  <c r="O330" i="1"/>
  <c r="P330" i="1" s="1"/>
  <c r="O335" i="1"/>
  <c r="P335" i="1" s="1"/>
  <c r="O344" i="1"/>
  <c r="P344" i="1" s="1"/>
  <c r="O351" i="1"/>
  <c r="P351" i="1" s="1"/>
  <c r="O352" i="1"/>
  <c r="P352" i="1" s="1"/>
  <c r="O358" i="1"/>
  <c r="P358" i="1" s="1"/>
  <c r="O383" i="1"/>
  <c r="P383" i="1" s="1"/>
  <c r="O407" i="1"/>
  <c r="P407" i="1" s="1"/>
  <c r="O411" i="1"/>
  <c r="P411" i="1" s="1"/>
  <c r="O423" i="1"/>
  <c r="P423" i="1" s="1"/>
  <c r="O424" i="1"/>
  <c r="P424" i="1" s="1"/>
  <c r="O428" i="1"/>
  <c r="P428" i="1" s="1"/>
  <c r="O435" i="1"/>
  <c r="P435" i="1" s="1"/>
  <c r="O443" i="1"/>
  <c r="P443" i="1" s="1"/>
  <c r="O448" i="1"/>
  <c r="P448" i="1" s="1"/>
  <c r="O455" i="1"/>
  <c r="P455" i="1" s="1"/>
  <c r="O457" i="1"/>
  <c r="P457" i="1" s="1"/>
  <c r="O472" i="1"/>
  <c r="P472" i="1" s="1"/>
  <c r="O473" i="1"/>
  <c r="P473" i="1" s="1"/>
  <c r="O475" i="1"/>
  <c r="P475" i="1" s="1"/>
  <c r="O484" i="1"/>
  <c r="P484" i="1" s="1"/>
  <c r="O489" i="1"/>
  <c r="P489" i="1" s="1"/>
  <c r="O500" i="1"/>
  <c r="P500" i="1" s="1"/>
  <c r="M2" i="1"/>
  <c r="O2" i="1" s="1"/>
  <c r="P2" i="1" s="1"/>
  <c r="M3" i="1"/>
  <c r="O3" i="1" s="1"/>
  <c r="P3" i="1" s="1"/>
  <c r="M4" i="1"/>
  <c r="O4" i="1" s="1"/>
  <c r="P4" i="1" s="1"/>
  <c r="M5" i="1"/>
  <c r="O5" i="1" s="1"/>
  <c r="P5" i="1" s="1"/>
  <c r="M6" i="1"/>
  <c r="O6" i="1" s="1"/>
  <c r="P6" i="1" s="1"/>
  <c r="M7" i="1"/>
  <c r="O7" i="1" s="1"/>
  <c r="P7" i="1" s="1"/>
  <c r="M8" i="1"/>
  <c r="O8" i="1" s="1"/>
  <c r="P8" i="1" s="1"/>
  <c r="M9" i="1"/>
  <c r="O9" i="1" s="1"/>
  <c r="P9" i="1" s="1"/>
  <c r="M10" i="1"/>
  <c r="O10" i="1" s="1"/>
  <c r="P10" i="1" s="1"/>
  <c r="M11" i="1"/>
  <c r="M12" i="1"/>
  <c r="O12" i="1" s="1"/>
  <c r="P12" i="1" s="1"/>
  <c r="M13" i="1"/>
  <c r="O13" i="1" s="1"/>
  <c r="P13" i="1" s="1"/>
  <c r="M14" i="1"/>
  <c r="M15" i="1"/>
  <c r="O15" i="1" s="1"/>
  <c r="P15" i="1" s="1"/>
  <c r="M16" i="1"/>
  <c r="O16" i="1" s="1"/>
  <c r="P16" i="1" s="1"/>
  <c r="M17" i="1"/>
  <c r="O17" i="1" s="1"/>
  <c r="P17" i="1" s="1"/>
  <c r="M18" i="1"/>
  <c r="O18" i="1" s="1"/>
  <c r="P18" i="1" s="1"/>
  <c r="M19" i="1"/>
  <c r="M20" i="1"/>
  <c r="O20" i="1" s="1"/>
  <c r="P20" i="1" s="1"/>
  <c r="M21" i="1"/>
  <c r="O21" i="1" s="1"/>
  <c r="P21" i="1" s="1"/>
  <c r="M22" i="1"/>
  <c r="M23" i="1"/>
  <c r="O23" i="1" s="1"/>
  <c r="P23" i="1" s="1"/>
  <c r="M24" i="1"/>
  <c r="O24" i="1" s="1"/>
  <c r="P24" i="1" s="1"/>
  <c r="M25" i="1"/>
  <c r="O25" i="1" s="1"/>
  <c r="P25" i="1" s="1"/>
  <c r="M26" i="1"/>
  <c r="O26" i="1" s="1"/>
  <c r="P26" i="1" s="1"/>
  <c r="M27" i="1"/>
  <c r="O27" i="1" s="1"/>
  <c r="P27" i="1" s="1"/>
  <c r="M28" i="1"/>
  <c r="O28" i="1" s="1"/>
  <c r="P28" i="1" s="1"/>
  <c r="M29" i="1"/>
  <c r="O29" i="1" s="1"/>
  <c r="P29" i="1" s="1"/>
  <c r="M30" i="1"/>
  <c r="O30" i="1" s="1"/>
  <c r="P30" i="1" s="1"/>
  <c r="M31" i="1"/>
  <c r="O31" i="1" s="1"/>
  <c r="P31" i="1" s="1"/>
  <c r="M32" i="1"/>
  <c r="O32" i="1" s="1"/>
  <c r="P32" i="1" s="1"/>
  <c r="M33" i="1"/>
  <c r="M34" i="1"/>
  <c r="O34" i="1" s="1"/>
  <c r="P34" i="1" s="1"/>
  <c r="M35" i="1"/>
  <c r="O35" i="1" s="1"/>
  <c r="P35" i="1" s="1"/>
  <c r="M36" i="1"/>
  <c r="M37" i="1"/>
  <c r="O37" i="1" s="1"/>
  <c r="P37" i="1" s="1"/>
  <c r="M38" i="1"/>
  <c r="O38" i="1" s="1"/>
  <c r="P38" i="1" s="1"/>
  <c r="M39" i="1"/>
  <c r="O39" i="1" s="1"/>
  <c r="P39" i="1" s="1"/>
  <c r="M40" i="1"/>
  <c r="O40" i="1" s="1"/>
  <c r="P40" i="1" s="1"/>
  <c r="M41" i="1"/>
  <c r="O41" i="1" s="1"/>
  <c r="P41" i="1" s="1"/>
  <c r="M42" i="1"/>
  <c r="O42" i="1" s="1"/>
  <c r="P42" i="1" s="1"/>
  <c r="M43" i="1"/>
  <c r="O43" i="1" s="1"/>
  <c r="P43" i="1" s="1"/>
  <c r="M44" i="1"/>
  <c r="O44" i="1" s="1"/>
  <c r="P44" i="1" s="1"/>
  <c r="M45" i="1"/>
  <c r="O45" i="1" s="1"/>
  <c r="P45" i="1" s="1"/>
  <c r="M46" i="1"/>
  <c r="O46" i="1" s="1"/>
  <c r="P46" i="1" s="1"/>
  <c r="M47" i="1"/>
  <c r="O47" i="1" s="1"/>
  <c r="P47" i="1" s="1"/>
  <c r="M48" i="1"/>
  <c r="M49" i="1"/>
  <c r="O49" i="1" s="1"/>
  <c r="P49" i="1" s="1"/>
  <c r="M50" i="1"/>
  <c r="O50" i="1" s="1"/>
  <c r="P50" i="1" s="1"/>
  <c r="M51" i="1"/>
  <c r="O51" i="1" s="1"/>
  <c r="P51" i="1" s="1"/>
  <c r="M52" i="1"/>
  <c r="O52" i="1" s="1"/>
  <c r="P52" i="1" s="1"/>
  <c r="M53" i="1"/>
  <c r="O53" i="1" s="1"/>
  <c r="P53" i="1" s="1"/>
  <c r="M54" i="1"/>
  <c r="O54" i="1" s="1"/>
  <c r="P54" i="1" s="1"/>
  <c r="M55" i="1"/>
  <c r="M56" i="1"/>
  <c r="O56" i="1" s="1"/>
  <c r="P56" i="1" s="1"/>
  <c r="M57" i="1"/>
  <c r="O57" i="1" s="1"/>
  <c r="P57" i="1" s="1"/>
  <c r="M58" i="1"/>
  <c r="O58" i="1" s="1"/>
  <c r="P58" i="1" s="1"/>
  <c r="M59" i="1"/>
  <c r="O59" i="1" s="1"/>
  <c r="P59" i="1" s="1"/>
  <c r="M60" i="1"/>
  <c r="O60" i="1" s="1"/>
  <c r="P60" i="1" s="1"/>
  <c r="M61" i="1"/>
  <c r="O61" i="1" s="1"/>
  <c r="P61" i="1" s="1"/>
  <c r="M62" i="1"/>
  <c r="O62" i="1" s="1"/>
  <c r="P62" i="1" s="1"/>
  <c r="M63" i="1"/>
  <c r="O63" i="1" s="1"/>
  <c r="P63" i="1" s="1"/>
  <c r="M64" i="1"/>
  <c r="O64" i="1" s="1"/>
  <c r="P64" i="1" s="1"/>
  <c r="M65" i="1"/>
  <c r="O65" i="1" s="1"/>
  <c r="P65" i="1" s="1"/>
  <c r="M66" i="1"/>
  <c r="O66" i="1" s="1"/>
  <c r="P66" i="1" s="1"/>
  <c r="M67" i="1"/>
  <c r="O67" i="1" s="1"/>
  <c r="P67" i="1" s="1"/>
  <c r="M68" i="1"/>
  <c r="M69" i="1"/>
  <c r="O69" i="1" s="1"/>
  <c r="P69" i="1" s="1"/>
  <c r="M70" i="1"/>
  <c r="O70" i="1" s="1"/>
  <c r="P70" i="1" s="1"/>
  <c r="M71" i="1"/>
  <c r="O71" i="1" s="1"/>
  <c r="P71" i="1" s="1"/>
  <c r="M72" i="1"/>
  <c r="O72" i="1" s="1"/>
  <c r="P72" i="1" s="1"/>
  <c r="M73" i="1"/>
  <c r="O73" i="1" s="1"/>
  <c r="P73" i="1" s="1"/>
  <c r="M74" i="1"/>
  <c r="O74" i="1" s="1"/>
  <c r="P74" i="1" s="1"/>
  <c r="M75" i="1"/>
  <c r="O75" i="1" s="1"/>
  <c r="P75" i="1" s="1"/>
  <c r="M76" i="1"/>
  <c r="O76" i="1" s="1"/>
  <c r="P76" i="1" s="1"/>
  <c r="M77" i="1"/>
  <c r="O77" i="1" s="1"/>
  <c r="P77" i="1" s="1"/>
  <c r="M78" i="1"/>
  <c r="O78" i="1" s="1"/>
  <c r="P78" i="1" s="1"/>
  <c r="M79" i="1"/>
  <c r="O79" i="1" s="1"/>
  <c r="P79" i="1" s="1"/>
  <c r="M80" i="1"/>
  <c r="M81" i="1"/>
  <c r="O81" i="1" s="1"/>
  <c r="P81" i="1" s="1"/>
  <c r="M82" i="1"/>
  <c r="M83" i="1"/>
  <c r="O83" i="1" s="1"/>
  <c r="P83" i="1" s="1"/>
  <c r="M84" i="1"/>
  <c r="O84" i="1" s="1"/>
  <c r="P84" i="1" s="1"/>
  <c r="M85" i="1"/>
  <c r="O85" i="1" s="1"/>
  <c r="P85" i="1" s="1"/>
  <c r="M86" i="1"/>
  <c r="O86" i="1" s="1"/>
  <c r="P86" i="1" s="1"/>
  <c r="M87" i="1"/>
  <c r="O87" i="1" s="1"/>
  <c r="P87" i="1" s="1"/>
  <c r="M88" i="1"/>
  <c r="O88" i="1" s="1"/>
  <c r="P88" i="1" s="1"/>
  <c r="M89" i="1"/>
  <c r="O89" i="1" s="1"/>
  <c r="P89" i="1" s="1"/>
  <c r="M90" i="1"/>
  <c r="O90" i="1" s="1"/>
  <c r="P90" i="1" s="1"/>
  <c r="M91" i="1"/>
  <c r="O91" i="1" s="1"/>
  <c r="P91" i="1" s="1"/>
  <c r="M92" i="1"/>
  <c r="O92" i="1" s="1"/>
  <c r="P92" i="1" s="1"/>
  <c r="M93" i="1"/>
  <c r="O93" i="1" s="1"/>
  <c r="P93" i="1" s="1"/>
  <c r="M94" i="1"/>
  <c r="O94" i="1" s="1"/>
  <c r="P94" i="1" s="1"/>
  <c r="M95" i="1"/>
  <c r="O95" i="1" s="1"/>
  <c r="P95" i="1" s="1"/>
  <c r="M96" i="1"/>
  <c r="O96" i="1" s="1"/>
  <c r="P96" i="1" s="1"/>
  <c r="M97" i="1"/>
  <c r="O97" i="1" s="1"/>
  <c r="P97" i="1" s="1"/>
  <c r="M98" i="1"/>
  <c r="O98" i="1" s="1"/>
  <c r="P98" i="1" s="1"/>
  <c r="M99" i="1"/>
  <c r="O99" i="1" s="1"/>
  <c r="P99" i="1" s="1"/>
  <c r="M100" i="1"/>
  <c r="M101" i="1"/>
  <c r="O101" i="1" s="1"/>
  <c r="P101" i="1" s="1"/>
  <c r="M102" i="1"/>
  <c r="O102" i="1" s="1"/>
  <c r="P102" i="1" s="1"/>
  <c r="M103" i="1"/>
  <c r="O103" i="1" s="1"/>
  <c r="P103" i="1" s="1"/>
  <c r="M104" i="1"/>
  <c r="O104" i="1" s="1"/>
  <c r="P104" i="1" s="1"/>
  <c r="M105" i="1"/>
  <c r="O105" i="1" s="1"/>
  <c r="P105" i="1" s="1"/>
  <c r="M106" i="1"/>
  <c r="O106" i="1" s="1"/>
  <c r="P106" i="1" s="1"/>
  <c r="M107" i="1"/>
  <c r="O107" i="1" s="1"/>
  <c r="P107" i="1" s="1"/>
  <c r="M108" i="1"/>
  <c r="M109" i="1"/>
  <c r="M110" i="1"/>
  <c r="O110" i="1" s="1"/>
  <c r="P110" i="1" s="1"/>
  <c r="M111" i="1"/>
  <c r="O111" i="1" s="1"/>
  <c r="P111" i="1" s="1"/>
  <c r="M112" i="1"/>
  <c r="O112" i="1" s="1"/>
  <c r="P112" i="1" s="1"/>
  <c r="M113" i="1"/>
  <c r="O113" i="1" s="1"/>
  <c r="P113" i="1" s="1"/>
  <c r="M114" i="1"/>
  <c r="O114" i="1" s="1"/>
  <c r="P114" i="1" s="1"/>
  <c r="M115" i="1"/>
  <c r="O115" i="1" s="1"/>
  <c r="P115" i="1" s="1"/>
  <c r="M116" i="1"/>
  <c r="O116" i="1" s="1"/>
  <c r="P116" i="1" s="1"/>
  <c r="M117" i="1"/>
  <c r="O117" i="1" s="1"/>
  <c r="P117" i="1" s="1"/>
  <c r="M118" i="1"/>
  <c r="O118" i="1" s="1"/>
  <c r="P118" i="1" s="1"/>
  <c r="M119" i="1"/>
  <c r="O119" i="1" s="1"/>
  <c r="P119" i="1" s="1"/>
  <c r="M120" i="1"/>
  <c r="O120" i="1" s="1"/>
  <c r="P120" i="1" s="1"/>
  <c r="M121" i="1"/>
  <c r="O121" i="1" s="1"/>
  <c r="P121" i="1" s="1"/>
  <c r="M122" i="1"/>
  <c r="O122" i="1" s="1"/>
  <c r="P122" i="1" s="1"/>
  <c r="M123" i="1"/>
  <c r="O123" i="1" s="1"/>
  <c r="P123" i="1" s="1"/>
  <c r="M124" i="1"/>
  <c r="O124" i="1" s="1"/>
  <c r="P124" i="1" s="1"/>
  <c r="M125" i="1"/>
  <c r="O125" i="1" s="1"/>
  <c r="P125" i="1" s="1"/>
  <c r="M126" i="1"/>
  <c r="O126" i="1" s="1"/>
  <c r="P126" i="1" s="1"/>
  <c r="M127" i="1"/>
  <c r="O127" i="1" s="1"/>
  <c r="P127" i="1" s="1"/>
  <c r="M128" i="1"/>
  <c r="O128" i="1" s="1"/>
  <c r="P128" i="1" s="1"/>
  <c r="M129" i="1"/>
  <c r="O129" i="1" s="1"/>
  <c r="P129" i="1" s="1"/>
  <c r="M130" i="1"/>
  <c r="O130" i="1" s="1"/>
  <c r="P130" i="1" s="1"/>
  <c r="M131" i="1"/>
  <c r="O131" i="1" s="1"/>
  <c r="P131" i="1" s="1"/>
  <c r="M132" i="1"/>
  <c r="O132" i="1" s="1"/>
  <c r="P132" i="1" s="1"/>
  <c r="M133" i="1"/>
  <c r="O133" i="1" s="1"/>
  <c r="P133" i="1" s="1"/>
  <c r="M134" i="1"/>
  <c r="O134" i="1" s="1"/>
  <c r="P134" i="1" s="1"/>
  <c r="M135" i="1"/>
  <c r="O135" i="1" s="1"/>
  <c r="P135" i="1" s="1"/>
  <c r="M136" i="1"/>
  <c r="O136" i="1" s="1"/>
  <c r="P136" i="1" s="1"/>
  <c r="M137" i="1"/>
  <c r="O137" i="1" s="1"/>
  <c r="P137" i="1" s="1"/>
  <c r="M138" i="1"/>
  <c r="O138" i="1" s="1"/>
  <c r="P138" i="1" s="1"/>
  <c r="M139" i="1"/>
  <c r="O139" i="1" s="1"/>
  <c r="P139" i="1" s="1"/>
  <c r="M140" i="1"/>
  <c r="O140" i="1" s="1"/>
  <c r="P140" i="1" s="1"/>
  <c r="M141" i="1"/>
  <c r="O141" i="1" s="1"/>
  <c r="P141" i="1" s="1"/>
  <c r="M142" i="1"/>
  <c r="O142" i="1" s="1"/>
  <c r="P142" i="1" s="1"/>
  <c r="M143" i="1"/>
  <c r="O143" i="1" s="1"/>
  <c r="P143" i="1" s="1"/>
  <c r="M144" i="1"/>
  <c r="O144" i="1" s="1"/>
  <c r="P144" i="1" s="1"/>
  <c r="M145" i="1"/>
  <c r="O145" i="1" s="1"/>
  <c r="P145" i="1" s="1"/>
  <c r="M146" i="1"/>
  <c r="O146" i="1" s="1"/>
  <c r="P146" i="1" s="1"/>
  <c r="M147" i="1"/>
  <c r="O147" i="1" s="1"/>
  <c r="P147" i="1" s="1"/>
  <c r="M148" i="1"/>
  <c r="O148" i="1" s="1"/>
  <c r="P148" i="1" s="1"/>
  <c r="M149" i="1"/>
  <c r="O149" i="1" s="1"/>
  <c r="P149" i="1" s="1"/>
  <c r="M150" i="1"/>
  <c r="O150" i="1" s="1"/>
  <c r="P150" i="1" s="1"/>
  <c r="M151" i="1"/>
  <c r="O151" i="1" s="1"/>
  <c r="P151" i="1" s="1"/>
  <c r="M152" i="1"/>
  <c r="O152" i="1" s="1"/>
  <c r="P152" i="1" s="1"/>
  <c r="M153" i="1"/>
  <c r="O153" i="1" s="1"/>
  <c r="P153" i="1" s="1"/>
  <c r="M154" i="1"/>
  <c r="O154" i="1" s="1"/>
  <c r="P154" i="1" s="1"/>
  <c r="M155" i="1"/>
  <c r="O155" i="1" s="1"/>
  <c r="P155" i="1" s="1"/>
  <c r="M156" i="1"/>
  <c r="O156" i="1" s="1"/>
  <c r="P156" i="1" s="1"/>
  <c r="M157" i="1"/>
  <c r="O157" i="1" s="1"/>
  <c r="P157" i="1" s="1"/>
  <c r="M158" i="1"/>
  <c r="O158" i="1" s="1"/>
  <c r="P158" i="1" s="1"/>
  <c r="M159" i="1"/>
  <c r="O159" i="1" s="1"/>
  <c r="P159" i="1" s="1"/>
  <c r="M160" i="1"/>
  <c r="M161" i="1"/>
  <c r="O161" i="1" s="1"/>
  <c r="P161" i="1" s="1"/>
  <c r="M162" i="1"/>
  <c r="O162" i="1" s="1"/>
  <c r="P162" i="1" s="1"/>
  <c r="M163" i="1"/>
  <c r="O163" i="1" s="1"/>
  <c r="P163" i="1" s="1"/>
  <c r="M164" i="1"/>
  <c r="O164" i="1" s="1"/>
  <c r="P164" i="1" s="1"/>
  <c r="M165" i="1"/>
  <c r="M166" i="1"/>
  <c r="O166" i="1" s="1"/>
  <c r="P166" i="1" s="1"/>
  <c r="M167" i="1"/>
  <c r="O167" i="1" s="1"/>
  <c r="P167" i="1" s="1"/>
  <c r="M168" i="1"/>
  <c r="O168" i="1" s="1"/>
  <c r="P168" i="1" s="1"/>
  <c r="M169" i="1"/>
  <c r="O169" i="1" s="1"/>
  <c r="P169" i="1" s="1"/>
  <c r="M170" i="1"/>
  <c r="O170" i="1" s="1"/>
  <c r="P170" i="1" s="1"/>
  <c r="M171" i="1"/>
  <c r="O171" i="1" s="1"/>
  <c r="P171" i="1" s="1"/>
  <c r="M172" i="1"/>
  <c r="O172" i="1" s="1"/>
  <c r="P172" i="1" s="1"/>
  <c r="M173" i="1"/>
  <c r="O173" i="1" s="1"/>
  <c r="P173" i="1" s="1"/>
  <c r="M174" i="1"/>
  <c r="O174" i="1" s="1"/>
  <c r="P174" i="1" s="1"/>
  <c r="M175" i="1"/>
  <c r="O175" i="1" s="1"/>
  <c r="P175" i="1" s="1"/>
  <c r="M176" i="1"/>
  <c r="O176" i="1" s="1"/>
  <c r="P176" i="1" s="1"/>
  <c r="M177" i="1"/>
  <c r="O177" i="1" s="1"/>
  <c r="P177" i="1" s="1"/>
  <c r="M178" i="1"/>
  <c r="O178" i="1" s="1"/>
  <c r="P178" i="1" s="1"/>
  <c r="M179" i="1"/>
  <c r="O179" i="1" s="1"/>
  <c r="P179" i="1" s="1"/>
  <c r="M180" i="1"/>
  <c r="O180" i="1" s="1"/>
  <c r="P180" i="1" s="1"/>
  <c r="M181" i="1"/>
  <c r="O181" i="1" s="1"/>
  <c r="P181" i="1" s="1"/>
  <c r="M182" i="1"/>
  <c r="M183" i="1"/>
  <c r="O183" i="1" s="1"/>
  <c r="P183" i="1" s="1"/>
  <c r="M184" i="1"/>
  <c r="O184" i="1" s="1"/>
  <c r="P184" i="1" s="1"/>
  <c r="M185" i="1"/>
  <c r="O185" i="1" s="1"/>
  <c r="P185" i="1" s="1"/>
  <c r="M186" i="1"/>
  <c r="O186" i="1" s="1"/>
  <c r="P186" i="1" s="1"/>
  <c r="M187" i="1"/>
  <c r="O187" i="1" s="1"/>
  <c r="P187" i="1" s="1"/>
  <c r="M188" i="1"/>
  <c r="O188" i="1" s="1"/>
  <c r="P188" i="1" s="1"/>
  <c r="M189" i="1"/>
  <c r="O189" i="1" s="1"/>
  <c r="P189" i="1" s="1"/>
  <c r="M190" i="1"/>
  <c r="O190" i="1" s="1"/>
  <c r="P190" i="1" s="1"/>
  <c r="M191" i="1"/>
  <c r="O191" i="1" s="1"/>
  <c r="P191" i="1" s="1"/>
  <c r="M192" i="1"/>
  <c r="O192" i="1" s="1"/>
  <c r="P192" i="1" s="1"/>
  <c r="M193" i="1"/>
  <c r="O193" i="1" s="1"/>
  <c r="P193" i="1" s="1"/>
  <c r="M194" i="1"/>
  <c r="O194" i="1" s="1"/>
  <c r="P194" i="1" s="1"/>
  <c r="M195" i="1"/>
  <c r="O195" i="1" s="1"/>
  <c r="P195" i="1" s="1"/>
  <c r="M196" i="1"/>
  <c r="O196" i="1" s="1"/>
  <c r="P196" i="1" s="1"/>
  <c r="M197" i="1"/>
  <c r="O197" i="1" s="1"/>
  <c r="P197" i="1" s="1"/>
  <c r="M198" i="1"/>
  <c r="O198" i="1" s="1"/>
  <c r="P198" i="1" s="1"/>
  <c r="M199" i="1"/>
  <c r="O199" i="1" s="1"/>
  <c r="P199" i="1" s="1"/>
  <c r="M200" i="1"/>
  <c r="M201" i="1"/>
  <c r="O201" i="1" s="1"/>
  <c r="P201" i="1" s="1"/>
  <c r="M202" i="1"/>
  <c r="O202" i="1" s="1"/>
  <c r="P202" i="1" s="1"/>
  <c r="M203" i="1"/>
  <c r="O203" i="1" s="1"/>
  <c r="P203" i="1" s="1"/>
  <c r="M204" i="1"/>
  <c r="O204" i="1" s="1"/>
  <c r="P204" i="1" s="1"/>
  <c r="M205" i="1"/>
  <c r="O205" i="1" s="1"/>
  <c r="P205" i="1" s="1"/>
  <c r="M206" i="1"/>
  <c r="O206" i="1" s="1"/>
  <c r="P206" i="1" s="1"/>
  <c r="M207" i="1"/>
  <c r="O207" i="1" s="1"/>
  <c r="P207" i="1" s="1"/>
  <c r="M208" i="1"/>
  <c r="M209" i="1"/>
  <c r="O209" i="1" s="1"/>
  <c r="P209" i="1" s="1"/>
  <c r="M210" i="1"/>
  <c r="O210" i="1" s="1"/>
  <c r="P210" i="1" s="1"/>
  <c r="M211" i="1"/>
  <c r="O211" i="1" s="1"/>
  <c r="P211" i="1" s="1"/>
  <c r="M212" i="1"/>
  <c r="O212" i="1" s="1"/>
  <c r="P212" i="1" s="1"/>
  <c r="M213" i="1"/>
  <c r="M214" i="1"/>
  <c r="O214" i="1" s="1"/>
  <c r="P214" i="1" s="1"/>
  <c r="M215" i="1"/>
  <c r="O215" i="1" s="1"/>
  <c r="P215" i="1" s="1"/>
  <c r="M216" i="1"/>
  <c r="O216" i="1" s="1"/>
  <c r="P216" i="1" s="1"/>
  <c r="M217" i="1"/>
  <c r="O217" i="1" s="1"/>
  <c r="P217" i="1" s="1"/>
  <c r="M218" i="1"/>
  <c r="O218" i="1" s="1"/>
  <c r="P218" i="1" s="1"/>
  <c r="M219" i="1"/>
  <c r="O219" i="1" s="1"/>
  <c r="P219" i="1" s="1"/>
  <c r="M220" i="1"/>
  <c r="O220" i="1" s="1"/>
  <c r="P220" i="1" s="1"/>
  <c r="M221" i="1"/>
  <c r="O221" i="1" s="1"/>
  <c r="P221" i="1" s="1"/>
  <c r="M222" i="1"/>
  <c r="O222" i="1" s="1"/>
  <c r="P222" i="1" s="1"/>
  <c r="M223" i="1"/>
  <c r="O223" i="1" s="1"/>
  <c r="P223" i="1" s="1"/>
  <c r="M224" i="1"/>
  <c r="O224" i="1" s="1"/>
  <c r="P224" i="1" s="1"/>
  <c r="M225" i="1"/>
  <c r="O225" i="1" s="1"/>
  <c r="P225" i="1" s="1"/>
  <c r="M226" i="1"/>
  <c r="O226" i="1" s="1"/>
  <c r="P226" i="1" s="1"/>
  <c r="M227" i="1"/>
  <c r="O227" i="1" s="1"/>
  <c r="P227" i="1" s="1"/>
  <c r="M228" i="1"/>
  <c r="O228" i="1" s="1"/>
  <c r="P228" i="1" s="1"/>
  <c r="M229" i="1"/>
  <c r="M230" i="1"/>
  <c r="O230" i="1" s="1"/>
  <c r="P230" i="1" s="1"/>
  <c r="M231" i="1"/>
  <c r="O231" i="1" s="1"/>
  <c r="P231" i="1" s="1"/>
  <c r="M232" i="1"/>
  <c r="O232" i="1" s="1"/>
  <c r="P232" i="1" s="1"/>
  <c r="M233" i="1"/>
  <c r="O233" i="1" s="1"/>
  <c r="P233" i="1" s="1"/>
  <c r="M234" i="1"/>
  <c r="O234" i="1" s="1"/>
  <c r="P234" i="1" s="1"/>
  <c r="M235" i="1"/>
  <c r="O235" i="1" s="1"/>
  <c r="P235" i="1" s="1"/>
  <c r="M236" i="1"/>
  <c r="O236" i="1" s="1"/>
  <c r="P236" i="1" s="1"/>
  <c r="M237" i="1"/>
  <c r="O237" i="1" s="1"/>
  <c r="P237" i="1" s="1"/>
  <c r="M238" i="1"/>
  <c r="O238" i="1" s="1"/>
  <c r="P238" i="1" s="1"/>
  <c r="M239" i="1"/>
  <c r="O239" i="1" s="1"/>
  <c r="P239" i="1" s="1"/>
  <c r="M240" i="1"/>
  <c r="O240" i="1" s="1"/>
  <c r="P240" i="1" s="1"/>
  <c r="M241" i="1"/>
  <c r="O241" i="1" s="1"/>
  <c r="P241" i="1" s="1"/>
  <c r="M242" i="1"/>
  <c r="O242" i="1" s="1"/>
  <c r="P242" i="1" s="1"/>
  <c r="M243" i="1"/>
  <c r="O243" i="1" s="1"/>
  <c r="P243" i="1" s="1"/>
  <c r="M244" i="1"/>
  <c r="O244" i="1" s="1"/>
  <c r="P244" i="1" s="1"/>
  <c r="M245" i="1"/>
  <c r="O245" i="1" s="1"/>
  <c r="P245" i="1" s="1"/>
  <c r="M246" i="1"/>
  <c r="O246" i="1" s="1"/>
  <c r="P246" i="1" s="1"/>
  <c r="M247" i="1"/>
  <c r="O247" i="1" s="1"/>
  <c r="P247" i="1" s="1"/>
  <c r="M248" i="1"/>
  <c r="O248" i="1" s="1"/>
  <c r="P248" i="1" s="1"/>
  <c r="M249" i="1"/>
  <c r="O249" i="1" s="1"/>
  <c r="P249" i="1" s="1"/>
  <c r="M250" i="1"/>
  <c r="O250" i="1" s="1"/>
  <c r="P250" i="1" s="1"/>
  <c r="M251" i="1"/>
  <c r="O251" i="1" s="1"/>
  <c r="P251" i="1" s="1"/>
  <c r="M252" i="1"/>
  <c r="O252" i="1" s="1"/>
  <c r="P252" i="1" s="1"/>
  <c r="M253" i="1"/>
  <c r="O253" i="1" s="1"/>
  <c r="P253" i="1" s="1"/>
  <c r="M254" i="1"/>
  <c r="M255" i="1"/>
  <c r="O255" i="1" s="1"/>
  <c r="P255" i="1" s="1"/>
  <c r="M256" i="1"/>
  <c r="O256" i="1" s="1"/>
  <c r="P256" i="1" s="1"/>
  <c r="M257" i="1"/>
  <c r="O257" i="1" s="1"/>
  <c r="P257" i="1" s="1"/>
  <c r="M258" i="1"/>
  <c r="O258" i="1" s="1"/>
  <c r="P258" i="1" s="1"/>
  <c r="M259" i="1"/>
  <c r="M260" i="1"/>
  <c r="M261" i="1"/>
  <c r="O261" i="1" s="1"/>
  <c r="P261" i="1" s="1"/>
  <c r="M262" i="1"/>
  <c r="O262" i="1" s="1"/>
  <c r="P262" i="1" s="1"/>
  <c r="M263" i="1"/>
  <c r="O263" i="1" s="1"/>
  <c r="P263" i="1" s="1"/>
  <c r="M264" i="1"/>
  <c r="O264" i="1" s="1"/>
  <c r="P264" i="1" s="1"/>
  <c r="M265" i="1"/>
  <c r="M266" i="1"/>
  <c r="O266" i="1" s="1"/>
  <c r="P266" i="1" s="1"/>
  <c r="M267" i="1"/>
  <c r="O267" i="1" s="1"/>
  <c r="P267" i="1" s="1"/>
  <c r="M268" i="1"/>
  <c r="O268" i="1" s="1"/>
  <c r="P268" i="1" s="1"/>
  <c r="M269" i="1"/>
  <c r="O269" i="1" s="1"/>
  <c r="P269" i="1" s="1"/>
  <c r="M270" i="1"/>
  <c r="O270" i="1" s="1"/>
  <c r="P270" i="1" s="1"/>
  <c r="M271" i="1"/>
  <c r="O271" i="1" s="1"/>
  <c r="P271" i="1" s="1"/>
  <c r="M272" i="1"/>
  <c r="O272" i="1" s="1"/>
  <c r="P272" i="1" s="1"/>
  <c r="M273" i="1"/>
  <c r="O273" i="1" s="1"/>
  <c r="P273" i="1" s="1"/>
  <c r="M274" i="1"/>
  <c r="O274" i="1" s="1"/>
  <c r="P274" i="1" s="1"/>
  <c r="M275" i="1"/>
  <c r="O275" i="1" s="1"/>
  <c r="P275" i="1" s="1"/>
  <c r="M276" i="1"/>
  <c r="O276" i="1" s="1"/>
  <c r="P276" i="1" s="1"/>
  <c r="M277" i="1"/>
  <c r="O277" i="1" s="1"/>
  <c r="P277" i="1" s="1"/>
  <c r="M278" i="1"/>
  <c r="O278" i="1" s="1"/>
  <c r="P278" i="1" s="1"/>
  <c r="M279" i="1"/>
  <c r="O279" i="1" s="1"/>
  <c r="P279" i="1" s="1"/>
  <c r="M280" i="1"/>
  <c r="O280" i="1" s="1"/>
  <c r="P280" i="1" s="1"/>
  <c r="M281" i="1"/>
  <c r="O281" i="1" s="1"/>
  <c r="P281" i="1" s="1"/>
  <c r="M282" i="1"/>
  <c r="M283" i="1"/>
  <c r="O283" i="1" s="1"/>
  <c r="P283" i="1" s="1"/>
  <c r="M284" i="1"/>
  <c r="O284" i="1" s="1"/>
  <c r="P284" i="1" s="1"/>
  <c r="M285" i="1"/>
  <c r="O285" i="1" s="1"/>
  <c r="P285" i="1" s="1"/>
  <c r="M286" i="1"/>
  <c r="O286" i="1" s="1"/>
  <c r="P286" i="1" s="1"/>
  <c r="M287" i="1"/>
  <c r="O287" i="1" s="1"/>
  <c r="P287" i="1" s="1"/>
  <c r="M288" i="1"/>
  <c r="O288" i="1" s="1"/>
  <c r="P288" i="1" s="1"/>
  <c r="M289" i="1"/>
  <c r="O289" i="1" s="1"/>
  <c r="P289" i="1" s="1"/>
  <c r="M290" i="1"/>
  <c r="O290" i="1" s="1"/>
  <c r="P290" i="1" s="1"/>
  <c r="M291" i="1"/>
  <c r="O291" i="1" s="1"/>
  <c r="P291" i="1" s="1"/>
  <c r="M292" i="1"/>
  <c r="O292" i="1" s="1"/>
  <c r="P292" i="1" s="1"/>
  <c r="M293" i="1"/>
  <c r="O293" i="1" s="1"/>
  <c r="P293" i="1" s="1"/>
  <c r="M294" i="1"/>
  <c r="O294" i="1" s="1"/>
  <c r="P294" i="1" s="1"/>
  <c r="M295" i="1"/>
  <c r="O295" i="1" s="1"/>
  <c r="P295" i="1" s="1"/>
  <c r="M296" i="1"/>
  <c r="O296" i="1" s="1"/>
  <c r="P296" i="1" s="1"/>
  <c r="M297" i="1"/>
  <c r="O297" i="1" s="1"/>
  <c r="P297" i="1" s="1"/>
  <c r="M298" i="1"/>
  <c r="O298" i="1" s="1"/>
  <c r="P298" i="1" s="1"/>
  <c r="M299" i="1"/>
  <c r="O299" i="1" s="1"/>
  <c r="P299" i="1" s="1"/>
  <c r="M300" i="1"/>
  <c r="O300" i="1" s="1"/>
  <c r="P300" i="1" s="1"/>
  <c r="M301" i="1"/>
  <c r="O301" i="1" s="1"/>
  <c r="P301" i="1" s="1"/>
  <c r="M302" i="1"/>
  <c r="M303" i="1"/>
  <c r="O303" i="1" s="1"/>
  <c r="P303" i="1" s="1"/>
  <c r="M304" i="1"/>
  <c r="O304" i="1" s="1"/>
  <c r="P304" i="1" s="1"/>
  <c r="M305" i="1"/>
  <c r="O305" i="1" s="1"/>
  <c r="P305" i="1" s="1"/>
  <c r="M306" i="1"/>
  <c r="O306" i="1" s="1"/>
  <c r="P306" i="1" s="1"/>
  <c r="M307" i="1"/>
  <c r="O307" i="1" s="1"/>
  <c r="P307" i="1" s="1"/>
  <c r="M308" i="1"/>
  <c r="O308" i="1" s="1"/>
  <c r="P308" i="1" s="1"/>
  <c r="M309" i="1"/>
  <c r="O309" i="1" s="1"/>
  <c r="P309" i="1" s="1"/>
  <c r="M310" i="1"/>
  <c r="O310" i="1" s="1"/>
  <c r="P310" i="1" s="1"/>
  <c r="M311" i="1"/>
  <c r="O311" i="1" s="1"/>
  <c r="P311" i="1" s="1"/>
  <c r="M312" i="1"/>
  <c r="O312" i="1" s="1"/>
  <c r="P312" i="1" s="1"/>
  <c r="M313" i="1"/>
  <c r="M314" i="1"/>
  <c r="O314" i="1" s="1"/>
  <c r="P314" i="1" s="1"/>
  <c r="M315" i="1"/>
  <c r="O315" i="1" s="1"/>
  <c r="P315" i="1" s="1"/>
  <c r="M316" i="1"/>
  <c r="O316" i="1" s="1"/>
  <c r="P316" i="1" s="1"/>
  <c r="M317" i="1"/>
  <c r="O317" i="1" s="1"/>
  <c r="P317" i="1" s="1"/>
  <c r="M318" i="1"/>
  <c r="O318" i="1" s="1"/>
  <c r="P318" i="1" s="1"/>
  <c r="M319" i="1"/>
  <c r="O319" i="1" s="1"/>
  <c r="P319" i="1" s="1"/>
  <c r="M320" i="1"/>
  <c r="O320" i="1" s="1"/>
  <c r="P320" i="1" s="1"/>
  <c r="M321" i="1"/>
  <c r="O321" i="1" s="1"/>
  <c r="P321" i="1" s="1"/>
  <c r="M322" i="1"/>
  <c r="O322" i="1" s="1"/>
  <c r="P322" i="1" s="1"/>
  <c r="M323" i="1"/>
  <c r="O323" i="1" s="1"/>
  <c r="P323" i="1" s="1"/>
  <c r="M324" i="1"/>
  <c r="O324" i="1" s="1"/>
  <c r="P324" i="1" s="1"/>
  <c r="M325" i="1"/>
  <c r="O325" i="1" s="1"/>
  <c r="P325" i="1" s="1"/>
  <c r="M326" i="1"/>
  <c r="O326" i="1" s="1"/>
  <c r="P326" i="1" s="1"/>
  <c r="M327" i="1"/>
  <c r="O327" i="1" s="1"/>
  <c r="P327" i="1" s="1"/>
  <c r="M328" i="1"/>
  <c r="O328" i="1" s="1"/>
  <c r="P328" i="1" s="1"/>
  <c r="M329" i="1"/>
  <c r="O329" i="1" s="1"/>
  <c r="P329" i="1" s="1"/>
  <c r="M330" i="1"/>
  <c r="M331" i="1"/>
  <c r="O331" i="1" s="1"/>
  <c r="P331" i="1" s="1"/>
  <c r="M332" i="1"/>
  <c r="O332" i="1" s="1"/>
  <c r="P332" i="1" s="1"/>
  <c r="M333" i="1"/>
  <c r="O333" i="1" s="1"/>
  <c r="P333" i="1" s="1"/>
  <c r="M334" i="1"/>
  <c r="O334" i="1" s="1"/>
  <c r="P334" i="1" s="1"/>
  <c r="M335" i="1"/>
  <c r="M336" i="1"/>
  <c r="O336" i="1" s="1"/>
  <c r="P336" i="1" s="1"/>
  <c r="M337" i="1"/>
  <c r="O337" i="1" s="1"/>
  <c r="P337" i="1" s="1"/>
  <c r="M338" i="1"/>
  <c r="O338" i="1" s="1"/>
  <c r="P338" i="1" s="1"/>
  <c r="M339" i="1"/>
  <c r="O339" i="1" s="1"/>
  <c r="P339" i="1" s="1"/>
  <c r="M340" i="1"/>
  <c r="O340" i="1" s="1"/>
  <c r="P340" i="1" s="1"/>
  <c r="M341" i="1"/>
  <c r="O341" i="1" s="1"/>
  <c r="P341" i="1" s="1"/>
  <c r="M342" i="1"/>
  <c r="O342" i="1" s="1"/>
  <c r="P342" i="1" s="1"/>
  <c r="M343" i="1"/>
  <c r="O343" i="1" s="1"/>
  <c r="P343" i="1" s="1"/>
  <c r="M344" i="1"/>
  <c r="M345" i="1"/>
  <c r="O345" i="1" s="1"/>
  <c r="P345" i="1" s="1"/>
  <c r="M346" i="1"/>
  <c r="O346" i="1" s="1"/>
  <c r="P346" i="1" s="1"/>
  <c r="M347" i="1"/>
  <c r="O347" i="1" s="1"/>
  <c r="P347" i="1" s="1"/>
  <c r="M348" i="1"/>
  <c r="O348" i="1" s="1"/>
  <c r="P348" i="1" s="1"/>
  <c r="M349" i="1"/>
  <c r="O349" i="1" s="1"/>
  <c r="P349" i="1" s="1"/>
  <c r="M350" i="1"/>
  <c r="O350" i="1" s="1"/>
  <c r="P350" i="1" s="1"/>
  <c r="M351" i="1"/>
  <c r="M352" i="1"/>
  <c r="M353" i="1"/>
  <c r="O353" i="1" s="1"/>
  <c r="P353" i="1" s="1"/>
  <c r="M354" i="1"/>
  <c r="O354" i="1" s="1"/>
  <c r="P354" i="1" s="1"/>
  <c r="M355" i="1"/>
  <c r="O355" i="1" s="1"/>
  <c r="P355" i="1" s="1"/>
  <c r="M356" i="1"/>
  <c r="O356" i="1" s="1"/>
  <c r="P356" i="1" s="1"/>
  <c r="M357" i="1"/>
  <c r="O357" i="1" s="1"/>
  <c r="P357" i="1" s="1"/>
  <c r="M358" i="1"/>
  <c r="M359" i="1"/>
  <c r="O359" i="1" s="1"/>
  <c r="P359" i="1" s="1"/>
  <c r="M360" i="1"/>
  <c r="O360" i="1" s="1"/>
  <c r="P360" i="1" s="1"/>
  <c r="M361" i="1"/>
  <c r="O361" i="1" s="1"/>
  <c r="P361" i="1" s="1"/>
  <c r="M362" i="1"/>
  <c r="O362" i="1" s="1"/>
  <c r="P362" i="1" s="1"/>
  <c r="M363" i="1"/>
  <c r="O363" i="1" s="1"/>
  <c r="P363" i="1" s="1"/>
  <c r="M364" i="1"/>
  <c r="O364" i="1" s="1"/>
  <c r="P364" i="1" s="1"/>
  <c r="M365" i="1"/>
  <c r="O365" i="1" s="1"/>
  <c r="P365" i="1" s="1"/>
  <c r="M366" i="1"/>
  <c r="O366" i="1" s="1"/>
  <c r="P366" i="1" s="1"/>
  <c r="M367" i="1"/>
  <c r="O367" i="1" s="1"/>
  <c r="P367" i="1" s="1"/>
  <c r="M368" i="1"/>
  <c r="O368" i="1" s="1"/>
  <c r="P368" i="1" s="1"/>
  <c r="M369" i="1"/>
  <c r="O369" i="1" s="1"/>
  <c r="P369" i="1" s="1"/>
  <c r="M370" i="1"/>
  <c r="O370" i="1" s="1"/>
  <c r="P370" i="1" s="1"/>
  <c r="M371" i="1"/>
  <c r="O371" i="1" s="1"/>
  <c r="P371" i="1" s="1"/>
  <c r="M372" i="1"/>
  <c r="O372" i="1" s="1"/>
  <c r="P372" i="1" s="1"/>
  <c r="M373" i="1"/>
  <c r="O373" i="1" s="1"/>
  <c r="P373" i="1" s="1"/>
  <c r="M374" i="1"/>
  <c r="O374" i="1" s="1"/>
  <c r="P374" i="1" s="1"/>
  <c r="M375" i="1"/>
  <c r="O375" i="1" s="1"/>
  <c r="P375" i="1" s="1"/>
  <c r="M376" i="1"/>
  <c r="O376" i="1" s="1"/>
  <c r="P376" i="1" s="1"/>
  <c r="M377" i="1"/>
  <c r="O377" i="1" s="1"/>
  <c r="P377" i="1" s="1"/>
  <c r="M378" i="1"/>
  <c r="O378" i="1" s="1"/>
  <c r="P378" i="1" s="1"/>
  <c r="M379" i="1"/>
  <c r="O379" i="1" s="1"/>
  <c r="P379" i="1" s="1"/>
  <c r="M380" i="1"/>
  <c r="O380" i="1" s="1"/>
  <c r="P380" i="1" s="1"/>
  <c r="M381" i="1"/>
  <c r="O381" i="1" s="1"/>
  <c r="P381" i="1" s="1"/>
  <c r="M382" i="1"/>
  <c r="O382" i="1" s="1"/>
  <c r="P382" i="1" s="1"/>
  <c r="M383" i="1"/>
  <c r="M384" i="1"/>
  <c r="O384" i="1" s="1"/>
  <c r="P384" i="1" s="1"/>
  <c r="M385" i="1"/>
  <c r="O385" i="1" s="1"/>
  <c r="P385" i="1" s="1"/>
  <c r="M386" i="1"/>
  <c r="O386" i="1" s="1"/>
  <c r="P386" i="1" s="1"/>
  <c r="M387" i="1"/>
  <c r="O387" i="1" s="1"/>
  <c r="P387" i="1" s="1"/>
  <c r="M388" i="1"/>
  <c r="O388" i="1" s="1"/>
  <c r="P388" i="1" s="1"/>
  <c r="M389" i="1"/>
  <c r="O389" i="1" s="1"/>
  <c r="P389" i="1" s="1"/>
  <c r="M390" i="1"/>
  <c r="O390" i="1" s="1"/>
  <c r="P390" i="1" s="1"/>
  <c r="M391" i="1"/>
  <c r="O391" i="1" s="1"/>
  <c r="P391" i="1" s="1"/>
  <c r="M392" i="1"/>
  <c r="O392" i="1" s="1"/>
  <c r="P392" i="1" s="1"/>
  <c r="M393" i="1"/>
  <c r="O393" i="1" s="1"/>
  <c r="P393" i="1" s="1"/>
  <c r="M394" i="1"/>
  <c r="O394" i="1" s="1"/>
  <c r="P394" i="1" s="1"/>
  <c r="M395" i="1"/>
  <c r="O395" i="1" s="1"/>
  <c r="P395" i="1" s="1"/>
  <c r="M396" i="1"/>
  <c r="O396" i="1" s="1"/>
  <c r="P396" i="1" s="1"/>
  <c r="M397" i="1"/>
  <c r="O397" i="1" s="1"/>
  <c r="P397" i="1" s="1"/>
  <c r="M398" i="1"/>
  <c r="O398" i="1" s="1"/>
  <c r="P398" i="1" s="1"/>
  <c r="M399" i="1"/>
  <c r="O399" i="1" s="1"/>
  <c r="P399" i="1" s="1"/>
  <c r="M400" i="1"/>
  <c r="O400" i="1" s="1"/>
  <c r="P400" i="1" s="1"/>
  <c r="M401" i="1"/>
  <c r="O401" i="1" s="1"/>
  <c r="P401" i="1" s="1"/>
  <c r="M402" i="1"/>
  <c r="O402" i="1" s="1"/>
  <c r="P402" i="1" s="1"/>
  <c r="M403" i="1"/>
  <c r="O403" i="1" s="1"/>
  <c r="P403" i="1" s="1"/>
  <c r="M404" i="1"/>
  <c r="O404" i="1" s="1"/>
  <c r="P404" i="1" s="1"/>
  <c r="M405" i="1"/>
  <c r="O405" i="1" s="1"/>
  <c r="P405" i="1" s="1"/>
  <c r="M406" i="1"/>
  <c r="O406" i="1" s="1"/>
  <c r="P406" i="1" s="1"/>
  <c r="M407" i="1"/>
  <c r="M408" i="1"/>
  <c r="O408" i="1" s="1"/>
  <c r="P408" i="1" s="1"/>
  <c r="M409" i="1"/>
  <c r="O409" i="1" s="1"/>
  <c r="P409" i="1" s="1"/>
  <c r="M410" i="1"/>
  <c r="O410" i="1" s="1"/>
  <c r="P410" i="1" s="1"/>
  <c r="M411" i="1"/>
  <c r="M412" i="1"/>
  <c r="O412" i="1" s="1"/>
  <c r="P412" i="1" s="1"/>
  <c r="M413" i="1"/>
  <c r="O413" i="1" s="1"/>
  <c r="P413" i="1" s="1"/>
  <c r="M414" i="1"/>
  <c r="O414" i="1" s="1"/>
  <c r="P414" i="1" s="1"/>
  <c r="M415" i="1"/>
  <c r="O415" i="1" s="1"/>
  <c r="P415" i="1" s="1"/>
  <c r="M416" i="1"/>
  <c r="O416" i="1" s="1"/>
  <c r="P416" i="1" s="1"/>
  <c r="M417" i="1"/>
  <c r="O417" i="1" s="1"/>
  <c r="P417" i="1" s="1"/>
  <c r="M418" i="1"/>
  <c r="O418" i="1" s="1"/>
  <c r="P418" i="1" s="1"/>
  <c r="M419" i="1"/>
  <c r="O419" i="1" s="1"/>
  <c r="P419" i="1" s="1"/>
  <c r="M420" i="1"/>
  <c r="O420" i="1" s="1"/>
  <c r="P420" i="1" s="1"/>
  <c r="M421" i="1"/>
  <c r="O421" i="1" s="1"/>
  <c r="P421" i="1" s="1"/>
  <c r="M422" i="1"/>
  <c r="O422" i="1" s="1"/>
  <c r="P422" i="1" s="1"/>
  <c r="M423" i="1"/>
  <c r="M424" i="1"/>
  <c r="M425" i="1"/>
  <c r="O425" i="1" s="1"/>
  <c r="P425" i="1" s="1"/>
  <c r="M426" i="1"/>
  <c r="O426" i="1" s="1"/>
  <c r="P426" i="1" s="1"/>
  <c r="M427" i="1"/>
  <c r="O427" i="1" s="1"/>
  <c r="P427" i="1" s="1"/>
  <c r="M428" i="1"/>
  <c r="M429" i="1"/>
  <c r="O429" i="1" s="1"/>
  <c r="P429" i="1" s="1"/>
  <c r="M430" i="1"/>
  <c r="O430" i="1" s="1"/>
  <c r="P430" i="1" s="1"/>
  <c r="M431" i="1"/>
  <c r="O431" i="1" s="1"/>
  <c r="P431" i="1" s="1"/>
  <c r="M432" i="1"/>
  <c r="O432" i="1" s="1"/>
  <c r="P432" i="1" s="1"/>
  <c r="M433" i="1"/>
  <c r="O433" i="1" s="1"/>
  <c r="P433" i="1" s="1"/>
  <c r="M434" i="1"/>
  <c r="O434" i="1" s="1"/>
  <c r="P434" i="1" s="1"/>
  <c r="M435" i="1"/>
  <c r="M436" i="1"/>
  <c r="O436" i="1" s="1"/>
  <c r="P436" i="1" s="1"/>
  <c r="M437" i="1"/>
  <c r="O437" i="1" s="1"/>
  <c r="P437" i="1" s="1"/>
  <c r="M438" i="1"/>
  <c r="O438" i="1" s="1"/>
  <c r="P438" i="1" s="1"/>
  <c r="M439" i="1"/>
  <c r="O439" i="1" s="1"/>
  <c r="P439" i="1" s="1"/>
  <c r="M440" i="1"/>
  <c r="O440" i="1" s="1"/>
  <c r="P440" i="1" s="1"/>
  <c r="M441" i="1"/>
  <c r="O441" i="1" s="1"/>
  <c r="P441" i="1" s="1"/>
  <c r="M442" i="1"/>
  <c r="O442" i="1" s="1"/>
  <c r="P442" i="1" s="1"/>
  <c r="M443" i="1"/>
  <c r="M444" i="1"/>
  <c r="O444" i="1" s="1"/>
  <c r="P444" i="1" s="1"/>
  <c r="M445" i="1"/>
  <c r="O445" i="1" s="1"/>
  <c r="P445" i="1" s="1"/>
  <c r="M446" i="1"/>
  <c r="O446" i="1" s="1"/>
  <c r="P446" i="1" s="1"/>
  <c r="M447" i="1"/>
  <c r="O447" i="1" s="1"/>
  <c r="P447" i="1" s="1"/>
  <c r="M448" i="1"/>
  <c r="M449" i="1"/>
  <c r="O449" i="1" s="1"/>
  <c r="P449" i="1" s="1"/>
  <c r="M450" i="1"/>
  <c r="O450" i="1" s="1"/>
  <c r="P450" i="1" s="1"/>
  <c r="M451" i="1"/>
  <c r="O451" i="1" s="1"/>
  <c r="P451" i="1" s="1"/>
  <c r="M452" i="1"/>
  <c r="O452" i="1" s="1"/>
  <c r="P452" i="1" s="1"/>
  <c r="M453" i="1"/>
  <c r="O453" i="1" s="1"/>
  <c r="P453" i="1" s="1"/>
  <c r="M454" i="1"/>
  <c r="O454" i="1" s="1"/>
  <c r="P454" i="1" s="1"/>
  <c r="M455" i="1"/>
  <c r="M456" i="1"/>
  <c r="O456" i="1" s="1"/>
  <c r="P456" i="1" s="1"/>
  <c r="M457" i="1"/>
  <c r="M458" i="1"/>
  <c r="O458" i="1" s="1"/>
  <c r="P458" i="1" s="1"/>
  <c r="M459" i="1"/>
  <c r="O459" i="1" s="1"/>
  <c r="P459" i="1" s="1"/>
  <c r="M460" i="1"/>
  <c r="O460" i="1" s="1"/>
  <c r="P460" i="1" s="1"/>
  <c r="M461" i="1"/>
  <c r="O461" i="1" s="1"/>
  <c r="P461" i="1" s="1"/>
  <c r="M462" i="1"/>
  <c r="O462" i="1" s="1"/>
  <c r="P462" i="1" s="1"/>
  <c r="M463" i="1"/>
  <c r="O463" i="1" s="1"/>
  <c r="P463" i="1" s="1"/>
  <c r="M464" i="1"/>
  <c r="O464" i="1" s="1"/>
  <c r="P464" i="1" s="1"/>
  <c r="M465" i="1"/>
  <c r="O465" i="1" s="1"/>
  <c r="P465" i="1" s="1"/>
  <c r="M466" i="1"/>
  <c r="O466" i="1" s="1"/>
  <c r="P466" i="1" s="1"/>
  <c r="M467" i="1"/>
  <c r="O467" i="1" s="1"/>
  <c r="P467" i="1" s="1"/>
  <c r="M468" i="1"/>
  <c r="O468" i="1" s="1"/>
  <c r="P468" i="1" s="1"/>
  <c r="M469" i="1"/>
  <c r="O469" i="1" s="1"/>
  <c r="P469" i="1" s="1"/>
  <c r="M470" i="1"/>
  <c r="O470" i="1" s="1"/>
  <c r="P470" i="1" s="1"/>
  <c r="M471" i="1"/>
  <c r="O471" i="1" s="1"/>
  <c r="P471" i="1" s="1"/>
  <c r="M472" i="1"/>
  <c r="M473" i="1"/>
  <c r="M474" i="1"/>
  <c r="O474" i="1" s="1"/>
  <c r="P474" i="1" s="1"/>
  <c r="M475" i="1"/>
  <c r="M476" i="1"/>
  <c r="O476" i="1" s="1"/>
  <c r="P476" i="1" s="1"/>
  <c r="M477" i="1"/>
  <c r="O477" i="1" s="1"/>
  <c r="P477" i="1" s="1"/>
  <c r="M478" i="1"/>
  <c r="O478" i="1" s="1"/>
  <c r="P478" i="1" s="1"/>
  <c r="M479" i="1"/>
  <c r="O479" i="1" s="1"/>
  <c r="P479" i="1" s="1"/>
  <c r="M480" i="1"/>
  <c r="O480" i="1" s="1"/>
  <c r="P480" i="1" s="1"/>
  <c r="M481" i="1"/>
  <c r="O481" i="1" s="1"/>
  <c r="P481" i="1" s="1"/>
  <c r="M482" i="1"/>
  <c r="O482" i="1" s="1"/>
  <c r="P482" i="1" s="1"/>
  <c r="M483" i="1"/>
  <c r="O483" i="1" s="1"/>
  <c r="P483" i="1" s="1"/>
  <c r="M484" i="1"/>
  <c r="M485" i="1"/>
  <c r="O485" i="1" s="1"/>
  <c r="P485" i="1" s="1"/>
  <c r="M486" i="1"/>
  <c r="O486" i="1" s="1"/>
  <c r="P486" i="1" s="1"/>
  <c r="M487" i="1"/>
  <c r="O487" i="1" s="1"/>
  <c r="P487" i="1" s="1"/>
  <c r="M488" i="1"/>
  <c r="O488" i="1" s="1"/>
  <c r="P488" i="1" s="1"/>
  <c r="M489" i="1"/>
  <c r="M490" i="1"/>
  <c r="O490" i="1" s="1"/>
  <c r="P490" i="1" s="1"/>
  <c r="M491" i="1"/>
  <c r="O491" i="1" s="1"/>
  <c r="P491" i="1" s="1"/>
  <c r="M492" i="1"/>
  <c r="O492" i="1" s="1"/>
  <c r="P492" i="1" s="1"/>
  <c r="M493" i="1"/>
  <c r="O493" i="1" s="1"/>
  <c r="P493" i="1" s="1"/>
  <c r="M494" i="1"/>
  <c r="O494" i="1" s="1"/>
  <c r="P494" i="1" s="1"/>
  <c r="M495" i="1"/>
  <c r="O495" i="1" s="1"/>
  <c r="P495" i="1" s="1"/>
  <c r="M496" i="1"/>
  <c r="O496" i="1" s="1"/>
  <c r="P496" i="1" s="1"/>
  <c r="M497" i="1"/>
  <c r="O497" i="1" s="1"/>
  <c r="P497" i="1" s="1"/>
  <c r="M498" i="1"/>
  <c r="O498" i="1" s="1"/>
  <c r="P498" i="1" s="1"/>
  <c r="M499" i="1"/>
  <c r="O499" i="1" s="1"/>
  <c r="P499" i="1" s="1"/>
  <c r="M500" i="1"/>
  <c r="M501" i="1"/>
  <c r="O501" i="1" s="1"/>
  <c r="P501" i="1" s="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J2" i="1"/>
  <c r="J3" i="1"/>
  <c r="J4" i="1"/>
  <c r="J5" i="1"/>
  <c r="N5" i="1" s="1"/>
  <c r="J6" i="1"/>
  <c r="J7" i="1"/>
  <c r="J8"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6" i="7"/>
  <c r="J7" i="7"/>
  <c r="J8" i="7"/>
  <c r="J5" i="7"/>
  <c r="E4" i="3"/>
  <c r="C5" i="3"/>
  <c r="F5" i="3" s="1"/>
  <c r="C6" i="3"/>
  <c r="F6" i="3" s="1"/>
  <c r="C7" i="3"/>
  <c r="F7" i="3" s="1"/>
  <c r="C8" i="3"/>
  <c r="F8" i="3" s="1"/>
  <c r="F9" i="3"/>
  <c r="E5" i="3"/>
  <c r="E6" i="3"/>
  <c r="E7" i="3"/>
  <c r="E8" i="3"/>
  <c r="E9" i="3"/>
  <c r="N7" i="1" l="1"/>
  <c r="N3" i="1"/>
  <c r="N191" i="1"/>
  <c r="N183" i="1"/>
  <c r="N175" i="1"/>
  <c r="N167" i="1"/>
  <c r="N159" i="1"/>
  <c r="N151" i="1"/>
  <c r="N143" i="1"/>
  <c r="N135" i="1"/>
  <c r="N127" i="1"/>
  <c r="N119" i="1"/>
  <c r="N111" i="1"/>
  <c r="N103" i="1"/>
  <c r="N95" i="1"/>
  <c r="N87" i="1"/>
  <c r="N79" i="1"/>
  <c r="N75" i="1"/>
  <c r="N71" i="1"/>
  <c r="N63" i="1"/>
  <c r="N59" i="1"/>
  <c r="N55" i="1"/>
  <c r="N51" i="1"/>
  <c r="N47" i="1"/>
  <c r="N43" i="1"/>
  <c r="N39" i="1"/>
  <c r="N35" i="1"/>
  <c r="N31" i="1"/>
  <c r="N27" i="1"/>
  <c r="N23" i="1"/>
  <c r="N19" i="1"/>
  <c r="N15" i="1"/>
  <c r="N11" i="1"/>
  <c r="N187" i="1"/>
  <c r="N179" i="1"/>
  <c r="N171" i="1"/>
  <c r="N163" i="1"/>
  <c r="N155" i="1"/>
  <c r="N147" i="1"/>
  <c r="N139" i="1"/>
  <c r="N131" i="1"/>
  <c r="N123" i="1"/>
  <c r="N115" i="1"/>
  <c r="N107" i="1"/>
  <c r="N99" i="1"/>
  <c r="N91" i="1"/>
  <c r="N83" i="1"/>
  <c r="N67" i="1"/>
  <c r="N6" i="1"/>
  <c r="N391" i="1"/>
  <c r="N387" i="1"/>
  <c r="N383" i="1"/>
  <c r="N379" i="1"/>
  <c r="N375" i="1"/>
  <c r="N371" i="1"/>
  <c r="N367" i="1"/>
  <c r="N359" i="1"/>
  <c r="N347" i="1"/>
  <c r="N335" i="1"/>
  <c r="N327" i="1"/>
  <c r="N315" i="1"/>
  <c r="N303" i="1"/>
  <c r="N291" i="1"/>
  <c r="N279" i="1"/>
  <c r="N267" i="1"/>
  <c r="N255" i="1"/>
  <c r="N243" i="1"/>
  <c r="N231" i="1"/>
  <c r="N219" i="1"/>
  <c r="N207" i="1"/>
  <c r="N195" i="1"/>
  <c r="N494" i="1"/>
  <c r="N486" i="1"/>
  <c r="N478" i="1"/>
  <c r="N470" i="1"/>
  <c r="N462" i="1"/>
  <c r="N454" i="1"/>
  <c r="N446" i="1"/>
  <c r="N438" i="1"/>
  <c r="N430" i="1"/>
  <c r="N422" i="1"/>
  <c r="N414" i="1"/>
  <c r="N406" i="1"/>
  <c r="N398" i="1"/>
  <c r="N390" i="1"/>
  <c r="N382" i="1"/>
  <c r="N374" i="1"/>
  <c r="N366" i="1"/>
  <c r="N358" i="1"/>
  <c r="N350" i="1"/>
  <c r="N342" i="1"/>
  <c r="N334" i="1"/>
  <c r="N326" i="1"/>
  <c r="N318" i="1"/>
  <c r="N310" i="1"/>
  <c r="N298" i="1"/>
  <c r="N290" i="1"/>
  <c r="N282" i="1"/>
  <c r="N274" i="1"/>
  <c r="N266" i="1"/>
  <c r="N258" i="1"/>
  <c r="N250" i="1"/>
  <c r="N242" i="1"/>
  <c r="N234" i="1"/>
  <c r="N226" i="1"/>
  <c r="N218" i="1"/>
  <c r="N210" i="1"/>
  <c r="N202" i="1"/>
  <c r="N194" i="1"/>
  <c r="N182" i="1"/>
  <c r="N174" i="1"/>
  <c r="N166" i="1"/>
  <c r="N158" i="1"/>
  <c r="N150" i="1"/>
  <c r="N142" i="1"/>
  <c r="N134" i="1"/>
  <c r="N126" i="1"/>
  <c r="N118" i="1"/>
  <c r="N110" i="1"/>
  <c r="N94" i="1"/>
  <c r="N22" i="1"/>
  <c r="N18" i="1"/>
  <c r="N14" i="1"/>
  <c r="N10" i="1"/>
  <c r="N355" i="1"/>
  <c r="N343" i="1"/>
  <c r="N323" i="1"/>
  <c r="N311" i="1"/>
  <c r="N299" i="1"/>
  <c r="N287" i="1"/>
  <c r="N275" i="1"/>
  <c r="N263" i="1"/>
  <c r="N251" i="1"/>
  <c r="N239" i="1"/>
  <c r="N227" i="1"/>
  <c r="N215" i="1"/>
  <c r="N203" i="1"/>
  <c r="N498" i="1"/>
  <c r="N490" i="1"/>
  <c r="N482" i="1"/>
  <c r="N474" i="1"/>
  <c r="N466" i="1"/>
  <c r="N458" i="1"/>
  <c r="N450" i="1"/>
  <c r="N442" i="1"/>
  <c r="N434" i="1"/>
  <c r="N426" i="1"/>
  <c r="N418" i="1"/>
  <c r="N410" i="1"/>
  <c r="N402" i="1"/>
  <c r="N394" i="1"/>
  <c r="N386" i="1"/>
  <c r="N378" i="1"/>
  <c r="N370" i="1"/>
  <c r="N362" i="1"/>
  <c r="N354" i="1"/>
  <c r="N346" i="1"/>
  <c r="N338" i="1"/>
  <c r="N330" i="1"/>
  <c r="N322" i="1"/>
  <c r="N314" i="1"/>
  <c r="N306" i="1"/>
  <c r="N302" i="1"/>
  <c r="N294" i="1"/>
  <c r="N286" i="1"/>
  <c r="N278" i="1"/>
  <c r="N270" i="1"/>
  <c r="N262" i="1"/>
  <c r="N254" i="1"/>
  <c r="N246" i="1"/>
  <c r="N238" i="1"/>
  <c r="N230" i="1"/>
  <c r="N222" i="1"/>
  <c r="N214" i="1"/>
  <c r="N206" i="1"/>
  <c r="N198" i="1"/>
  <c r="N190" i="1"/>
  <c r="N186" i="1"/>
  <c r="N178" i="1"/>
  <c r="N170" i="1"/>
  <c r="N162" i="1"/>
  <c r="N154" i="1"/>
  <c r="N146" i="1"/>
  <c r="N138" i="1"/>
  <c r="N130" i="1"/>
  <c r="N122" i="1"/>
  <c r="N114" i="1"/>
  <c r="N106" i="1"/>
  <c r="N102" i="1"/>
  <c r="N98" i="1"/>
  <c r="N90" i="1"/>
  <c r="N86" i="1"/>
  <c r="N82" i="1"/>
  <c r="N78" i="1"/>
  <c r="N74" i="1"/>
  <c r="N70" i="1"/>
  <c r="N66" i="1"/>
  <c r="N62" i="1"/>
  <c r="N58" i="1"/>
  <c r="N54" i="1"/>
  <c r="N50" i="1"/>
  <c r="N46" i="1"/>
  <c r="N42" i="1"/>
  <c r="N38" i="1"/>
  <c r="N34" i="1"/>
  <c r="N30" i="1"/>
  <c r="N26" i="1"/>
  <c r="N363" i="1"/>
  <c r="N351" i="1"/>
  <c r="N339" i="1"/>
  <c r="N331" i="1"/>
  <c r="N319" i="1"/>
  <c r="N307" i="1"/>
  <c r="N295" i="1"/>
  <c r="N283" i="1"/>
  <c r="N271" i="1"/>
  <c r="N259" i="1"/>
  <c r="N247" i="1"/>
  <c r="N235" i="1"/>
  <c r="N223" i="1"/>
  <c r="N211" i="1"/>
  <c r="N199" i="1"/>
  <c r="N8" i="1"/>
  <c r="N4" i="1"/>
  <c r="N499" i="1"/>
  <c r="N495" i="1"/>
  <c r="N491" i="1"/>
  <c r="N487" i="1"/>
  <c r="N483" i="1"/>
  <c r="N479" i="1"/>
  <c r="N475" i="1"/>
  <c r="N471" i="1"/>
  <c r="N467" i="1"/>
  <c r="N463" i="1"/>
  <c r="N459" i="1"/>
  <c r="N455" i="1"/>
  <c r="N451" i="1"/>
  <c r="N447" i="1"/>
  <c r="N443" i="1"/>
  <c r="N439" i="1"/>
  <c r="N435" i="1"/>
  <c r="N431" i="1"/>
  <c r="N427" i="1"/>
  <c r="N423" i="1"/>
  <c r="N419" i="1"/>
  <c r="N415" i="1"/>
  <c r="N411" i="1"/>
  <c r="N407" i="1"/>
  <c r="N403" i="1"/>
  <c r="N399" i="1"/>
  <c r="N395" i="1"/>
  <c r="N493" i="1"/>
  <c r="N477" i="1"/>
  <c r="N465" i="1"/>
  <c r="N453" i="1"/>
  <c r="N441" i="1"/>
  <c r="N425" i="1"/>
  <c r="N413" i="1"/>
  <c r="N401" i="1"/>
  <c r="N389" i="1"/>
  <c r="N373" i="1"/>
  <c r="N361" i="1"/>
  <c r="N353" i="1"/>
  <c r="N341" i="1"/>
  <c r="N329" i="1"/>
  <c r="N317" i="1"/>
  <c r="N305" i="1"/>
  <c r="N297" i="1"/>
  <c r="N285" i="1"/>
  <c r="N269" i="1"/>
  <c r="N257" i="1"/>
  <c r="N245" i="1"/>
  <c r="N233" i="1"/>
  <c r="N221" i="1"/>
  <c r="N213" i="1"/>
  <c r="N205" i="1"/>
  <c r="N197" i="1"/>
  <c r="N185" i="1"/>
  <c r="N177" i="1"/>
  <c r="N169" i="1"/>
  <c r="N161" i="1"/>
  <c r="N149" i="1"/>
  <c r="N141" i="1"/>
  <c r="N133" i="1"/>
  <c r="N125" i="1"/>
  <c r="N117" i="1"/>
  <c r="N109" i="1"/>
  <c r="N101" i="1"/>
  <c r="N93" i="1"/>
  <c r="N85" i="1"/>
  <c r="N77" i="1"/>
  <c r="N69" i="1"/>
  <c r="N61" i="1"/>
  <c r="N53" i="1"/>
  <c r="N45" i="1"/>
  <c r="N37" i="1"/>
  <c r="N33" i="1"/>
  <c r="N29" i="1"/>
  <c r="N21" i="1"/>
  <c r="N17" i="1"/>
  <c r="N13" i="1"/>
  <c r="N501" i="1"/>
  <c r="N489" i="1"/>
  <c r="N481" i="1"/>
  <c r="N473" i="1"/>
  <c r="N461" i="1"/>
  <c r="N449" i="1"/>
  <c r="N437" i="1"/>
  <c r="N421" i="1"/>
  <c r="N409" i="1"/>
  <c r="N397" i="1"/>
  <c r="N385" i="1"/>
  <c r="N377" i="1"/>
  <c r="N365" i="1"/>
  <c r="N349" i="1"/>
  <c r="N337" i="1"/>
  <c r="N325" i="1"/>
  <c r="N313" i="1"/>
  <c r="N301" i="1"/>
  <c r="N289" i="1"/>
  <c r="N281" i="1"/>
  <c r="N273" i="1"/>
  <c r="N261" i="1"/>
  <c r="N249" i="1"/>
  <c r="N237" i="1"/>
  <c r="N229" i="1"/>
  <c r="N217" i="1"/>
  <c r="N209" i="1"/>
  <c r="N201" i="1"/>
  <c r="N193" i="1"/>
  <c r="N181" i="1"/>
  <c r="N173" i="1"/>
  <c r="N165" i="1"/>
  <c r="N157" i="1"/>
  <c r="N153" i="1"/>
  <c r="N145" i="1"/>
  <c r="N137" i="1"/>
  <c r="N129" i="1"/>
  <c r="N121" i="1"/>
  <c r="N113" i="1"/>
  <c r="N105" i="1"/>
  <c r="N97" i="1"/>
  <c r="N89" i="1"/>
  <c r="N81" i="1"/>
  <c r="N73" i="1"/>
  <c r="N65" i="1"/>
  <c r="N57" i="1"/>
  <c r="N49" i="1"/>
  <c r="N41" i="1"/>
  <c r="N25" i="1"/>
  <c r="N500" i="1"/>
  <c r="N496" i="1"/>
  <c r="N492" i="1"/>
  <c r="N488" i="1"/>
  <c r="N484" i="1"/>
  <c r="N480" i="1"/>
  <c r="N476" i="1"/>
  <c r="N472" i="1"/>
  <c r="N468" i="1"/>
  <c r="N464" i="1"/>
  <c r="N460" i="1"/>
  <c r="N456" i="1"/>
  <c r="N452" i="1"/>
  <c r="N448" i="1"/>
  <c r="N444" i="1"/>
  <c r="N440" i="1"/>
  <c r="N436" i="1"/>
  <c r="N432" i="1"/>
  <c r="N428" i="1"/>
  <c r="N424" i="1"/>
  <c r="N420" i="1"/>
  <c r="N416" i="1"/>
  <c r="N412" i="1"/>
  <c r="N408" i="1"/>
  <c r="N404" i="1"/>
  <c r="N400" i="1"/>
  <c r="N396" i="1"/>
  <c r="N392" i="1"/>
  <c r="N388" i="1"/>
  <c r="N384" i="1"/>
  <c r="N380" i="1"/>
  <c r="N376" i="1"/>
  <c r="N372" i="1"/>
  <c r="N368" i="1"/>
  <c r="N364" i="1"/>
  <c r="N360" i="1"/>
  <c r="N356" i="1"/>
  <c r="N352" i="1"/>
  <c r="N348" i="1"/>
  <c r="N344" i="1"/>
  <c r="N340" i="1"/>
  <c r="N336" i="1"/>
  <c r="N332" i="1"/>
  <c r="N328" i="1"/>
  <c r="N324" i="1"/>
  <c r="N320" i="1"/>
  <c r="N316" i="1"/>
  <c r="N312" i="1"/>
  <c r="N308" i="1"/>
  <c r="N304" i="1"/>
  <c r="N300" i="1"/>
  <c r="N296" i="1"/>
  <c r="N292" i="1"/>
  <c r="N288" i="1"/>
  <c r="N284" i="1"/>
  <c r="N280" i="1"/>
  <c r="N276" i="1"/>
  <c r="N272" i="1"/>
  <c r="N268" i="1"/>
  <c r="N264" i="1"/>
  <c r="N260" i="1"/>
  <c r="N256" i="1"/>
  <c r="N252" i="1"/>
  <c r="N248" i="1"/>
  <c r="N244" i="1"/>
  <c r="N240" i="1"/>
  <c r="N236" i="1"/>
  <c r="N232" i="1"/>
  <c r="N497" i="1"/>
  <c r="N485" i="1"/>
  <c r="N469" i="1"/>
  <c r="N457" i="1"/>
  <c r="N445" i="1"/>
  <c r="N433" i="1"/>
  <c r="N429" i="1"/>
  <c r="N417" i="1"/>
  <c r="N405" i="1"/>
  <c r="N393" i="1"/>
  <c r="N381" i="1"/>
  <c r="N369" i="1"/>
  <c r="N357" i="1"/>
  <c r="N345" i="1"/>
  <c r="N333" i="1"/>
  <c r="N321" i="1"/>
  <c r="N309" i="1"/>
  <c r="N293" i="1"/>
  <c r="N277" i="1"/>
  <c r="N265" i="1"/>
  <c r="N253" i="1"/>
  <c r="N241" i="1"/>
  <c r="N225" i="1"/>
  <c r="N189" i="1"/>
  <c r="N228" i="1"/>
  <c r="N224" i="1"/>
  <c r="N220" i="1"/>
  <c r="N216" i="1"/>
  <c r="N212" i="1"/>
  <c r="N208" i="1"/>
  <c r="N204" i="1"/>
  <c r="N200" i="1"/>
  <c r="N196" i="1"/>
  <c r="N192" i="1"/>
  <c r="N188" i="1"/>
  <c r="N184" i="1"/>
  <c r="N180" i="1"/>
  <c r="N176" i="1"/>
  <c r="N172" i="1"/>
  <c r="N168" i="1"/>
  <c r="N164" i="1"/>
  <c r="N160" i="1"/>
  <c r="N156" i="1"/>
  <c r="N152" i="1"/>
  <c r="N148" i="1"/>
  <c r="N144" i="1"/>
  <c r="N140" i="1"/>
  <c r="N136" i="1"/>
  <c r="N132" i="1"/>
  <c r="N128" i="1"/>
  <c r="N124" i="1"/>
  <c r="N120" i="1"/>
  <c r="N116" i="1"/>
  <c r="N112" i="1"/>
  <c r="N108" i="1"/>
  <c r="N104" i="1"/>
  <c r="N100" i="1"/>
  <c r="N96" i="1"/>
  <c r="N92" i="1"/>
  <c r="N88" i="1"/>
  <c r="N84" i="1"/>
  <c r="N80" i="1"/>
  <c r="N76" i="1"/>
  <c r="N72" i="1"/>
  <c r="N68" i="1"/>
  <c r="N64" i="1"/>
  <c r="N60" i="1"/>
  <c r="N56" i="1"/>
  <c r="N52" i="1"/>
  <c r="N48" i="1"/>
  <c r="N44" i="1"/>
  <c r="N40" i="1"/>
  <c r="N36" i="1"/>
  <c r="N32" i="1"/>
  <c r="N28" i="1"/>
  <c r="N24" i="1"/>
  <c r="N20" i="1"/>
  <c r="N16" i="1"/>
  <c r="N12" i="1"/>
  <c r="N9" i="1"/>
  <c r="N2" i="1"/>
</calcChain>
</file>

<file path=xl/sharedStrings.xml><?xml version="1.0" encoding="utf-8"?>
<sst xmlns="http://schemas.openxmlformats.org/spreadsheetml/2006/main" count="2124" uniqueCount="562">
  <si>
    <t>Customer_ID</t>
  </si>
  <si>
    <t>Product_Line</t>
  </si>
  <si>
    <t>Subscription_Start_Date</t>
  </si>
  <si>
    <t>Subscription_End_Date</t>
  </si>
  <si>
    <t>Customer_Segment</t>
  </si>
  <si>
    <t>Monthly_Spend</t>
  </si>
  <si>
    <t>Support_Tickets</t>
  </si>
  <si>
    <t>Login_Frequency</t>
  </si>
  <si>
    <t>Status</t>
  </si>
  <si>
    <t>CUST01000</t>
  </si>
  <si>
    <t>Enterprise Software</t>
  </si>
  <si>
    <t>Enterprise</t>
  </si>
  <si>
    <t>Active</t>
  </si>
  <si>
    <t>CUST01001</t>
  </si>
  <si>
    <t>AI/ML</t>
  </si>
  <si>
    <t>CUST01002</t>
  </si>
  <si>
    <t>SMB</t>
  </si>
  <si>
    <t>At-Risk</t>
  </si>
  <si>
    <t>CUST01003</t>
  </si>
  <si>
    <t>Security</t>
  </si>
  <si>
    <t>CUST01004</t>
  </si>
  <si>
    <t>CUST01005</t>
  </si>
  <si>
    <t>CUST01006</t>
  </si>
  <si>
    <t>Mid-Market</t>
  </si>
  <si>
    <t>CUST01007</t>
  </si>
  <si>
    <t>CUST01008</t>
  </si>
  <si>
    <t>CUST01009</t>
  </si>
  <si>
    <t>Cloud Services</t>
  </si>
  <si>
    <t>Churned</t>
  </si>
  <si>
    <t>CUST01010</t>
  </si>
  <si>
    <t>CUST01011</t>
  </si>
  <si>
    <t>Analytics</t>
  </si>
  <si>
    <t>CUST01012</t>
  </si>
  <si>
    <t>CUST01013</t>
  </si>
  <si>
    <t>CUST01014</t>
  </si>
  <si>
    <t>CUST01015</t>
  </si>
  <si>
    <t>CUST01016</t>
  </si>
  <si>
    <t>CUST01017</t>
  </si>
  <si>
    <t>CUST01018</t>
  </si>
  <si>
    <t>CUST01019</t>
  </si>
  <si>
    <t>CUST01020</t>
  </si>
  <si>
    <t>CUST01021</t>
  </si>
  <si>
    <t>CUST01022</t>
  </si>
  <si>
    <t>CUST01023</t>
  </si>
  <si>
    <t>CUST01024</t>
  </si>
  <si>
    <t>CUST01025</t>
  </si>
  <si>
    <t>CUST01026</t>
  </si>
  <si>
    <t>CUST01027</t>
  </si>
  <si>
    <t>CUST01028</t>
  </si>
  <si>
    <t>CUST01029</t>
  </si>
  <si>
    <t>CUST01030</t>
  </si>
  <si>
    <t>CUST01031</t>
  </si>
  <si>
    <t>CUST01032</t>
  </si>
  <si>
    <t>CUST01033</t>
  </si>
  <si>
    <t>CUST01034</t>
  </si>
  <si>
    <t>CUST01035</t>
  </si>
  <si>
    <t>CUST01036</t>
  </si>
  <si>
    <t>CUST01037</t>
  </si>
  <si>
    <t>CUST01038</t>
  </si>
  <si>
    <t>CUST01039</t>
  </si>
  <si>
    <t>CUST01040</t>
  </si>
  <si>
    <t>CUST01041</t>
  </si>
  <si>
    <t>CUST01042</t>
  </si>
  <si>
    <t>CUST01043</t>
  </si>
  <si>
    <t>CUST01044</t>
  </si>
  <si>
    <t>CUST01045</t>
  </si>
  <si>
    <t>CUST01046</t>
  </si>
  <si>
    <t>CUST01047</t>
  </si>
  <si>
    <t>CUST01048</t>
  </si>
  <si>
    <t>CUST01049</t>
  </si>
  <si>
    <t>CUST01050</t>
  </si>
  <si>
    <t>CUST01051</t>
  </si>
  <si>
    <t>CUST01052</t>
  </si>
  <si>
    <t>CUST01053</t>
  </si>
  <si>
    <t>CUST01054</t>
  </si>
  <si>
    <t>CUST01055</t>
  </si>
  <si>
    <t>CUST01056</t>
  </si>
  <si>
    <t>CUST01057</t>
  </si>
  <si>
    <t>CUST01058</t>
  </si>
  <si>
    <t>CUST01059</t>
  </si>
  <si>
    <t>CUST01060</t>
  </si>
  <si>
    <t>CUST01061</t>
  </si>
  <si>
    <t>CUST01062</t>
  </si>
  <si>
    <t>CUST01063</t>
  </si>
  <si>
    <t>CUST01064</t>
  </si>
  <si>
    <t>CUST01065</t>
  </si>
  <si>
    <t>CUST01066</t>
  </si>
  <si>
    <t>CUST01067</t>
  </si>
  <si>
    <t>CUST01068</t>
  </si>
  <si>
    <t>CUST01069</t>
  </si>
  <si>
    <t>CUST01070</t>
  </si>
  <si>
    <t>CUST01071</t>
  </si>
  <si>
    <t>CUST01072</t>
  </si>
  <si>
    <t>CUST01073</t>
  </si>
  <si>
    <t>CUST01074</t>
  </si>
  <si>
    <t>CUST01075</t>
  </si>
  <si>
    <t>CUST01076</t>
  </si>
  <si>
    <t>CUST01077</t>
  </si>
  <si>
    <t>CUST01078</t>
  </si>
  <si>
    <t>CUST01079</t>
  </si>
  <si>
    <t>CUST01080</t>
  </si>
  <si>
    <t>CUST01081</t>
  </si>
  <si>
    <t>CUST01082</t>
  </si>
  <si>
    <t>CUST01083</t>
  </si>
  <si>
    <t>CUST01084</t>
  </si>
  <si>
    <t>CUST01085</t>
  </si>
  <si>
    <t>CUST01086</t>
  </si>
  <si>
    <t>CUST01087</t>
  </si>
  <si>
    <t>CUST01088</t>
  </si>
  <si>
    <t>CUST01089</t>
  </si>
  <si>
    <t>CUST01090</t>
  </si>
  <si>
    <t>CUST01091</t>
  </si>
  <si>
    <t>CUST01092</t>
  </si>
  <si>
    <t>CUST01093</t>
  </si>
  <si>
    <t>CUST01094</t>
  </si>
  <si>
    <t>CUST01095</t>
  </si>
  <si>
    <t>CUST01096</t>
  </si>
  <si>
    <t>CUST01097</t>
  </si>
  <si>
    <t>CUST01098</t>
  </si>
  <si>
    <t>CUST01099</t>
  </si>
  <si>
    <t>CUST01100</t>
  </si>
  <si>
    <t>CUST01101</t>
  </si>
  <si>
    <t>CUST01102</t>
  </si>
  <si>
    <t>CUST01103</t>
  </si>
  <si>
    <t>CUST01104</t>
  </si>
  <si>
    <t>CUST01105</t>
  </si>
  <si>
    <t>CUST01106</t>
  </si>
  <si>
    <t>CUST01107</t>
  </si>
  <si>
    <t>CUST01108</t>
  </si>
  <si>
    <t>CUST01109</t>
  </si>
  <si>
    <t>CUST01110</t>
  </si>
  <si>
    <t>CUST01111</t>
  </si>
  <si>
    <t>CUST01112</t>
  </si>
  <si>
    <t>CUST01113</t>
  </si>
  <si>
    <t>CUST01114</t>
  </si>
  <si>
    <t>CUST01115</t>
  </si>
  <si>
    <t>CUST01116</t>
  </si>
  <si>
    <t>CUST01117</t>
  </si>
  <si>
    <t>CUST01118</t>
  </si>
  <si>
    <t>CUST01119</t>
  </si>
  <si>
    <t>CUST01120</t>
  </si>
  <si>
    <t>CUST01121</t>
  </si>
  <si>
    <t>CUST01122</t>
  </si>
  <si>
    <t>CUST01123</t>
  </si>
  <si>
    <t>CUST01124</t>
  </si>
  <si>
    <t>CUST01125</t>
  </si>
  <si>
    <t>CUST01126</t>
  </si>
  <si>
    <t>CUST01127</t>
  </si>
  <si>
    <t>CUST01128</t>
  </si>
  <si>
    <t>CUST01129</t>
  </si>
  <si>
    <t>CUST01130</t>
  </si>
  <si>
    <t>CUST01131</t>
  </si>
  <si>
    <t>CUST01132</t>
  </si>
  <si>
    <t>CUST01133</t>
  </si>
  <si>
    <t>CUST01134</t>
  </si>
  <si>
    <t>CUST01135</t>
  </si>
  <si>
    <t>CUST01136</t>
  </si>
  <si>
    <t>CUST01137</t>
  </si>
  <si>
    <t>CUST01138</t>
  </si>
  <si>
    <t>CUST01139</t>
  </si>
  <si>
    <t>CUST01140</t>
  </si>
  <si>
    <t>CUST01141</t>
  </si>
  <si>
    <t>CUST01142</t>
  </si>
  <si>
    <t>CUST01143</t>
  </si>
  <si>
    <t>CUST01144</t>
  </si>
  <si>
    <t>CUST01145</t>
  </si>
  <si>
    <t>CUST01146</t>
  </si>
  <si>
    <t>CUST01147</t>
  </si>
  <si>
    <t>CUST01148</t>
  </si>
  <si>
    <t>CUST01149</t>
  </si>
  <si>
    <t>CUST01150</t>
  </si>
  <si>
    <t>CUST01151</t>
  </si>
  <si>
    <t>CUST01152</t>
  </si>
  <si>
    <t>CUST01153</t>
  </si>
  <si>
    <t>CUST01154</t>
  </si>
  <si>
    <t>CUST01155</t>
  </si>
  <si>
    <t>CUST01156</t>
  </si>
  <si>
    <t>CUST01157</t>
  </si>
  <si>
    <t>CUST01158</t>
  </si>
  <si>
    <t>CUST01159</t>
  </si>
  <si>
    <t>CUST01160</t>
  </si>
  <si>
    <t>CUST01161</t>
  </si>
  <si>
    <t>CUST01162</t>
  </si>
  <si>
    <t>CUST01163</t>
  </si>
  <si>
    <t>CUST01164</t>
  </si>
  <si>
    <t>CUST01165</t>
  </si>
  <si>
    <t>CUST01166</t>
  </si>
  <si>
    <t>CUST01167</t>
  </si>
  <si>
    <t>CUST01168</t>
  </si>
  <si>
    <t>CUST01169</t>
  </si>
  <si>
    <t>CUST01170</t>
  </si>
  <si>
    <t>CUST01171</t>
  </si>
  <si>
    <t>CUST01172</t>
  </si>
  <si>
    <t>CUST01173</t>
  </si>
  <si>
    <t>CUST01174</t>
  </si>
  <si>
    <t>CUST01175</t>
  </si>
  <si>
    <t>CUST01176</t>
  </si>
  <si>
    <t>CUST01177</t>
  </si>
  <si>
    <t>CUST01178</t>
  </si>
  <si>
    <t>CUST01179</t>
  </si>
  <si>
    <t>CUST01180</t>
  </si>
  <si>
    <t>CUST01181</t>
  </si>
  <si>
    <t>CUST01182</t>
  </si>
  <si>
    <t>CUST01183</t>
  </si>
  <si>
    <t>CUST01184</t>
  </si>
  <si>
    <t>CUST01185</t>
  </si>
  <si>
    <t>CUST01186</t>
  </si>
  <si>
    <t>CUST01187</t>
  </si>
  <si>
    <t>CUST01188</t>
  </si>
  <si>
    <t>CUST01189</t>
  </si>
  <si>
    <t>CUST01190</t>
  </si>
  <si>
    <t>CUST01191</t>
  </si>
  <si>
    <t>CUST01192</t>
  </si>
  <si>
    <t>CUST01193</t>
  </si>
  <si>
    <t>CUST01194</t>
  </si>
  <si>
    <t>CUST01195</t>
  </si>
  <si>
    <t>CUST01196</t>
  </si>
  <si>
    <t>CUST01197</t>
  </si>
  <si>
    <t>CUST01198</t>
  </si>
  <si>
    <t>CUST01199</t>
  </si>
  <si>
    <t>CUST01200</t>
  </si>
  <si>
    <t>CUST01201</t>
  </si>
  <si>
    <t>CUST01202</t>
  </si>
  <si>
    <t>CUST01203</t>
  </si>
  <si>
    <t>CUST01204</t>
  </si>
  <si>
    <t>CUST01205</t>
  </si>
  <si>
    <t>CUST01206</t>
  </si>
  <si>
    <t>CUST01207</t>
  </si>
  <si>
    <t>CUST01208</t>
  </si>
  <si>
    <t>CUST01209</t>
  </si>
  <si>
    <t>CUST01210</t>
  </si>
  <si>
    <t>CUST01211</t>
  </si>
  <si>
    <t>CUST01212</t>
  </si>
  <si>
    <t>CUST01213</t>
  </si>
  <si>
    <t>CUST01214</t>
  </si>
  <si>
    <t>CUST01215</t>
  </si>
  <si>
    <t>CUST01216</t>
  </si>
  <si>
    <t>CUST01217</t>
  </si>
  <si>
    <t>CUST01218</t>
  </si>
  <si>
    <t>CUST01219</t>
  </si>
  <si>
    <t>CUST01220</t>
  </si>
  <si>
    <t>CUST01221</t>
  </si>
  <si>
    <t>CUST01222</t>
  </si>
  <si>
    <t>CUST01223</t>
  </si>
  <si>
    <t>CUST01224</t>
  </si>
  <si>
    <t>CUST01225</t>
  </si>
  <si>
    <t>CUST01226</t>
  </si>
  <si>
    <t>CUST01227</t>
  </si>
  <si>
    <t>CUST01228</t>
  </si>
  <si>
    <t>CUST01229</t>
  </si>
  <si>
    <t>CUST01230</t>
  </si>
  <si>
    <t>CUST01231</t>
  </si>
  <si>
    <t>CUST01232</t>
  </si>
  <si>
    <t>CUST01233</t>
  </si>
  <si>
    <t>CUST01234</t>
  </si>
  <si>
    <t>CUST01235</t>
  </si>
  <si>
    <t>CUST01236</t>
  </si>
  <si>
    <t>CUST01237</t>
  </si>
  <si>
    <t>CUST01238</t>
  </si>
  <si>
    <t>CUST01239</t>
  </si>
  <si>
    <t>CUST01240</t>
  </si>
  <si>
    <t>CUST01241</t>
  </si>
  <si>
    <t>CUST01242</t>
  </si>
  <si>
    <t>CUST01243</t>
  </si>
  <si>
    <t>CUST01244</t>
  </si>
  <si>
    <t>CUST01245</t>
  </si>
  <si>
    <t>CUST01246</t>
  </si>
  <si>
    <t>CUST01247</t>
  </si>
  <si>
    <t>CUST01248</t>
  </si>
  <si>
    <t>CUST01249</t>
  </si>
  <si>
    <t>CUST01250</t>
  </si>
  <si>
    <t>CUST01251</t>
  </si>
  <si>
    <t>CUST01252</t>
  </si>
  <si>
    <t>CUST01253</t>
  </si>
  <si>
    <t>CUST01254</t>
  </si>
  <si>
    <t>CUST01255</t>
  </si>
  <si>
    <t>CUST01256</t>
  </si>
  <si>
    <t>CUST01257</t>
  </si>
  <si>
    <t>CUST01258</t>
  </si>
  <si>
    <t>CUST01259</t>
  </si>
  <si>
    <t>CUST01260</t>
  </si>
  <si>
    <t>CUST01261</t>
  </si>
  <si>
    <t>CUST01262</t>
  </si>
  <si>
    <t>CUST01263</t>
  </si>
  <si>
    <t>CUST01264</t>
  </si>
  <si>
    <t>CUST01265</t>
  </si>
  <si>
    <t>CUST01266</t>
  </si>
  <si>
    <t>CUST01267</t>
  </si>
  <si>
    <t>CUST01268</t>
  </si>
  <si>
    <t>CUST01269</t>
  </si>
  <si>
    <t>CUST01270</t>
  </si>
  <si>
    <t>CUST01271</t>
  </si>
  <si>
    <t>CUST01272</t>
  </si>
  <si>
    <t>CUST01273</t>
  </si>
  <si>
    <t>CUST01274</t>
  </si>
  <si>
    <t>CUST01275</t>
  </si>
  <si>
    <t>CUST01276</t>
  </si>
  <si>
    <t>CUST01277</t>
  </si>
  <si>
    <t>CUST01278</t>
  </si>
  <si>
    <t>CUST01279</t>
  </si>
  <si>
    <t>CUST01280</t>
  </si>
  <si>
    <t>CUST01281</t>
  </si>
  <si>
    <t>CUST01282</t>
  </si>
  <si>
    <t>CUST01283</t>
  </si>
  <si>
    <t>CUST01284</t>
  </si>
  <si>
    <t>CUST01285</t>
  </si>
  <si>
    <t>CUST01286</t>
  </si>
  <si>
    <t>CUST01287</t>
  </si>
  <si>
    <t>CUST01288</t>
  </si>
  <si>
    <t>CUST01289</t>
  </si>
  <si>
    <t>CUST01290</t>
  </si>
  <si>
    <t>CUST01291</t>
  </si>
  <si>
    <t>CUST01292</t>
  </si>
  <si>
    <t>CUST01293</t>
  </si>
  <si>
    <t>CUST01294</t>
  </si>
  <si>
    <t>CUST01295</t>
  </si>
  <si>
    <t>CUST01296</t>
  </si>
  <si>
    <t>CUST01297</t>
  </si>
  <si>
    <t>CUST01298</t>
  </si>
  <si>
    <t>CUST01299</t>
  </si>
  <si>
    <t>CUST01300</t>
  </si>
  <si>
    <t>CUST01301</t>
  </si>
  <si>
    <t>CUST01302</t>
  </si>
  <si>
    <t>CUST01303</t>
  </si>
  <si>
    <t>CUST01304</t>
  </si>
  <si>
    <t>CUST01305</t>
  </si>
  <si>
    <t>CUST01306</t>
  </si>
  <si>
    <t>CUST01307</t>
  </si>
  <si>
    <t>CUST01308</t>
  </si>
  <si>
    <t>CUST01309</t>
  </si>
  <si>
    <t>CUST01310</t>
  </si>
  <si>
    <t>CUST01311</t>
  </si>
  <si>
    <t>CUST01312</t>
  </si>
  <si>
    <t>CUST01313</t>
  </si>
  <si>
    <t>CUST01314</t>
  </si>
  <si>
    <t>CUST01315</t>
  </si>
  <si>
    <t>CUST01316</t>
  </si>
  <si>
    <t>CUST01317</t>
  </si>
  <si>
    <t>CUST01318</t>
  </si>
  <si>
    <t>CUST01319</t>
  </si>
  <si>
    <t>CUST01320</t>
  </si>
  <si>
    <t>CUST01321</t>
  </si>
  <si>
    <t>CUST01322</t>
  </si>
  <si>
    <t>CUST01323</t>
  </si>
  <si>
    <t>CUST01324</t>
  </si>
  <si>
    <t>CUST01325</t>
  </si>
  <si>
    <t>CUST01326</t>
  </si>
  <si>
    <t>CUST01327</t>
  </si>
  <si>
    <t>CUST01328</t>
  </si>
  <si>
    <t>CUST01329</t>
  </si>
  <si>
    <t>CUST01330</t>
  </si>
  <si>
    <t>CUST01331</t>
  </si>
  <si>
    <t>CUST01332</t>
  </si>
  <si>
    <t>CUST01333</t>
  </si>
  <si>
    <t>CUST01334</t>
  </si>
  <si>
    <t>CUST01335</t>
  </si>
  <si>
    <t>CUST01336</t>
  </si>
  <si>
    <t>CUST01337</t>
  </si>
  <si>
    <t>CUST01338</t>
  </si>
  <si>
    <t>CUST01339</t>
  </si>
  <si>
    <t>CUST01340</t>
  </si>
  <si>
    <t>CUST01341</t>
  </si>
  <si>
    <t>CUST01342</t>
  </si>
  <si>
    <t>CUST01343</t>
  </si>
  <si>
    <t>CUST01344</t>
  </si>
  <si>
    <t>CUST01345</t>
  </si>
  <si>
    <t>CUST01346</t>
  </si>
  <si>
    <t>CUST01347</t>
  </si>
  <si>
    <t>CUST01348</t>
  </si>
  <si>
    <t>CUST01349</t>
  </si>
  <si>
    <t>CUST01350</t>
  </si>
  <si>
    <t>CUST01351</t>
  </si>
  <si>
    <t>CUST01352</t>
  </si>
  <si>
    <t>CUST01353</t>
  </si>
  <si>
    <t>CUST01354</t>
  </si>
  <si>
    <t>CUST01355</t>
  </si>
  <si>
    <t>CUST01356</t>
  </si>
  <si>
    <t>CUST01357</t>
  </si>
  <si>
    <t>CUST01358</t>
  </si>
  <si>
    <t>CUST01359</t>
  </si>
  <si>
    <t>CUST01360</t>
  </si>
  <si>
    <t>CUST01361</t>
  </si>
  <si>
    <t>CUST01362</t>
  </si>
  <si>
    <t>CUST01363</t>
  </si>
  <si>
    <t>CUST01364</t>
  </si>
  <si>
    <t>CUST01365</t>
  </si>
  <si>
    <t>CUST01366</t>
  </si>
  <si>
    <t>CUST01367</t>
  </si>
  <si>
    <t>CUST01368</t>
  </si>
  <si>
    <t>CUST01369</t>
  </si>
  <si>
    <t>CUST01370</t>
  </si>
  <si>
    <t>CUST01371</t>
  </si>
  <si>
    <t>CUST01372</t>
  </si>
  <si>
    <t>CUST01373</t>
  </si>
  <si>
    <t>CUST01374</t>
  </si>
  <si>
    <t>CUST01375</t>
  </si>
  <si>
    <t>CUST01376</t>
  </si>
  <si>
    <t>CUST01377</t>
  </si>
  <si>
    <t>CUST01378</t>
  </si>
  <si>
    <t>CUST01379</t>
  </si>
  <si>
    <t>CUST01380</t>
  </si>
  <si>
    <t>CUST01381</t>
  </si>
  <si>
    <t>CUST01382</t>
  </si>
  <si>
    <t>CUST01383</t>
  </si>
  <si>
    <t>CUST01384</t>
  </si>
  <si>
    <t>CUST01385</t>
  </si>
  <si>
    <t>CUST01386</t>
  </si>
  <si>
    <t>CUST01387</t>
  </si>
  <si>
    <t>CUST01388</t>
  </si>
  <si>
    <t>CUST01389</t>
  </si>
  <si>
    <t>CUST01390</t>
  </si>
  <si>
    <t>CUST01391</t>
  </si>
  <si>
    <t>CUST01392</t>
  </si>
  <si>
    <t>CUST01393</t>
  </si>
  <si>
    <t>CUST01394</t>
  </si>
  <si>
    <t>CUST01395</t>
  </si>
  <si>
    <t>CUST01396</t>
  </si>
  <si>
    <t>CUST01397</t>
  </si>
  <si>
    <t>CUST01398</t>
  </si>
  <si>
    <t>CUST01399</t>
  </si>
  <si>
    <t>CUST01400</t>
  </si>
  <si>
    <t>CUST01401</t>
  </si>
  <si>
    <t>CUST01402</t>
  </si>
  <si>
    <t>CUST01403</t>
  </si>
  <si>
    <t>CUST01404</t>
  </si>
  <si>
    <t>CUST01405</t>
  </si>
  <si>
    <t>CUST01406</t>
  </si>
  <si>
    <t>CUST01407</t>
  </si>
  <si>
    <t>CUST01408</t>
  </si>
  <si>
    <t>CUST01409</t>
  </si>
  <si>
    <t>CUST01410</t>
  </si>
  <si>
    <t>CUST01411</t>
  </si>
  <si>
    <t>CUST01412</t>
  </si>
  <si>
    <t>CUST01413</t>
  </si>
  <si>
    <t>CUST01414</t>
  </si>
  <si>
    <t>CUST01415</t>
  </si>
  <si>
    <t>CUST01416</t>
  </si>
  <si>
    <t>CUST01417</t>
  </si>
  <si>
    <t>CUST01418</t>
  </si>
  <si>
    <t>CUST01419</t>
  </si>
  <si>
    <t>CUST01420</t>
  </si>
  <si>
    <t>CUST01421</t>
  </si>
  <si>
    <t>CUST01422</t>
  </si>
  <si>
    <t>CUST01423</t>
  </si>
  <si>
    <t>CUST01424</t>
  </si>
  <si>
    <t>CUST01425</t>
  </si>
  <si>
    <t>CUST01426</t>
  </si>
  <si>
    <t>CUST01427</t>
  </si>
  <si>
    <t>CUST01428</t>
  </si>
  <si>
    <t>CUST01429</t>
  </si>
  <si>
    <t>CUST01430</t>
  </si>
  <si>
    <t>CUST01431</t>
  </si>
  <si>
    <t>CUST01432</t>
  </si>
  <si>
    <t>CUST01433</t>
  </si>
  <si>
    <t>CUST01434</t>
  </si>
  <si>
    <t>CUST01435</t>
  </si>
  <si>
    <t>CUST01436</t>
  </si>
  <si>
    <t>CUST01437</t>
  </si>
  <si>
    <t>CUST01438</t>
  </si>
  <si>
    <t>CUST01439</t>
  </si>
  <si>
    <t>CUST01440</t>
  </si>
  <si>
    <t>CUST01441</t>
  </si>
  <si>
    <t>CUST01442</t>
  </si>
  <si>
    <t>CUST01443</t>
  </si>
  <si>
    <t>CUST01444</t>
  </si>
  <si>
    <t>CUST01445</t>
  </si>
  <si>
    <t>CUST01446</t>
  </si>
  <si>
    <t>CUST01447</t>
  </si>
  <si>
    <t>CUST01448</t>
  </si>
  <si>
    <t>CUST01449</t>
  </si>
  <si>
    <t>CUST01450</t>
  </si>
  <si>
    <t>CUST01451</t>
  </si>
  <si>
    <t>CUST01452</t>
  </si>
  <si>
    <t>CUST01453</t>
  </si>
  <si>
    <t>CUST01454</t>
  </si>
  <si>
    <t>CUST01455</t>
  </si>
  <si>
    <t>CUST01456</t>
  </si>
  <si>
    <t>CUST01457</t>
  </si>
  <si>
    <t>CUST01458</t>
  </si>
  <si>
    <t>CUST01459</t>
  </si>
  <si>
    <t>CUST01460</t>
  </si>
  <si>
    <t>CUST01461</t>
  </si>
  <si>
    <t>CUST01462</t>
  </si>
  <si>
    <t>CUST01463</t>
  </si>
  <si>
    <t>CUST01464</t>
  </si>
  <si>
    <t>CUST01465</t>
  </si>
  <si>
    <t>CUST01466</t>
  </si>
  <si>
    <t>CUST01467</t>
  </si>
  <si>
    <t>CUST01468</t>
  </si>
  <si>
    <t>CUST01469</t>
  </si>
  <si>
    <t>CUST01470</t>
  </si>
  <si>
    <t>CUST01471</t>
  </si>
  <si>
    <t>CUST01472</t>
  </si>
  <si>
    <t>CUST01473</t>
  </si>
  <si>
    <t>CUST01474</t>
  </si>
  <si>
    <t>CUST01475</t>
  </si>
  <si>
    <t>CUST01476</t>
  </si>
  <si>
    <t>CUST01477</t>
  </si>
  <si>
    <t>CUST01478</t>
  </si>
  <si>
    <t>CUST01479</t>
  </si>
  <si>
    <t>CUST01480</t>
  </si>
  <si>
    <t>CUST01481</t>
  </si>
  <si>
    <t>CUST01482</t>
  </si>
  <si>
    <t>CUST01483</t>
  </si>
  <si>
    <t>CUST01484</t>
  </si>
  <si>
    <t>CUST01485</t>
  </si>
  <si>
    <t>CUST01486</t>
  </si>
  <si>
    <t>CUST01487</t>
  </si>
  <si>
    <t>CUST01488</t>
  </si>
  <si>
    <t>CUST01489</t>
  </si>
  <si>
    <t>CUST01490</t>
  </si>
  <si>
    <t>CUST01491</t>
  </si>
  <si>
    <t>CUST01492</t>
  </si>
  <si>
    <t>CUST01493</t>
  </si>
  <si>
    <t>CUST01494</t>
  </si>
  <si>
    <t>CUST01495</t>
  </si>
  <si>
    <t>CUST01496</t>
  </si>
  <si>
    <t>CUST01497</t>
  </si>
  <si>
    <t>CUST01498</t>
  </si>
  <si>
    <t>CUST01499</t>
  </si>
  <si>
    <t>Row Labels</t>
  </si>
  <si>
    <t>Grand Total</t>
  </si>
  <si>
    <t>Count of Customer_ID</t>
  </si>
  <si>
    <t>(All)</t>
  </si>
  <si>
    <t>Active Customers</t>
  </si>
  <si>
    <t>Retention Rate</t>
  </si>
  <si>
    <t>Churn rate</t>
  </si>
  <si>
    <t>Churned Customer</t>
  </si>
  <si>
    <t>Sum of Monthly_Spend</t>
  </si>
  <si>
    <t>Column Labels</t>
  </si>
  <si>
    <t>Jan</t>
  </si>
  <si>
    <t>Feb</t>
  </si>
  <si>
    <t>Mar</t>
  </si>
  <si>
    <t>Apr</t>
  </si>
  <si>
    <t>May</t>
  </si>
  <si>
    <t>Jun</t>
  </si>
  <si>
    <t>Jul</t>
  </si>
  <si>
    <t>Aug</t>
  </si>
  <si>
    <t>Sep</t>
  </si>
  <si>
    <t>Oct</t>
  </si>
  <si>
    <t>Nov</t>
  </si>
  <si>
    <t>Dec</t>
  </si>
  <si>
    <t>Customer Segment</t>
  </si>
  <si>
    <t>Churn Count</t>
  </si>
  <si>
    <t>Total Customers</t>
  </si>
  <si>
    <t>Churn Rate (%)</t>
  </si>
  <si>
    <t>Is_Churned</t>
  </si>
  <si>
    <t>Norm. Login</t>
  </si>
  <si>
    <t>Norm. Support</t>
  </si>
  <si>
    <t>Norm. Spend</t>
  </si>
  <si>
    <t>Health Score</t>
  </si>
  <si>
    <t>Health Status</t>
  </si>
  <si>
    <t>Healthy</t>
  </si>
  <si>
    <t>Retention rate</t>
  </si>
  <si>
    <t>Retention Status</t>
  </si>
  <si>
    <t>(blank)</t>
  </si>
  <si>
    <t>(Multiple Items)</t>
  </si>
  <si>
    <t>Total Active Customers</t>
  </si>
  <si>
    <t>Status2</t>
  </si>
  <si>
    <t>Customer Lifetime(Months)</t>
  </si>
  <si>
    <t>Customer LTV</t>
  </si>
  <si>
    <t>Average of Customer LTV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</si>
</sst>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75" formatCode="[&gt;=1000000]&quot;$&quot;#0.0,,&quot;M&quot;;[&gt;=1000]#0.0,&quot;k&quot;;0"/>
    <numFmt numFmtId="17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7"/>
      <color rgb="FFF9FAFB"/>
      <name val="Consolas"/>
      <family val="3"/>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1" tint="4.9989318521683403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33" borderId="10" xfId="0" applyNumberFormat="1" applyFont="1" applyFill="1" applyBorder="1"/>
    <xf numFmtId="9" fontId="0" fillId="0" borderId="0" xfId="1" applyFont="1"/>
    <xf numFmtId="0" fontId="16" fillId="0" borderId="0" xfId="0" applyFont="1" applyAlignment="1">
      <alignment horizontal="center" vertical="center" wrapText="1"/>
    </xf>
    <xf numFmtId="0" fontId="16" fillId="0" borderId="0" xfId="0" applyFont="1"/>
    <xf numFmtId="0" fontId="16" fillId="0" borderId="0" xfId="0" applyFont="1" applyAlignment="1">
      <alignment vertical="center"/>
    </xf>
    <xf numFmtId="0" fontId="16" fillId="0" borderId="0" xfId="0" applyFont="1" applyAlignment="1">
      <alignment horizontal="center" vertical="center"/>
    </xf>
    <xf numFmtId="0" fontId="16" fillId="0" borderId="0" xfId="0" applyFont="1" applyAlignment="1">
      <alignment horizontal="center"/>
    </xf>
    <xf numFmtId="0" fontId="19" fillId="0" borderId="0" xfId="0" applyFont="1"/>
    <xf numFmtId="0" fontId="19" fillId="0" borderId="0" xfId="0" applyNumberFormat="1" applyFont="1"/>
    <xf numFmtId="0" fontId="17" fillId="34" borderId="0" xfId="0" applyFont="1" applyFill="1"/>
    <xf numFmtId="0" fontId="0" fillId="33" borderId="10" xfId="0" applyNumberFormat="1" applyFont="1" applyFill="1" applyBorder="1"/>
    <xf numFmtId="175" fontId="0" fillId="0" borderId="0" xfId="0" applyNumberFormat="1"/>
    <xf numFmtId="176" fontId="0" fillId="0" borderId="0" xfId="0" applyNumberFormat="1"/>
    <xf numFmtId="164" fontId="0" fillId="0" borderId="0" xfId="0" pivotButton="1"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02">
    <dxf>
      <numFmt numFmtId="175" formatCode="[&gt;=1000000]&quot;$&quot;#0.0,,&quot;M&quot;;[&gt;=1000]#0.0,&quot;k&quot;;0"/>
    </dxf>
    <dxf>
      <numFmt numFmtId="164" formatCode="&quot;$&quot;#,##0.00"/>
    </dxf>
    <dxf>
      <numFmt numFmtId="164" formatCode="&quot;$&quot;#,##0.00"/>
    </dxf>
    <dxf>
      <numFmt numFmtId="164" formatCode="&quot;$&quot;#,##0.00"/>
    </dxf>
    <dxf>
      <numFmt numFmtId="164" formatCode="&quot;$&quot;#,##0.00"/>
    </dxf>
    <dxf>
      <numFmt numFmtId="176" formatCode="&quot;$&quot;#,##0"/>
    </dxf>
    <dxf>
      <numFmt numFmtId="164" formatCode="&quot;$&quot;#,##0.00"/>
    </dxf>
    <dxf>
      <numFmt numFmtId="164" formatCode="&quot;$&quot;#,##0.00"/>
    </dxf>
    <dxf>
      <numFmt numFmtId="164" formatCode="&quot;$&quot;#,##0.00"/>
    </dxf>
    <dxf>
      <numFmt numFmtId="176" formatCode="&quot;$&quot;#,##0"/>
    </dxf>
    <dxf>
      <numFmt numFmtId="175" formatCode="[&gt;=1000000]&quot;$&quot;#0.0,,&quot;M&quot;;[&gt;=1000]#0.0,&quot;k&quot;;0"/>
    </dxf>
    <dxf>
      <numFmt numFmtId="164" formatCode="&quot;$&quot;#,##0.00"/>
    </dxf>
    <dxf>
      <numFmt numFmtId="164" formatCode="&quot;$&quot;#,##0.00"/>
    </dxf>
    <dxf>
      <numFmt numFmtId="164" formatCode="&quot;$&quot;#,##0.00"/>
    </dxf>
    <dxf>
      <numFmt numFmtId="164" formatCode="&quot;$&quot;#,##0.00"/>
    </dxf>
    <dxf>
      <numFmt numFmtId="176" formatCode="&quot;$&quot;#,##0"/>
    </dxf>
    <dxf>
      <numFmt numFmtId="164" formatCode="&quot;$&quot;#,##0.00"/>
    </dxf>
    <dxf>
      <numFmt numFmtId="164" formatCode="&quot;$&quot;#,##0.00"/>
    </dxf>
    <dxf>
      <numFmt numFmtId="164" formatCode="&quot;$&quot;#,##0.00"/>
    </dxf>
    <dxf>
      <numFmt numFmtId="176" formatCode="&quot;$&quot;#,##0"/>
    </dxf>
    <dxf>
      <numFmt numFmtId="175" formatCode="[&gt;=1000000]&quot;$&quot;#0.0,,&quot;M&quot;;[&gt;=1000]#0.0,&quot;k&quot;;0"/>
    </dxf>
    <dxf>
      <numFmt numFmtId="164" formatCode="&quot;$&quot;#,##0.00"/>
    </dxf>
    <dxf>
      <numFmt numFmtId="164" formatCode="&quot;$&quot;#,##0.00"/>
    </dxf>
    <dxf>
      <numFmt numFmtId="164" formatCode="&quot;$&quot;#,##0.00"/>
    </dxf>
    <dxf>
      <numFmt numFmtId="164" formatCode="&quot;$&quot;#,##0.00"/>
    </dxf>
    <dxf>
      <numFmt numFmtId="176" formatCode="&quot;$&quot;#,##0"/>
    </dxf>
    <dxf>
      <numFmt numFmtId="164" formatCode="&quot;$&quot;#,##0.00"/>
    </dxf>
    <dxf>
      <numFmt numFmtId="164" formatCode="&quot;$&quot;#,##0.00"/>
    </dxf>
    <dxf>
      <numFmt numFmtId="164" formatCode="&quot;$&quot;#,##0.00"/>
    </dxf>
    <dxf>
      <numFmt numFmtId="176" formatCode="&quot;$&quot;#,##0"/>
    </dxf>
    <dxf>
      <numFmt numFmtId="175" formatCode="[&gt;=1000000]&quot;$&quot;#0.0,,&quot;M&quot;;[&gt;=1000]#0.0,&quot;k&quot;;0"/>
    </dxf>
    <dxf>
      <numFmt numFmtId="164" formatCode="&quot;$&quot;#,##0.00"/>
    </dxf>
    <dxf>
      <numFmt numFmtId="164" formatCode="&quot;$&quot;#,##0.00"/>
    </dxf>
    <dxf>
      <numFmt numFmtId="164" formatCode="&quot;$&quot;#,##0.00"/>
    </dxf>
    <dxf>
      <numFmt numFmtId="164" formatCode="&quot;$&quot;#,##0.00"/>
    </dxf>
    <dxf>
      <numFmt numFmtId="176" formatCode="&quot;$&quot;#,##0"/>
    </dxf>
    <dxf>
      <numFmt numFmtId="164" formatCode="&quot;$&quot;#,##0.00"/>
    </dxf>
    <dxf>
      <numFmt numFmtId="164" formatCode="&quot;$&quot;#,##0.00"/>
    </dxf>
    <dxf>
      <numFmt numFmtId="164" formatCode="&quot;$&quot;#,##0.00"/>
    </dxf>
    <dxf>
      <numFmt numFmtId="176" formatCode="&quot;$&quot;#,##0"/>
    </dxf>
    <dxf>
      <numFmt numFmtId="175" formatCode="[&gt;=1000000]&quot;$&quot;#0.0,,&quot;M&quot;;[&gt;=1000]#0.0,&quot;k&quot;;0"/>
    </dxf>
    <dxf>
      <numFmt numFmtId="164" formatCode="&quot;$&quot;#,##0.00"/>
    </dxf>
    <dxf>
      <numFmt numFmtId="164" formatCode="&quot;$&quot;#,##0.00"/>
    </dxf>
    <dxf>
      <numFmt numFmtId="164" formatCode="&quot;$&quot;#,##0.00"/>
    </dxf>
    <dxf>
      <numFmt numFmtId="164" formatCode="&quot;$&quot;#,##0.00"/>
    </dxf>
    <dxf>
      <numFmt numFmtId="176" formatCode="&quot;$&quot;#,##0"/>
    </dxf>
    <dxf>
      <numFmt numFmtId="164" formatCode="&quot;$&quot;#,##0.00"/>
    </dxf>
    <dxf>
      <numFmt numFmtId="164" formatCode="&quot;$&quot;#,##0.00"/>
    </dxf>
    <dxf>
      <numFmt numFmtId="164" formatCode="&quot;$&quot;#,##0.00"/>
    </dxf>
    <dxf>
      <numFmt numFmtId="176" formatCode="&quot;$&quot;#,##0"/>
    </dxf>
    <dxf>
      <numFmt numFmtId="175" formatCode="[&gt;=1000000]&quot;$&quot;#0.0,,&quot;M&quot;;[&gt;=1000]#0.0,&quot;k&quot;;0"/>
    </dxf>
    <dxf>
      <numFmt numFmtId="164" formatCode="&quot;$&quot;#,##0.00"/>
    </dxf>
    <dxf>
      <numFmt numFmtId="164" formatCode="&quot;$&quot;#,##0.00"/>
    </dxf>
    <dxf>
      <numFmt numFmtId="164" formatCode="&quot;$&quot;#,##0.00"/>
    </dxf>
    <dxf>
      <numFmt numFmtId="164" formatCode="&quot;$&quot;#,##0.00"/>
    </dxf>
    <dxf>
      <numFmt numFmtId="176" formatCode="&quot;$&quot;#,##0"/>
    </dxf>
    <dxf>
      <numFmt numFmtId="164" formatCode="&quot;$&quot;#,##0.00"/>
    </dxf>
    <dxf>
      <numFmt numFmtId="164" formatCode="&quot;$&quot;#,##0.00"/>
    </dxf>
    <dxf>
      <numFmt numFmtId="164" formatCode="&quot;$&quot;#,##0.00"/>
    </dxf>
    <dxf>
      <numFmt numFmtId="176" formatCode="&quot;$&quot;#,##0"/>
    </dxf>
    <dxf>
      <numFmt numFmtId="175" formatCode="[&gt;=1000000]&quot;$&quot;#0.0,,&quot;M&quot;;[&gt;=1000]#0.0,&quot;k&quot;;0"/>
    </dxf>
    <dxf>
      <numFmt numFmtId="164" formatCode="&quot;$&quot;#,##0.00"/>
    </dxf>
    <dxf>
      <numFmt numFmtId="164" formatCode="&quot;$&quot;#,##0.00"/>
    </dxf>
    <dxf>
      <numFmt numFmtId="164" formatCode="&quot;$&quot;#,##0.00"/>
    </dxf>
    <dxf>
      <numFmt numFmtId="164" formatCode="&quot;$&quot;#,##0.00"/>
    </dxf>
    <dxf>
      <numFmt numFmtId="176" formatCode="&quot;$&quot;#,##0"/>
    </dxf>
    <dxf>
      <numFmt numFmtId="164" formatCode="&quot;$&quot;#,##0.00"/>
    </dxf>
    <dxf>
      <numFmt numFmtId="164" formatCode="&quot;$&quot;#,##0.00"/>
    </dxf>
    <dxf>
      <numFmt numFmtId="164" formatCode="&quot;$&quot;#,##0.00"/>
    </dxf>
    <dxf>
      <numFmt numFmtId="176" formatCode="&quot;$&quot;#,##0"/>
    </dxf>
    <dxf>
      <numFmt numFmtId="175" formatCode="[&gt;=1000000]&quot;$&quot;#0.0,,&quot;M&quot;;[&gt;=1000]#0.0,&quot;k&quot;;0"/>
    </dxf>
    <dxf>
      <numFmt numFmtId="164" formatCode="&quot;$&quot;#,##0.00"/>
    </dxf>
    <dxf>
      <numFmt numFmtId="164" formatCode="&quot;$&quot;#,##0.00"/>
    </dxf>
    <dxf>
      <numFmt numFmtId="164" formatCode="&quot;$&quot;#,##0.00"/>
    </dxf>
    <dxf>
      <numFmt numFmtId="164" formatCode="&quot;$&quot;#,##0.00"/>
    </dxf>
    <dxf>
      <numFmt numFmtId="176" formatCode="&quot;$&quot;#,##0"/>
    </dxf>
    <dxf>
      <numFmt numFmtId="164" formatCode="&quot;$&quot;#,##0.00"/>
    </dxf>
    <dxf>
      <numFmt numFmtId="164" formatCode="&quot;$&quot;#,##0.00"/>
    </dxf>
    <dxf>
      <numFmt numFmtId="164" formatCode="&quot;$&quot;#,##0.00"/>
    </dxf>
    <dxf>
      <numFmt numFmtId="176" formatCode="&quot;$&quot;#,##0"/>
    </dxf>
    <dxf>
      <numFmt numFmtId="175" formatCode="[&gt;=1000000]&quot;$&quot;#0.0,,&quot;M&quot;;[&gt;=1000]#0.0,&quot;k&quot;;0"/>
    </dxf>
    <dxf>
      <numFmt numFmtId="176" formatCode="&quot;$&quot;#,##0"/>
    </dxf>
    <dxf>
      <numFmt numFmtId="164" formatCode="&quot;$&quot;#,##0.00"/>
    </dxf>
    <dxf>
      <numFmt numFmtId="164" formatCode="&quot;$&quot;#,##0.00"/>
    </dxf>
    <dxf>
      <numFmt numFmtId="164" formatCode="&quot;$&quot;#,##0.00"/>
    </dxf>
    <dxf>
      <numFmt numFmtId="164" formatCode="&quot;$&quot;#,##0.00"/>
    </dxf>
    <dxf>
      <numFmt numFmtId="176" formatCode="&quot;$&quot;#,##0"/>
    </dxf>
    <dxf>
      <numFmt numFmtId="164" formatCode="&quot;$&quot;#,##0.00"/>
    </dxf>
    <dxf>
      <numFmt numFmtId="164" formatCode="&quot;$&quot;#,##0.0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00"/>
    </dxf>
    <dxf>
      <numFmt numFmtId="19" formatCode="m/d/yyyy"/>
    </dxf>
  </dxfs>
  <tableStyles count="0" defaultTableStyle="TableStyleMedium2" defaultPivotStyle="PivotStyleLight16"/>
  <colors>
    <mruColors>
      <color rgb="FF189C2E"/>
      <color rgb="FFFCA768"/>
      <color rgb="FFFF1D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Support ticket vs retention</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824759405074368"/>
          <c:y val="0.13467592592592592"/>
          <c:w val="0.85534514435695541"/>
          <c:h val="0.65144320501603969"/>
        </c:manualLayout>
      </c:layout>
      <c:scatterChart>
        <c:scatterStyle val="lineMarker"/>
        <c:varyColors val="0"/>
        <c:ser>
          <c:idx val="0"/>
          <c:order val="0"/>
          <c:tx>
            <c:v>Healthy</c:v>
          </c:tx>
          <c:spPr>
            <a:ln w="25400" cap="rnd">
              <a:noFill/>
              <a:round/>
            </a:ln>
            <a:effectLst/>
          </c:spPr>
          <c:marker>
            <c:symbol val="circle"/>
            <c:size val="5"/>
            <c:spPr>
              <a:solidFill>
                <a:schemeClr val="accent6">
                  <a:lumMod val="50000"/>
                </a:schemeClr>
              </a:solidFill>
              <a:ln w="9525">
                <a:solidFill>
                  <a:schemeClr val="accent1"/>
                </a:solidFill>
              </a:ln>
              <a:effectLst/>
            </c:spPr>
          </c:marker>
          <c:yVal>
            <c:numRef>
              <c:f>'Data - Sheet1'!$G$1</c:f>
              <c:numCache>
                <c:formatCode>General</c:formatCode>
                <c:ptCount val="1"/>
                <c:pt idx="0">
                  <c:v>0</c:v>
                </c:pt>
              </c:numCache>
            </c:numRef>
          </c:yVal>
          <c:smooth val="0"/>
          <c:extLst>
            <c:ext xmlns:c16="http://schemas.microsoft.com/office/drawing/2014/chart" uri="{C3380CC4-5D6E-409C-BE32-E72D297353CC}">
              <c16:uniqueId val="{00000000-5B5D-41E7-AEC3-6938E6409C95}"/>
            </c:ext>
          </c:extLst>
        </c:ser>
        <c:ser>
          <c:idx val="1"/>
          <c:order val="1"/>
          <c:tx>
            <c:v>At-Risk</c:v>
          </c:tx>
          <c:spPr>
            <a:ln w="25400" cap="rnd">
              <a:noFill/>
              <a:round/>
            </a:ln>
            <a:effectLst/>
          </c:spPr>
          <c:marker>
            <c:symbol val="circle"/>
            <c:size val="5"/>
            <c:spPr>
              <a:solidFill>
                <a:schemeClr val="accent2">
                  <a:lumMod val="60000"/>
                  <a:lumOff val="40000"/>
                </a:schemeClr>
              </a:solidFill>
              <a:ln w="9525">
                <a:solidFill>
                  <a:schemeClr val="accent2"/>
                </a:solidFill>
              </a:ln>
              <a:effectLst/>
            </c:spPr>
          </c:marker>
          <c:yVal>
            <c:numRef>
              <c:f>'Data - Sheet1'!$G$1:$G$502</c:f>
              <c:numCache>
                <c:formatCode>General</c:formatCode>
                <c:ptCount val="502"/>
                <c:pt idx="0">
                  <c:v>0</c:v>
                </c:pt>
                <c:pt idx="1">
                  <c:v>43</c:v>
                </c:pt>
                <c:pt idx="2">
                  <c:v>13</c:v>
                </c:pt>
                <c:pt idx="3">
                  <c:v>28</c:v>
                </c:pt>
                <c:pt idx="4">
                  <c:v>9</c:v>
                </c:pt>
                <c:pt idx="5">
                  <c:v>38</c:v>
                </c:pt>
                <c:pt idx="6">
                  <c:v>35</c:v>
                </c:pt>
                <c:pt idx="7">
                  <c:v>42</c:v>
                </c:pt>
                <c:pt idx="8">
                  <c:v>29</c:v>
                </c:pt>
                <c:pt idx="9">
                  <c:v>38</c:v>
                </c:pt>
                <c:pt idx="10">
                  <c:v>40</c:v>
                </c:pt>
                <c:pt idx="11">
                  <c:v>2</c:v>
                </c:pt>
                <c:pt idx="12">
                  <c:v>41</c:v>
                </c:pt>
                <c:pt idx="13">
                  <c:v>47</c:v>
                </c:pt>
                <c:pt idx="14">
                  <c:v>14</c:v>
                </c:pt>
                <c:pt idx="15">
                  <c:v>40</c:v>
                </c:pt>
                <c:pt idx="16">
                  <c:v>16</c:v>
                </c:pt>
                <c:pt idx="17">
                  <c:v>7</c:v>
                </c:pt>
                <c:pt idx="18">
                  <c:v>48</c:v>
                </c:pt>
                <c:pt idx="19">
                  <c:v>23</c:v>
                </c:pt>
                <c:pt idx="20">
                  <c:v>1</c:v>
                </c:pt>
                <c:pt idx="21">
                  <c:v>5</c:v>
                </c:pt>
                <c:pt idx="22">
                  <c:v>35</c:v>
                </c:pt>
                <c:pt idx="23">
                  <c:v>48</c:v>
                </c:pt>
                <c:pt idx="24">
                  <c:v>33</c:v>
                </c:pt>
                <c:pt idx="25">
                  <c:v>35</c:v>
                </c:pt>
                <c:pt idx="26">
                  <c:v>4</c:v>
                </c:pt>
                <c:pt idx="27">
                  <c:v>34</c:v>
                </c:pt>
                <c:pt idx="28">
                  <c:v>12</c:v>
                </c:pt>
                <c:pt idx="29">
                  <c:v>46</c:v>
                </c:pt>
                <c:pt idx="30">
                  <c:v>12</c:v>
                </c:pt>
                <c:pt idx="31">
                  <c:v>15</c:v>
                </c:pt>
                <c:pt idx="32">
                  <c:v>5</c:v>
                </c:pt>
                <c:pt idx="33">
                  <c:v>3</c:v>
                </c:pt>
                <c:pt idx="34">
                  <c:v>27</c:v>
                </c:pt>
                <c:pt idx="35">
                  <c:v>3</c:v>
                </c:pt>
                <c:pt idx="36">
                  <c:v>33</c:v>
                </c:pt>
                <c:pt idx="37">
                  <c:v>4</c:v>
                </c:pt>
                <c:pt idx="38">
                  <c:v>38</c:v>
                </c:pt>
                <c:pt idx="39">
                  <c:v>13</c:v>
                </c:pt>
                <c:pt idx="40">
                  <c:v>20</c:v>
                </c:pt>
                <c:pt idx="41">
                  <c:v>34</c:v>
                </c:pt>
                <c:pt idx="42">
                  <c:v>23</c:v>
                </c:pt>
                <c:pt idx="43">
                  <c:v>19</c:v>
                </c:pt>
                <c:pt idx="44">
                  <c:v>9</c:v>
                </c:pt>
                <c:pt idx="45">
                  <c:v>32</c:v>
                </c:pt>
                <c:pt idx="46">
                  <c:v>0</c:v>
                </c:pt>
                <c:pt idx="47">
                  <c:v>45</c:v>
                </c:pt>
                <c:pt idx="48">
                  <c:v>2</c:v>
                </c:pt>
                <c:pt idx="49">
                  <c:v>23</c:v>
                </c:pt>
                <c:pt idx="50">
                  <c:v>49</c:v>
                </c:pt>
                <c:pt idx="51">
                  <c:v>11</c:v>
                </c:pt>
                <c:pt idx="52">
                  <c:v>17</c:v>
                </c:pt>
                <c:pt idx="53">
                  <c:v>29</c:v>
                </c:pt>
                <c:pt idx="54">
                  <c:v>21</c:v>
                </c:pt>
                <c:pt idx="55">
                  <c:v>21</c:v>
                </c:pt>
                <c:pt idx="56">
                  <c:v>6</c:v>
                </c:pt>
                <c:pt idx="57">
                  <c:v>36</c:v>
                </c:pt>
                <c:pt idx="58">
                  <c:v>27</c:v>
                </c:pt>
                <c:pt idx="59">
                  <c:v>32</c:v>
                </c:pt>
                <c:pt idx="60">
                  <c:v>26</c:v>
                </c:pt>
                <c:pt idx="61">
                  <c:v>35</c:v>
                </c:pt>
                <c:pt idx="62">
                  <c:v>28</c:v>
                </c:pt>
                <c:pt idx="63">
                  <c:v>18</c:v>
                </c:pt>
                <c:pt idx="64">
                  <c:v>14</c:v>
                </c:pt>
                <c:pt idx="65">
                  <c:v>49</c:v>
                </c:pt>
                <c:pt idx="66">
                  <c:v>25</c:v>
                </c:pt>
                <c:pt idx="67">
                  <c:v>14</c:v>
                </c:pt>
                <c:pt idx="68">
                  <c:v>8</c:v>
                </c:pt>
                <c:pt idx="69">
                  <c:v>46</c:v>
                </c:pt>
                <c:pt idx="70">
                  <c:v>16</c:v>
                </c:pt>
                <c:pt idx="71">
                  <c:v>17</c:v>
                </c:pt>
                <c:pt idx="72">
                  <c:v>34</c:v>
                </c:pt>
                <c:pt idx="73">
                  <c:v>4</c:v>
                </c:pt>
                <c:pt idx="74">
                  <c:v>26</c:v>
                </c:pt>
                <c:pt idx="75">
                  <c:v>0</c:v>
                </c:pt>
                <c:pt idx="76">
                  <c:v>14</c:v>
                </c:pt>
                <c:pt idx="77">
                  <c:v>29</c:v>
                </c:pt>
                <c:pt idx="78">
                  <c:v>41</c:v>
                </c:pt>
                <c:pt idx="79">
                  <c:v>13</c:v>
                </c:pt>
                <c:pt idx="80">
                  <c:v>5</c:v>
                </c:pt>
                <c:pt idx="81">
                  <c:v>41</c:v>
                </c:pt>
                <c:pt idx="82">
                  <c:v>9</c:v>
                </c:pt>
                <c:pt idx="83">
                  <c:v>44</c:v>
                </c:pt>
                <c:pt idx="84">
                  <c:v>19</c:v>
                </c:pt>
                <c:pt idx="85">
                  <c:v>45</c:v>
                </c:pt>
                <c:pt idx="86">
                  <c:v>44</c:v>
                </c:pt>
                <c:pt idx="87">
                  <c:v>34</c:v>
                </c:pt>
                <c:pt idx="88">
                  <c:v>31</c:v>
                </c:pt>
                <c:pt idx="89">
                  <c:v>27</c:v>
                </c:pt>
                <c:pt idx="90">
                  <c:v>27</c:v>
                </c:pt>
                <c:pt idx="91">
                  <c:v>28</c:v>
                </c:pt>
                <c:pt idx="92">
                  <c:v>31</c:v>
                </c:pt>
                <c:pt idx="93">
                  <c:v>17</c:v>
                </c:pt>
                <c:pt idx="94">
                  <c:v>15</c:v>
                </c:pt>
                <c:pt idx="95">
                  <c:v>28</c:v>
                </c:pt>
                <c:pt idx="96">
                  <c:v>42</c:v>
                </c:pt>
                <c:pt idx="97">
                  <c:v>21</c:v>
                </c:pt>
                <c:pt idx="98">
                  <c:v>20</c:v>
                </c:pt>
                <c:pt idx="99">
                  <c:v>46</c:v>
                </c:pt>
                <c:pt idx="100">
                  <c:v>14</c:v>
                </c:pt>
                <c:pt idx="101">
                  <c:v>2</c:v>
                </c:pt>
                <c:pt idx="102">
                  <c:v>0</c:v>
                </c:pt>
                <c:pt idx="103">
                  <c:v>16</c:v>
                </c:pt>
                <c:pt idx="104">
                  <c:v>9</c:v>
                </c:pt>
                <c:pt idx="105">
                  <c:v>38</c:v>
                </c:pt>
                <c:pt idx="106">
                  <c:v>37</c:v>
                </c:pt>
                <c:pt idx="107">
                  <c:v>40</c:v>
                </c:pt>
                <c:pt idx="108">
                  <c:v>4</c:v>
                </c:pt>
                <c:pt idx="109">
                  <c:v>2</c:v>
                </c:pt>
                <c:pt idx="110">
                  <c:v>43</c:v>
                </c:pt>
                <c:pt idx="111">
                  <c:v>7</c:v>
                </c:pt>
                <c:pt idx="112">
                  <c:v>3</c:v>
                </c:pt>
                <c:pt idx="113">
                  <c:v>29</c:v>
                </c:pt>
                <c:pt idx="114">
                  <c:v>5</c:v>
                </c:pt>
                <c:pt idx="115">
                  <c:v>14</c:v>
                </c:pt>
                <c:pt idx="116">
                  <c:v>2</c:v>
                </c:pt>
                <c:pt idx="117">
                  <c:v>37</c:v>
                </c:pt>
                <c:pt idx="118">
                  <c:v>42</c:v>
                </c:pt>
                <c:pt idx="119">
                  <c:v>48</c:v>
                </c:pt>
                <c:pt idx="120">
                  <c:v>49</c:v>
                </c:pt>
                <c:pt idx="121">
                  <c:v>3</c:v>
                </c:pt>
                <c:pt idx="122">
                  <c:v>13</c:v>
                </c:pt>
                <c:pt idx="123">
                  <c:v>1</c:v>
                </c:pt>
                <c:pt idx="124">
                  <c:v>26</c:v>
                </c:pt>
                <c:pt idx="125">
                  <c:v>45</c:v>
                </c:pt>
                <c:pt idx="126">
                  <c:v>15</c:v>
                </c:pt>
                <c:pt idx="127">
                  <c:v>17</c:v>
                </c:pt>
                <c:pt idx="128">
                  <c:v>46</c:v>
                </c:pt>
                <c:pt idx="129">
                  <c:v>34</c:v>
                </c:pt>
                <c:pt idx="130">
                  <c:v>20</c:v>
                </c:pt>
                <c:pt idx="131">
                  <c:v>20</c:v>
                </c:pt>
                <c:pt idx="132">
                  <c:v>2</c:v>
                </c:pt>
                <c:pt idx="133">
                  <c:v>33</c:v>
                </c:pt>
                <c:pt idx="134">
                  <c:v>30</c:v>
                </c:pt>
                <c:pt idx="135">
                  <c:v>43</c:v>
                </c:pt>
                <c:pt idx="136">
                  <c:v>2</c:v>
                </c:pt>
                <c:pt idx="137">
                  <c:v>47</c:v>
                </c:pt>
                <c:pt idx="138">
                  <c:v>10</c:v>
                </c:pt>
                <c:pt idx="139">
                  <c:v>22</c:v>
                </c:pt>
                <c:pt idx="140">
                  <c:v>11</c:v>
                </c:pt>
                <c:pt idx="141">
                  <c:v>9</c:v>
                </c:pt>
                <c:pt idx="142">
                  <c:v>18</c:v>
                </c:pt>
                <c:pt idx="143">
                  <c:v>19</c:v>
                </c:pt>
                <c:pt idx="144">
                  <c:v>24</c:v>
                </c:pt>
                <c:pt idx="145">
                  <c:v>1</c:v>
                </c:pt>
                <c:pt idx="146">
                  <c:v>47</c:v>
                </c:pt>
                <c:pt idx="147">
                  <c:v>39</c:v>
                </c:pt>
                <c:pt idx="148">
                  <c:v>50</c:v>
                </c:pt>
                <c:pt idx="149">
                  <c:v>20</c:v>
                </c:pt>
                <c:pt idx="150">
                  <c:v>32</c:v>
                </c:pt>
                <c:pt idx="151">
                  <c:v>7</c:v>
                </c:pt>
                <c:pt idx="152">
                  <c:v>23</c:v>
                </c:pt>
                <c:pt idx="153">
                  <c:v>43</c:v>
                </c:pt>
                <c:pt idx="154">
                  <c:v>43</c:v>
                </c:pt>
                <c:pt idx="155">
                  <c:v>14</c:v>
                </c:pt>
                <c:pt idx="156">
                  <c:v>7</c:v>
                </c:pt>
                <c:pt idx="157">
                  <c:v>15</c:v>
                </c:pt>
                <c:pt idx="158">
                  <c:v>47</c:v>
                </c:pt>
                <c:pt idx="159">
                  <c:v>26</c:v>
                </c:pt>
                <c:pt idx="160">
                  <c:v>23</c:v>
                </c:pt>
                <c:pt idx="161">
                  <c:v>12</c:v>
                </c:pt>
                <c:pt idx="162">
                  <c:v>50</c:v>
                </c:pt>
                <c:pt idx="163">
                  <c:v>13</c:v>
                </c:pt>
                <c:pt idx="164">
                  <c:v>34</c:v>
                </c:pt>
                <c:pt idx="165">
                  <c:v>22</c:v>
                </c:pt>
                <c:pt idx="166">
                  <c:v>47</c:v>
                </c:pt>
                <c:pt idx="167">
                  <c:v>37</c:v>
                </c:pt>
                <c:pt idx="168">
                  <c:v>19</c:v>
                </c:pt>
                <c:pt idx="169">
                  <c:v>31</c:v>
                </c:pt>
                <c:pt idx="170">
                  <c:v>8</c:v>
                </c:pt>
                <c:pt idx="171">
                  <c:v>38</c:v>
                </c:pt>
                <c:pt idx="172">
                  <c:v>41</c:v>
                </c:pt>
                <c:pt idx="173">
                  <c:v>21</c:v>
                </c:pt>
                <c:pt idx="174">
                  <c:v>23</c:v>
                </c:pt>
                <c:pt idx="175">
                  <c:v>6</c:v>
                </c:pt>
                <c:pt idx="176">
                  <c:v>26</c:v>
                </c:pt>
                <c:pt idx="177">
                  <c:v>6</c:v>
                </c:pt>
                <c:pt idx="178">
                  <c:v>22</c:v>
                </c:pt>
                <c:pt idx="179">
                  <c:v>49</c:v>
                </c:pt>
                <c:pt idx="180">
                  <c:v>11</c:v>
                </c:pt>
                <c:pt idx="181">
                  <c:v>42</c:v>
                </c:pt>
                <c:pt idx="182">
                  <c:v>13</c:v>
                </c:pt>
                <c:pt idx="183">
                  <c:v>49</c:v>
                </c:pt>
                <c:pt idx="184">
                  <c:v>17</c:v>
                </c:pt>
                <c:pt idx="185">
                  <c:v>48</c:v>
                </c:pt>
                <c:pt idx="186">
                  <c:v>42</c:v>
                </c:pt>
                <c:pt idx="187">
                  <c:v>13</c:v>
                </c:pt>
                <c:pt idx="188">
                  <c:v>31</c:v>
                </c:pt>
                <c:pt idx="189">
                  <c:v>35</c:v>
                </c:pt>
                <c:pt idx="190">
                  <c:v>1</c:v>
                </c:pt>
                <c:pt idx="191">
                  <c:v>18</c:v>
                </c:pt>
                <c:pt idx="192">
                  <c:v>5</c:v>
                </c:pt>
                <c:pt idx="193">
                  <c:v>19</c:v>
                </c:pt>
                <c:pt idx="194">
                  <c:v>40</c:v>
                </c:pt>
                <c:pt idx="195">
                  <c:v>46</c:v>
                </c:pt>
                <c:pt idx="196">
                  <c:v>38</c:v>
                </c:pt>
                <c:pt idx="197">
                  <c:v>41</c:v>
                </c:pt>
                <c:pt idx="198">
                  <c:v>30</c:v>
                </c:pt>
                <c:pt idx="199">
                  <c:v>19</c:v>
                </c:pt>
                <c:pt idx="200">
                  <c:v>41</c:v>
                </c:pt>
                <c:pt idx="201">
                  <c:v>36</c:v>
                </c:pt>
                <c:pt idx="202">
                  <c:v>28</c:v>
                </c:pt>
                <c:pt idx="203">
                  <c:v>15</c:v>
                </c:pt>
                <c:pt idx="204">
                  <c:v>23</c:v>
                </c:pt>
                <c:pt idx="205">
                  <c:v>4</c:v>
                </c:pt>
                <c:pt idx="206">
                  <c:v>9</c:v>
                </c:pt>
                <c:pt idx="207">
                  <c:v>41</c:v>
                </c:pt>
                <c:pt idx="208">
                  <c:v>35</c:v>
                </c:pt>
                <c:pt idx="209">
                  <c:v>32</c:v>
                </c:pt>
                <c:pt idx="210">
                  <c:v>49</c:v>
                </c:pt>
                <c:pt idx="211">
                  <c:v>32</c:v>
                </c:pt>
                <c:pt idx="212">
                  <c:v>8</c:v>
                </c:pt>
                <c:pt idx="213">
                  <c:v>2</c:v>
                </c:pt>
                <c:pt idx="214">
                  <c:v>14</c:v>
                </c:pt>
                <c:pt idx="215">
                  <c:v>43</c:v>
                </c:pt>
                <c:pt idx="216">
                  <c:v>12</c:v>
                </c:pt>
                <c:pt idx="217">
                  <c:v>6</c:v>
                </c:pt>
                <c:pt idx="218">
                  <c:v>28</c:v>
                </c:pt>
                <c:pt idx="219">
                  <c:v>22</c:v>
                </c:pt>
                <c:pt idx="220">
                  <c:v>5</c:v>
                </c:pt>
                <c:pt idx="221">
                  <c:v>8</c:v>
                </c:pt>
                <c:pt idx="222">
                  <c:v>39</c:v>
                </c:pt>
                <c:pt idx="223">
                  <c:v>46</c:v>
                </c:pt>
                <c:pt idx="224">
                  <c:v>7</c:v>
                </c:pt>
                <c:pt idx="225">
                  <c:v>7</c:v>
                </c:pt>
                <c:pt idx="226">
                  <c:v>18</c:v>
                </c:pt>
                <c:pt idx="227">
                  <c:v>42</c:v>
                </c:pt>
                <c:pt idx="228">
                  <c:v>32</c:v>
                </c:pt>
                <c:pt idx="229">
                  <c:v>23</c:v>
                </c:pt>
                <c:pt idx="230">
                  <c:v>47</c:v>
                </c:pt>
                <c:pt idx="231">
                  <c:v>49</c:v>
                </c:pt>
                <c:pt idx="232">
                  <c:v>45</c:v>
                </c:pt>
                <c:pt idx="233">
                  <c:v>20</c:v>
                </c:pt>
                <c:pt idx="234">
                  <c:v>18</c:v>
                </c:pt>
                <c:pt idx="235">
                  <c:v>25</c:v>
                </c:pt>
                <c:pt idx="236">
                  <c:v>23</c:v>
                </c:pt>
                <c:pt idx="237">
                  <c:v>18</c:v>
                </c:pt>
                <c:pt idx="238">
                  <c:v>38</c:v>
                </c:pt>
                <c:pt idx="239">
                  <c:v>46</c:v>
                </c:pt>
                <c:pt idx="240">
                  <c:v>42</c:v>
                </c:pt>
                <c:pt idx="241">
                  <c:v>9</c:v>
                </c:pt>
                <c:pt idx="242">
                  <c:v>24</c:v>
                </c:pt>
                <c:pt idx="243">
                  <c:v>28</c:v>
                </c:pt>
                <c:pt idx="244">
                  <c:v>41</c:v>
                </c:pt>
                <c:pt idx="245">
                  <c:v>24</c:v>
                </c:pt>
                <c:pt idx="246">
                  <c:v>18</c:v>
                </c:pt>
                <c:pt idx="247">
                  <c:v>11</c:v>
                </c:pt>
                <c:pt idx="248">
                  <c:v>45</c:v>
                </c:pt>
                <c:pt idx="249">
                  <c:v>50</c:v>
                </c:pt>
                <c:pt idx="250">
                  <c:v>50</c:v>
                </c:pt>
                <c:pt idx="251">
                  <c:v>8</c:v>
                </c:pt>
                <c:pt idx="252">
                  <c:v>26</c:v>
                </c:pt>
                <c:pt idx="253">
                  <c:v>28</c:v>
                </c:pt>
                <c:pt idx="254">
                  <c:v>27</c:v>
                </c:pt>
                <c:pt idx="255">
                  <c:v>20</c:v>
                </c:pt>
                <c:pt idx="256">
                  <c:v>12</c:v>
                </c:pt>
                <c:pt idx="257">
                  <c:v>41</c:v>
                </c:pt>
                <c:pt idx="258">
                  <c:v>21</c:v>
                </c:pt>
                <c:pt idx="259">
                  <c:v>16</c:v>
                </c:pt>
                <c:pt idx="260">
                  <c:v>40</c:v>
                </c:pt>
                <c:pt idx="261">
                  <c:v>29</c:v>
                </c:pt>
                <c:pt idx="262">
                  <c:v>21</c:v>
                </c:pt>
                <c:pt idx="263">
                  <c:v>8</c:v>
                </c:pt>
                <c:pt idx="264">
                  <c:v>7</c:v>
                </c:pt>
                <c:pt idx="265">
                  <c:v>39</c:v>
                </c:pt>
                <c:pt idx="266">
                  <c:v>48</c:v>
                </c:pt>
                <c:pt idx="267">
                  <c:v>1</c:v>
                </c:pt>
                <c:pt idx="268">
                  <c:v>22</c:v>
                </c:pt>
                <c:pt idx="269">
                  <c:v>34</c:v>
                </c:pt>
                <c:pt idx="270">
                  <c:v>23</c:v>
                </c:pt>
                <c:pt idx="271">
                  <c:v>18</c:v>
                </c:pt>
                <c:pt idx="272">
                  <c:v>43</c:v>
                </c:pt>
                <c:pt idx="273">
                  <c:v>23</c:v>
                </c:pt>
                <c:pt idx="274">
                  <c:v>2</c:v>
                </c:pt>
                <c:pt idx="275">
                  <c:v>39</c:v>
                </c:pt>
                <c:pt idx="276">
                  <c:v>21</c:v>
                </c:pt>
                <c:pt idx="277">
                  <c:v>1</c:v>
                </c:pt>
                <c:pt idx="278">
                  <c:v>38</c:v>
                </c:pt>
                <c:pt idx="279">
                  <c:v>30</c:v>
                </c:pt>
                <c:pt idx="280">
                  <c:v>43</c:v>
                </c:pt>
                <c:pt idx="281">
                  <c:v>20</c:v>
                </c:pt>
                <c:pt idx="282">
                  <c:v>45</c:v>
                </c:pt>
                <c:pt idx="283">
                  <c:v>24</c:v>
                </c:pt>
                <c:pt idx="284">
                  <c:v>39</c:v>
                </c:pt>
                <c:pt idx="285">
                  <c:v>49</c:v>
                </c:pt>
                <c:pt idx="286">
                  <c:v>35</c:v>
                </c:pt>
                <c:pt idx="287">
                  <c:v>22</c:v>
                </c:pt>
                <c:pt idx="288">
                  <c:v>28</c:v>
                </c:pt>
                <c:pt idx="289">
                  <c:v>44</c:v>
                </c:pt>
                <c:pt idx="290">
                  <c:v>3</c:v>
                </c:pt>
                <c:pt idx="291">
                  <c:v>21</c:v>
                </c:pt>
                <c:pt idx="292">
                  <c:v>10</c:v>
                </c:pt>
                <c:pt idx="293">
                  <c:v>18</c:v>
                </c:pt>
                <c:pt idx="294">
                  <c:v>26</c:v>
                </c:pt>
                <c:pt idx="295">
                  <c:v>0</c:v>
                </c:pt>
                <c:pt idx="296">
                  <c:v>29</c:v>
                </c:pt>
                <c:pt idx="297">
                  <c:v>29</c:v>
                </c:pt>
                <c:pt idx="298">
                  <c:v>45</c:v>
                </c:pt>
                <c:pt idx="299">
                  <c:v>39</c:v>
                </c:pt>
                <c:pt idx="300">
                  <c:v>11</c:v>
                </c:pt>
                <c:pt idx="301">
                  <c:v>28</c:v>
                </c:pt>
                <c:pt idx="302">
                  <c:v>41</c:v>
                </c:pt>
                <c:pt idx="303">
                  <c:v>25</c:v>
                </c:pt>
                <c:pt idx="304">
                  <c:v>39</c:v>
                </c:pt>
                <c:pt idx="305">
                  <c:v>44</c:v>
                </c:pt>
                <c:pt idx="306">
                  <c:v>50</c:v>
                </c:pt>
                <c:pt idx="307">
                  <c:v>7</c:v>
                </c:pt>
                <c:pt idx="308">
                  <c:v>20</c:v>
                </c:pt>
                <c:pt idx="309">
                  <c:v>32</c:v>
                </c:pt>
                <c:pt idx="310">
                  <c:v>3</c:v>
                </c:pt>
                <c:pt idx="311">
                  <c:v>0</c:v>
                </c:pt>
                <c:pt idx="312">
                  <c:v>34</c:v>
                </c:pt>
                <c:pt idx="313">
                  <c:v>49</c:v>
                </c:pt>
                <c:pt idx="314">
                  <c:v>5</c:v>
                </c:pt>
                <c:pt idx="315">
                  <c:v>34</c:v>
                </c:pt>
                <c:pt idx="316">
                  <c:v>29</c:v>
                </c:pt>
                <c:pt idx="317">
                  <c:v>29</c:v>
                </c:pt>
                <c:pt idx="318">
                  <c:v>42</c:v>
                </c:pt>
                <c:pt idx="319">
                  <c:v>2</c:v>
                </c:pt>
                <c:pt idx="320">
                  <c:v>25</c:v>
                </c:pt>
                <c:pt idx="321">
                  <c:v>32</c:v>
                </c:pt>
                <c:pt idx="322">
                  <c:v>19</c:v>
                </c:pt>
                <c:pt idx="323">
                  <c:v>37</c:v>
                </c:pt>
                <c:pt idx="324">
                  <c:v>22</c:v>
                </c:pt>
                <c:pt idx="325">
                  <c:v>19</c:v>
                </c:pt>
                <c:pt idx="326">
                  <c:v>45</c:v>
                </c:pt>
                <c:pt idx="327">
                  <c:v>33</c:v>
                </c:pt>
                <c:pt idx="328">
                  <c:v>23</c:v>
                </c:pt>
                <c:pt idx="329">
                  <c:v>38</c:v>
                </c:pt>
                <c:pt idx="330">
                  <c:v>13</c:v>
                </c:pt>
                <c:pt idx="331">
                  <c:v>15</c:v>
                </c:pt>
                <c:pt idx="332">
                  <c:v>20</c:v>
                </c:pt>
                <c:pt idx="333">
                  <c:v>16</c:v>
                </c:pt>
                <c:pt idx="334">
                  <c:v>13</c:v>
                </c:pt>
                <c:pt idx="335">
                  <c:v>1</c:v>
                </c:pt>
                <c:pt idx="336">
                  <c:v>12</c:v>
                </c:pt>
                <c:pt idx="337">
                  <c:v>41</c:v>
                </c:pt>
                <c:pt idx="338">
                  <c:v>10</c:v>
                </c:pt>
                <c:pt idx="339">
                  <c:v>34</c:v>
                </c:pt>
                <c:pt idx="340">
                  <c:v>48</c:v>
                </c:pt>
                <c:pt idx="341">
                  <c:v>13</c:v>
                </c:pt>
                <c:pt idx="342">
                  <c:v>1</c:v>
                </c:pt>
                <c:pt idx="343">
                  <c:v>34</c:v>
                </c:pt>
                <c:pt idx="344">
                  <c:v>6</c:v>
                </c:pt>
                <c:pt idx="345">
                  <c:v>17</c:v>
                </c:pt>
                <c:pt idx="346">
                  <c:v>19</c:v>
                </c:pt>
                <c:pt idx="347">
                  <c:v>24</c:v>
                </c:pt>
                <c:pt idx="348">
                  <c:v>31</c:v>
                </c:pt>
                <c:pt idx="349">
                  <c:v>13</c:v>
                </c:pt>
                <c:pt idx="350">
                  <c:v>34</c:v>
                </c:pt>
                <c:pt idx="351">
                  <c:v>9</c:v>
                </c:pt>
                <c:pt idx="352">
                  <c:v>24</c:v>
                </c:pt>
                <c:pt idx="353">
                  <c:v>32</c:v>
                </c:pt>
                <c:pt idx="354">
                  <c:v>38</c:v>
                </c:pt>
                <c:pt idx="355">
                  <c:v>40</c:v>
                </c:pt>
                <c:pt idx="356">
                  <c:v>11</c:v>
                </c:pt>
                <c:pt idx="357">
                  <c:v>15</c:v>
                </c:pt>
                <c:pt idx="358">
                  <c:v>20</c:v>
                </c:pt>
                <c:pt idx="359">
                  <c:v>48</c:v>
                </c:pt>
                <c:pt idx="360">
                  <c:v>35</c:v>
                </c:pt>
                <c:pt idx="361">
                  <c:v>38</c:v>
                </c:pt>
                <c:pt idx="362">
                  <c:v>15</c:v>
                </c:pt>
                <c:pt idx="363">
                  <c:v>19</c:v>
                </c:pt>
                <c:pt idx="364">
                  <c:v>19</c:v>
                </c:pt>
                <c:pt idx="365">
                  <c:v>39</c:v>
                </c:pt>
                <c:pt idx="366">
                  <c:v>39</c:v>
                </c:pt>
                <c:pt idx="367">
                  <c:v>20</c:v>
                </c:pt>
                <c:pt idx="368">
                  <c:v>18</c:v>
                </c:pt>
                <c:pt idx="369">
                  <c:v>23</c:v>
                </c:pt>
                <c:pt idx="370">
                  <c:v>1</c:v>
                </c:pt>
                <c:pt idx="371">
                  <c:v>50</c:v>
                </c:pt>
                <c:pt idx="372">
                  <c:v>45</c:v>
                </c:pt>
                <c:pt idx="373">
                  <c:v>25</c:v>
                </c:pt>
                <c:pt idx="374">
                  <c:v>38</c:v>
                </c:pt>
                <c:pt idx="375">
                  <c:v>41</c:v>
                </c:pt>
                <c:pt idx="376">
                  <c:v>50</c:v>
                </c:pt>
                <c:pt idx="377">
                  <c:v>23</c:v>
                </c:pt>
                <c:pt idx="378">
                  <c:v>1</c:v>
                </c:pt>
                <c:pt idx="379">
                  <c:v>46</c:v>
                </c:pt>
                <c:pt idx="380">
                  <c:v>30</c:v>
                </c:pt>
                <c:pt idx="381">
                  <c:v>4</c:v>
                </c:pt>
                <c:pt idx="382">
                  <c:v>43</c:v>
                </c:pt>
                <c:pt idx="383">
                  <c:v>27</c:v>
                </c:pt>
                <c:pt idx="384">
                  <c:v>1</c:v>
                </c:pt>
                <c:pt idx="385">
                  <c:v>45</c:v>
                </c:pt>
                <c:pt idx="386">
                  <c:v>6</c:v>
                </c:pt>
                <c:pt idx="387">
                  <c:v>42</c:v>
                </c:pt>
                <c:pt idx="388">
                  <c:v>7</c:v>
                </c:pt>
                <c:pt idx="389">
                  <c:v>37</c:v>
                </c:pt>
                <c:pt idx="390">
                  <c:v>23</c:v>
                </c:pt>
                <c:pt idx="391">
                  <c:v>24</c:v>
                </c:pt>
                <c:pt idx="392">
                  <c:v>10</c:v>
                </c:pt>
                <c:pt idx="393">
                  <c:v>3</c:v>
                </c:pt>
                <c:pt idx="394">
                  <c:v>32</c:v>
                </c:pt>
                <c:pt idx="395">
                  <c:v>10</c:v>
                </c:pt>
                <c:pt idx="396">
                  <c:v>34</c:v>
                </c:pt>
                <c:pt idx="397">
                  <c:v>32</c:v>
                </c:pt>
                <c:pt idx="398">
                  <c:v>48</c:v>
                </c:pt>
                <c:pt idx="399">
                  <c:v>19</c:v>
                </c:pt>
                <c:pt idx="400">
                  <c:v>7</c:v>
                </c:pt>
                <c:pt idx="401">
                  <c:v>39</c:v>
                </c:pt>
                <c:pt idx="402">
                  <c:v>34</c:v>
                </c:pt>
                <c:pt idx="403">
                  <c:v>43</c:v>
                </c:pt>
                <c:pt idx="404">
                  <c:v>15</c:v>
                </c:pt>
                <c:pt idx="405">
                  <c:v>40</c:v>
                </c:pt>
                <c:pt idx="406">
                  <c:v>32</c:v>
                </c:pt>
                <c:pt idx="407">
                  <c:v>37</c:v>
                </c:pt>
                <c:pt idx="408">
                  <c:v>50</c:v>
                </c:pt>
                <c:pt idx="409">
                  <c:v>20</c:v>
                </c:pt>
                <c:pt idx="410">
                  <c:v>43</c:v>
                </c:pt>
                <c:pt idx="411">
                  <c:v>7</c:v>
                </c:pt>
                <c:pt idx="412">
                  <c:v>44</c:v>
                </c:pt>
                <c:pt idx="413">
                  <c:v>5</c:v>
                </c:pt>
                <c:pt idx="414">
                  <c:v>41</c:v>
                </c:pt>
                <c:pt idx="415">
                  <c:v>14</c:v>
                </c:pt>
                <c:pt idx="416">
                  <c:v>44</c:v>
                </c:pt>
                <c:pt idx="417">
                  <c:v>20</c:v>
                </c:pt>
                <c:pt idx="418">
                  <c:v>4</c:v>
                </c:pt>
                <c:pt idx="419">
                  <c:v>46</c:v>
                </c:pt>
                <c:pt idx="420">
                  <c:v>6</c:v>
                </c:pt>
                <c:pt idx="421">
                  <c:v>50</c:v>
                </c:pt>
                <c:pt idx="422">
                  <c:v>38</c:v>
                </c:pt>
                <c:pt idx="423">
                  <c:v>13</c:v>
                </c:pt>
                <c:pt idx="424">
                  <c:v>50</c:v>
                </c:pt>
                <c:pt idx="425">
                  <c:v>0</c:v>
                </c:pt>
                <c:pt idx="426">
                  <c:v>34</c:v>
                </c:pt>
                <c:pt idx="427">
                  <c:v>16</c:v>
                </c:pt>
                <c:pt idx="428">
                  <c:v>44</c:v>
                </c:pt>
                <c:pt idx="429">
                  <c:v>5</c:v>
                </c:pt>
                <c:pt idx="430">
                  <c:v>20</c:v>
                </c:pt>
                <c:pt idx="431">
                  <c:v>44</c:v>
                </c:pt>
                <c:pt idx="432">
                  <c:v>29</c:v>
                </c:pt>
                <c:pt idx="433">
                  <c:v>0</c:v>
                </c:pt>
                <c:pt idx="434">
                  <c:v>33</c:v>
                </c:pt>
                <c:pt idx="435">
                  <c:v>49</c:v>
                </c:pt>
                <c:pt idx="436">
                  <c:v>40</c:v>
                </c:pt>
                <c:pt idx="437">
                  <c:v>10</c:v>
                </c:pt>
                <c:pt idx="438">
                  <c:v>47</c:v>
                </c:pt>
                <c:pt idx="439">
                  <c:v>24</c:v>
                </c:pt>
                <c:pt idx="440">
                  <c:v>20</c:v>
                </c:pt>
                <c:pt idx="441">
                  <c:v>23</c:v>
                </c:pt>
                <c:pt idx="442">
                  <c:v>25</c:v>
                </c:pt>
                <c:pt idx="443">
                  <c:v>23</c:v>
                </c:pt>
                <c:pt idx="444">
                  <c:v>23</c:v>
                </c:pt>
                <c:pt idx="445">
                  <c:v>0</c:v>
                </c:pt>
                <c:pt idx="446">
                  <c:v>0</c:v>
                </c:pt>
                <c:pt idx="447">
                  <c:v>26</c:v>
                </c:pt>
                <c:pt idx="448">
                  <c:v>33</c:v>
                </c:pt>
                <c:pt idx="449">
                  <c:v>4</c:v>
                </c:pt>
                <c:pt idx="450">
                  <c:v>18</c:v>
                </c:pt>
                <c:pt idx="451">
                  <c:v>28</c:v>
                </c:pt>
                <c:pt idx="452">
                  <c:v>6</c:v>
                </c:pt>
                <c:pt idx="453">
                  <c:v>28</c:v>
                </c:pt>
                <c:pt idx="454">
                  <c:v>2</c:v>
                </c:pt>
                <c:pt idx="455">
                  <c:v>32</c:v>
                </c:pt>
                <c:pt idx="456">
                  <c:v>35</c:v>
                </c:pt>
                <c:pt idx="457">
                  <c:v>0</c:v>
                </c:pt>
                <c:pt idx="458">
                  <c:v>37</c:v>
                </c:pt>
                <c:pt idx="459">
                  <c:v>8</c:v>
                </c:pt>
                <c:pt idx="460">
                  <c:v>36</c:v>
                </c:pt>
                <c:pt idx="461">
                  <c:v>22</c:v>
                </c:pt>
                <c:pt idx="462">
                  <c:v>39</c:v>
                </c:pt>
                <c:pt idx="463">
                  <c:v>30</c:v>
                </c:pt>
                <c:pt idx="464">
                  <c:v>15</c:v>
                </c:pt>
                <c:pt idx="465">
                  <c:v>34</c:v>
                </c:pt>
                <c:pt idx="466">
                  <c:v>1</c:v>
                </c:pt>
                <c:pt idx="467">
                  <c:v>30</c:v>
                </c:pt>
                <c:pt idx="468">
                  <c:v>42</c:v>
                </c:pt>
                <c:pt idx="469">
                  <c:v>24</c:v>
                </c:pt>
                <c:pt idx="470">
                  <c:v>1</c:v>
                </c:pt>
                <c:pt idx="471">
                  <c:v>34</c:v>
                </c:pt>
                <c:pt idx="472">
                  <c:v>14</c:v>
                </c:pt>
                <c:pt idx="473">
                  <c:v>21</c:v>
                </c:pt>
                <c:pt idx="474">
                  <c:v>49</c:v>
                </c:pt>
                <c:pt idx="475">
                  <c:v>6</c:v>
                </c:pt>
                <c:pt idx="476">
                  <c:v>41</c:v>
                </c:pt>
                <c:pt idx="477">
                  <c:v>42</c:v>
                </c:pt>
                <c:pt idx="478">
                  <c:v>11</c:v>
                </c:pt>
                <c:pt idx="479">
                  <c:v>38</c:v>
                </c:pt>
                <c:pt idx="480">
                  <c:v>21</c:v>
                </c:pt>
                <c:pt idx="481">
                  <c:v>45</c:v>
                </c:pt>
                <c:pt idx="482">
                  <c:v>22</c:v>
                </c:pt>
                <c:pt idx="483">
                  <c:v>10</c:v>
                </c:pt>
                <c:pt idx="484">
                  <c:v>50</c:v>
                </c:pt>
                <c:pt idx="485">
                  <c:v>1</c:v>
                </c:pt>
                <c:pt idx="486">
                  <c:v>46</c:v>
                </c:pt>
                <c:pt idx="487">
                  <c:v>27</c:v>
                </c:pt>
                <c:pt idx="488">
                  <c:v>13</c:v>
                </c:pt>
                <c:pt idx="489">
                  <c:v>19</c:v>
                </c:pt>
                <c:pt idx="490">
                  <c:v>3</c:v>
                </c:pt>
                <c:pt idx="491">
                  <c:v>6</c:v>
                </c:pt>
                <c:pt idx="492">
                  <c:v>7</c:v>
                </c:pt>
                <c:pt idx="493">
                  <c:v>41</c:v>
                </c:pt>
                <c:pt idx="494">
                  <c:v>28</c:v>
                </c:pt>
                <c:pt idx="495">
                  <c:v>3</c:v>
                </c:pt>
                <c:pt idx="496">
                  <c:v>14</c:v>
                </c:pt>
                <c:pt idx="497">
                  <c:v>15</c:v>
                </c:pt>
                <c:pt idx="498">
                  <c:v>36</c:v>
                </c:pt>
                <c:pt idx="499">
                  <c:v>10</c:v>
                </c:pt>
                <c:pt idx="500">
                  <c:v>40</c:v>
                </c:pt>
              </c:numCache>
            </c:numRef>
          </c:yVal>
          <c:smooth val="0"/>
          <c:extLst>
            <c:ext xmlns:c16="http://schemas.microsoft.com/office/drawing/2014/chart" uri="{C3380CC4-5D6E-409C-BE32-E72D297353CC}">
              <c16:uniqueId val="{00000001-5B5D-41E7-AEC3-6938E6409C95}"/>
            </c:ext>
          </c:extLst>
        </c:ser>
        <c:ser>
          <c:idx val="2"/>
          <c:order val="2"/>
          <c:tx>
            <c:v>Churned</c:v>
          </c:tx>
          <c:spPr>
            <a:ln w="25400" cap="rnd">
              <a:noFill/>
              <a:round/>
            </a:ln>
            <a:effectLst/>
          </c:spPr>
          <c:marker>
            <c:symbol val="circle"/>
            <c:size val="5"/>
            <c:spPr>
              <a:solidFill>
                <a:schemeClr val="accent2">
                  <a:lumMod val="50000"/>
                </a:schemeClr>
              </a:solidFill>
              <a:ln w="9525">
                <a:solidFill>
                  <a:schemeClr val="accent3"/>
                </a:solidFill>
              </a:ln>
              <a:effectLst/>
            </c:spPr>
          </c:marker>
          <c:yVal>
            <c:numRef>
              <c:f>'Data - Sheet1'!$P$1:$P$502</c:f>
              <c:numCache>
                <c:formatCode>General</c:formatCode>
                <c:ptCount val="502"/>
                <c:pt idx="0">
                  <c:v>0</c:v>
                </c:pt>
                <c:pt idx="1">
                  <c:v>1</c:v>
                </c:pt>
                <c:pt idx="2">
                  <c:v>1</c:v>
                </c:pt>
                <c:pt idx="3">
                  <c:v>1</c:v>
                </c:pt>
                <c:pt idx="4">
                  <c:v>1</c:v>
                </c:pt>
                <c:pt idx="5">
                  <c:v>1</c:v>
                </c:pt>
                <c:pt idx="6">
                  <c:v>1</c:v>
                </c:pt>
                <c:pt idx="7">
                  <c:v>1</c:v>
                </c:pt>
                <c:pt idx="8">
                  <c:v>1</c:v>
                </c:pt>
                <c:pt idx="9">
                  <c:v>1</c:v>
                </c:pt>
                <c:pt idx="10">
                  <c:v>0</c:v>
                </c:pt>
                <c:pt idx="11">
                  <c:v>1</c:v>
                </c:pt>
                <c:pt idx="12">
                  <c:v>1</c:v>
                </c:pt>
                <c:pt idx="13">
                  <c:v>0</c:v>
                </c:pt>
                <c:pt idx="14">
                  <c:v>1</c:v>
                </c:pt>
                <c:pt idx="15">
                  <c:v>1</c:v>
                </c:pt>
                <c:pt idx="16">
                  <c:v>1</c:v>
                </c:pt>
                <c:pt idx="17">
                  <c:v>1</c:v>
                </c:pt>
                <c:pt idx="18">
                  <c:v>0</c:v>
                </c:pt>
                <c:pt idx="19">
                  <c:v>1</c:v>
                </c:pt>
                <c:pt idx="20">
                  <c:v>1</c:v>
                </c:pt>
                <c:pt idx="21">
                  <c:v>0</c:v>
                </c:pt>
                <c:pt idx="22">
                  <c:v>1</c:v>
                </c:pt>
                <c:pt idx="23">
                  <c:v>1</c:v>
                </c:pt>
                <c:pt idx="24">
                  <c:v>1</c:v>
                </c:pt>
                <c:pt idx="25">
                  <c:v>1</c:v>
                </c:pt>
                <c:pt idx="26">
                  <c:v>1</c:v>
                </c:pt>
                <c:pt idx="27">
                  <c:v>1</c:v>
                </c:pt>
                <c:pt idx="28">
                  <c:v>1</c:v>
                </c:pt>
                <c:pt idx="29">
                  <c:v>1</c:v>
                </c:pt>
                <c:pt idx="30">
                  <c:v>1</c:v>
                </c:pt>
                <c:pt idx="31">
                  <c:v>1</c:v>
                </c:pt>
                <c:pt idx="32">
                  <c:v>0</c:v>
                </c:pt>
                <c:pt idx="33">
                  <c:v>1</c:v>
                </c:pt>
                <c:pt idx="34">
                  <c:v>1</c:v>
                </c:pt>
                <c:pt idx="35">
                  <c:v>0</c:v>
                </c:pt>
                <c:pt idx="36">
                  <c:v>1</c:v>
                </c:pt>
                <c:pt idx="37">
                  <c:v>1</c:v>
                </c:pt>
                <c:pt idx="38">
                  <c:v>1</c:v>
                </c:pt>
                <c:pt idx="39">
                  <c:v>1</c:v>
                </c:pt>
                <c:pt idx="40">
                  <c:v>1</c:v>
                </c:pt>
                <c:pt idx="41">
                  <c:v>1</c:v>
                </c:pt>
                <c:pt idx="42">
                  <c:v>1</c:v>
                </c:pt>
                <c:pt idx="43">
                  <c:v>1</c:v>
                </c:pt>
                <c:pt idx="44">
                  <c:v>1</c:v>
                </c:pt>
                <c:pt idx="45">
                  <c:v>1</c:v>
                </c:pt>
                <c:pt idx="46">
                  <c:v>1</c:v>
                </c:pt>
                <c:pt idx="47">
                  <c:v>0</c:v>
                </c:pt>
                <c:pt idx="48">
                  <c:v>1</c:v>
                </c:pt>
                <c:pt idx="49">
                  <c:v>1</c:v>
                </c:pt>
                <c:pt idx="50">
                  <c:v>1</c:v>
                </c:pt>
                <c:pt idx="51">
                  <c:v>1</c:v>
                </c:pt>
                <c:pt idx="52">
                  <c:v>1</c:v>
                </c:pt>
                <c:pt idx="53">
                  <c:v>1</c:v>
                </c:pt>
                <c:pt idx="54">
                  <c:v>0</c:v>
                </c:pt>
                <c:pt idx="55">
                  <c:v>1</c:v>
                </c:pt>
                <c:pt idx="56">
                  <c:v>1</c:v>
                </c:pt>
                <c:pt idx="57">
                  <c:v>1</c:v>
                </c:pt>
                <c:pt idx="58">
                  <c:v>1</c:v>
                </c:pt>
                <c:pt idx="59">
                  <c:v>1</c:v>
                </c:pt>
                <c:pt idx="60">
                  <c:v>1</c:v>
                </c:pt>
                <c:pt idx="61">
                  <c:v>1</c:v>
                </c:pt>
                <c:pt idx="62">
                  <c:v>1</c:v>
                </c:pt>
                <c:pt idx="63">
                  <c:v>1</c:v>
                </c:pt>
                <c:pt idx="64">
                  <c:v>1</c:v>
                </c:pt>
                <c:pt idx="65">
                  <c:v>1</c:v>
                </c:pt>
                <c:pt idx="66">
                  <c:v>1</c:v>
                </c:pt>
                <c:pt idx="67">
                  <c:v>0</c:v>
                </c:pt>
                <c:pt idx="68">
                  <c:v>1</c:v>
                </c:pt>
                <c:pt idx="69">
                  <c:v>1</c:v>
                </c:pt>
                <c:pt idx="70">
                  <c:v>1</c:v>
                </c:pt>
                <c:pt idx="71">
                  <c:v>1</c:v>
                </c:pt>
                <c:pt idx="72">
                  <c:v>1</c:v>
                </c:pt>
                <c:pt idx="73">
                  <c:v>1</c:v>
                </c:pt>
                <c:pt idx="74">
                  <c:v>1</c:v>
                </c:pt>
                <c:pt idx="75">
                  <c:v>1</c:v>
                </c:pt>
                <c:pt idx="76">
                  <c:v>1</c:v>
                </c:pt>
                <c:pt idx="77">
                  <c:v>1</c:v>
                </c:pt>
                <c:pt idx="78">
                  <c:v>1</c:v>
                </c:pt>
                <c:pt idx="79">
                  <c:v>0</c:v>
                </c:pt>
                <c:pt idx="80">
                  <c:v>1</c:v>
                </c:pt>
                <c:pt idx="81">
                  <c:v>0</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0</c:v>
                </c:pt>
                <c:pt idx="100">
                  <c:v>1</c:v>
                </c:pt>
                <c:pt idx="101">
                  <c:v>1</c:v>
                </c:pt>
                <c:pt idx="102">
                  <c:v>1</c:v>
                </c:pt>
                <c:pt idx="103">
                  <c:v>1</c:v>
                </c:pt>
                <c:pt idx="104">
                  <c:v>1</c:v>
                </c:pt>
                <c:pt idx="105">
                  <c:v>1</c:v>
                </c:pt>
                <c:pt idx="106">
                  <c:v>1</c:v>
                </c:pt>
                <c:pt idx="107">
                  <c:v>0</c:v>
                </c:pt>
                <c:pt idx="108">
                  <c:v>0</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0</c:v>
                </c:pt>
                <c:pt idx="160">
                  <c:v>1</c:v>
                </c:pt>
                <c:pt idx="161">
                  <c:v>1</c:v>
                </c:pt>
                <c:pt idx="162">
                  <c:v>1</c:v>
                </c:pt>
                <c:pt idx="163">
                  <c:v>1</c:v>
                </c:pt>
                <c:pt idx="164">
                  <c:v>0</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0</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0</c:v>
                </c:pt>
                <c:pt idx="200">
                  <c:v>1</c:v>
                </c:pt>
                <c:pt idx="201">
                  <c:v>1</c:v>
                </c:pt>
                <c:pt idx="202">
                  <c:v>1</c:v>
                </c:pt>
                <c:pt idx="203">
                  <c:v>1</c:v>
                </c:pt>
                <c:pt idx="204">
                  <c:v>1</c:v>
                </c:pt>
                <c:pt idx="205">
                  <c:v>1</c:v>
                </c:pt>
                <c:pt idx="206">
                  <c:v>1</c:v>
                </c:pt>
                <c:pt idx="207">
                  <c:v>0</c:v>
                </c:pt>
                <c:pt idx="208">
                  <c:v>1</c:v>
                </c:pt>
                <c:pt idx="209">
                  <c:v>1</c:v>
                </c:pt>
                <c:pt idx="210">
                  <c:v>1</c:v>
                </c:pt>
                <c:pt idx="211">
                  <c:v>1</c:v>
                </c:pt>
                <c:pt idx="212">
                  <c:v>0</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0</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0</c:v>
                </c:pt>
                <c:pt idx="254">
                  <c:v>1</c:v>
                </c:pt>
                <c:pt idx="255">
                  <c:v>1</c:v>
                </c:pt>
                <c:pt idx="256">
                  <c:v>1</c:v>
                </c:pt>
                <c:pt idx="257">
                  <c:v>1</c:v>
                </c:pt>
                <c:pt idx="258">
                  <c:v>0</c:v>
                </c:pt>
                <c:pt idx="259">
                  <c:v>0</c:v>
                </c:pt>
                <c:pt idx="260">
                  <c:v>1</c:v>
                </c:pt>
                <c:pt idx="261">
                  <c:v>1</c:v>
                </c:pt>
                <c:pt idx="262">
                  <c:v>1</c:v>
                </c:pt>
                <c:pt idx="263">
                  <c:v>1</c:v>
                </c:pt>
                <c:pt idx="264">
                  <c:v>0</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0</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0</c:v>
                </c:pt>
                <c:pt idx="302">
                  <c:v>1</c:v>
                </c:pt>
                <c:pt idx="303">
                  <c:v>1</c:v>
                </c:pt>
                <c:pt idx="304">
                  <c:v>1</c:v>
                </c:pt>
                <c:pt idx="305">
                  <c:v>1</c:v>
                </c:pt>
                <c:pt idx="306">
                  <c:v>1</c:v>
                </c:pt>
                <c:pt idx="307">
                  <c:v>1</c:v>
                </c:pt>
                <c:pt idx="308">
                  <c:v>1</c:v>
                </c:pt>
                <c:pt idx="309">
                  <c:v>1</c:v>
                </c:pt>
                <c:pt idx="310">
                  <c:v>1</c:v>
                </c:pt>
                <c:pt idx="311">
                  <c:v>1</c:v>
                </c:pt>
                <c:pt idx="312">
                  <c:v>0</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0</c:v>
                </c:pt>
                <c:pt idx="330">
                  <c:v>1</c:v>
                </c:pt>
                <c:pt idx="331">
                  <c:v>1</c:v>
                </c:pt>
                <c:pt idx="332">
                  <c:v>1</c:v>
                </c:pt>
                <c:pt idx="333">
                  <c:v>1</c:v>
                </c:pt>
                <c:pt idx="334">
                  <c:v>0</c:v>
                </c:pt>
                <c:pt idx="335">
                  <c:v>1</c:v>
                </c:pt>
                <c:pt idx="336">
                  <c:v>1</c:v>
                </c:pt>
                <c:pt idx="337">
                  <c:v>1</c:v>
                </c:pt>
                <c:pt idx="338">
                  <c:v>1</c:v>
                </c:pt>
                <c:pt idx="339">
                  <c:v>1</c:v>
                </c:pt>
                <c:pt idx="340">
                  <c:v>1</c:v>
                </c:pt>
                <c:pt idx="341">
                  <c:v>1</c:v>
                </c:pt>
                <c:pt idx="342">
                  <c:v>1</c:v>
                </c:pt>
                <c:pt idx="343">
                  <c:v>0</c:v>
                </c:pt>
                <c:pt idx="344">
                  <c:v>1</c:v>
                </c:pt>
                <c:pt idx="345">
                  <c:v>1</c:v>
                </c:pt>
                <c:pt idx="346">
                  <c:v>1</c:v>
                </c:pt>
                <c:pt idx="347">
                  <c:v>1</c:v>
                </c:pt>
                <c:pt idx="348">
                  <c:v>1</c:v>
                </c:pt>
                <c:pt idx="349">
                  <c:v>1</c:v>
                </c:pt>
                <c:pt idx="350">
                  <c:v>0</c:v>
                </c:pt>
                <c:pt idx="351">
                  <c:v>0</c:v>
                </c:pt>
                <c:pt idx="352">
                  <c:v>1</c:v>
                </c:pt>
                <c:pt idx="353">
                  <c:v>1</c:v>
                </c:pt>
                <c:pt idx="354">
                  <c:v>1</c:v>
                </c:pt>
                <c:pt idx="355">
                  <c:v>1</c:v>
                </c:pt>
                <c:pt idx="356">
                  <c:v>1</c:v>
                </c:pt>
                <c:pt idx="357">
                  <c:v>0</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0</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0</c:v>
                </c:pt>
                <c:pt idx="407">
                  <c:v>1</c:v>
                </c:pt>
                <c:pt idx="408">
                  <c:v>1</c:v>
                </c:pt>
                <c:pt idx="409">
                  <c:v>1</c:v>
                </c:pt>
                <c:pt idx="410">
                  <c:v>0</c:v>
                </c:pt>
                <c:pt idx="411">
                  <c:v>1</c:v>
                </c:pt>
                <c:pt idx="412">
                  <c:v>1</c:v>
                </c:pt>
                <c:pt idx="413">
                  <c:v>1</c:v>
                </c:pt>
                <c:pt idx="414">
                  <c:v>1</c:v>
                </c:pt>
                <c:pt idx="415">
                  <c:v>1</c:v>
                </c:pt>
                <c:pt idx="416">
                  <c:v>1</c:v>
                </c:pt>
                <c:pt idx="417">
                  <c:v>1</c:v>
                </c:pt>
                <c:pt idx="418">
                  <c:v>1</c:v>
                </c:pt>
                <c:pt idx="419">
                  <c:v>1</c:v>
                </c:pt>
                <c:pt idx="420">
                  <c:v>1</c:v>
                </c:pt>
                <c:pt idx="421">
                  <c:v>1</c:v>
                </c:pt>
                <c:pt idx="422">
                  <c:v>0</c:v>
                </c:pt>
                <c:pt idx="423">
                  <c:v>0</c:v>
                </c:pt>
                <c:pt idx="424">
                  <c:v>1</c:v>
                </c:pt>
                <c:pt idx="425">
                  <c:v>1</c:v>
                </c:pt>
                <c:pt idx="426">
                  <c:v>1</c:v>
                </c:pt>
                <c:pt idx="427">
                  <c:v>0</c:v>
                </c:pt>
                <c:pt idx="428">
                  <c:v>1</c:v>
                </c:pt>
                <c:pt idx="429">
                  <c:v>1</c:v>
                </c:pt>
                <c:pt idx="430">
                  <c:v>1</c:v>
                </c:pt>
                <c:pt idx="431">
                  <c:v>1</c:v>
                </c:pt>
                <c:pt idx="432">
                  <c:v>1</c:v>
                </c:pt>
                <c:pt idx="433">
                  <c:v>1</c:v>
                </c:pt>
                <c:pt idx="434">
                  <c:v>0</c:v>
                </c:pt>
                <c:pt idx="435">
                  <c:v>1</c:v>
                </c:pt>
                <c:pt idx="436">
                  <c:v>1</c:v>
                </c:pt>
                <c:pt idx="437">
                  <c:v>1</c:v>
                </c:pt>
                <c:pt idx="438">
                  <c:v>1</c:v>
                </c:pt>
                <c:pt idx="439">
                  <c:v>1</c:v>
                </c:pt>
                <c:pt idx="440">
                  <c:v>1</c:v>
                </c:pt>
                <c:pt idx="441">
                  <c:v>1</c:v>
                </c:pt>
                <c:pt idx="442">
                  <c:v>0</c:v>
                </c:pt>
                <c:pt idx="443">
                  <c:v>1</c:v>
                </c:pt>
                <c:pt idx="444">
                  <c:v>1</c:v>
                </c:pt>
                <c:pt idx="445">
                  <c:v>1</c:v>
                </c:pt>
                <c:pt idx="446">
                  <c:v>1</c:v>
                </c:pt>
                <c:pt idx="447">
                  <c:v>0</c:v>
                </c:pt>
                <c:pt idx="448">
                  <c:v>1</c:v>
                </c:pt>
                <c:pt idx="449">
                  <c:v>1</c:v>
                </c:pt>
                <c:pt idx="450">
                  <c:v>1</c:v>
                </c:pt>
                <c:pt idx="451">
                  <c:v>1</c:v>
                </c:pt>
                <c:pt idx="452">
                  <c:v>1</c:v>
                </c:pt>
                <c:pt idx="453">
                  <c:v>1</c:v>
                </c:pt>
                <c:pt idx="454">
                  <c:v>0</c:v>
                </c:pt>
                <c:pt idx="455">
                  <c:v>1</c:v>
                </c:pt>
                <c:pt idx="456">
                  <c:v>0</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0</c:v>
                </c:pt>
                <c:pt idx="472">
                  <c:v>0</c:v>
                </c:pt>
                <c:pt idx="473">
                  <c:v>1</c:v>
                </c:pt>
                <c:pt idx="474">
                  <c:v>0</c:v>
                </c:pt>
                <c:pt idx="475">
                  <c:v>1</c:v>
                </c:pt>
                <c:pt idx="476">
                  <c:v>1</c:v>
                </c:pt>
                <c:pt idx="477">
                  <c:v>1</c:v>
                </c:pt>
                <c:pt idx="478">
                  <c:v>1</c:v>
                </c:pt>
                <c:pt idx="479">
                  <c:v>1</c:v>
                </c:pt>
                <c:pt idx="480">
                  <c:v>1</c:v>
                </c:pt>
                <c:pt idx="481">
                  <c:v>1</c:v>
                </c:pt>
                <c:pt idx="482">
                  <c:v>1</c:v>
                </c:pt>
                <c:pt idx="483">
                  <c:v>0</c:v>
                </c:pt>
                <c:pt idx="484">
                  <c:v>1</c:v>
                </c:pt>
                <c:pt idx="485">
                  <c:v>1</c:v>
                </c:pt>
                <c:pt idx="486">
                  <c:v>1</c:v>
                </c:pt>
                <c:pt idx="487">
                  <c:v>1</c:v>
                </c:pt>
                <c:pt idx="488">
                  <c:v>0</c:v>
                </c:pt>
                <c:pt idx="489">
                  <c:v>1</c:v>
                </c:pt>
                <c:pt idx="490">
                  <c:v>1</c:v>
                </c:pt>
                <c:pt idx="491">
                  <c:v>1</c:v>
                </c:pt>
                <c:pt idx="492">
                  <c:v>1</c:v>
                </c:pt>
                <c:pt idx="493">
                  <c:v>1</c:v>
                </c:pt>
                <c:pt idx="494">
                  <c:v>1</c:v>
                </c:pt>
                <c:pt idx="495">
                  <c:v>1</c:v>
                </c:pt>
                <c:pt idx="496">
                  <c:v>1</c:v>
                </c:pt>
                <c:pt idx="497">
                  <c:v>1</c:v>
                </c:pt>
                <c:pt idx="498">
                  <c:v>1</c:v>
                </c:pt>
                <c:pt idx="499">
                  <c:v>0</c:v>
                </c:pt>
                <c:pt idx="500">
                  <c:v>1</c:v>
                </c:pt>
              </c:numCache>
            </c:numRef>
          </c:yVal>
          <c:smooth val="0"/>
          <c:extLst>
            <c:ext xmlns:c16="http://schemas.microsoft.com/office/drawing/2014/chart" uri="{C3380CC4-5D6E-409C-BE32-E72D297353CC}">
              <c16:uniqueId val="{00000002-5B5D-41E7-AEC3-6938E6409C95}"/>
            </c:ext>
          </c:extLst>
        </c:ser>
        <c:dLbls>
          <c:showLegendKey val="0"/>
          <c:showVal val="0"/>
          <c:showCatName val="0"/>
          <c:showSerName val="0"/>
          <c:showPercent val="0"/>
          <c:showBubbleSize val="0"/>
        </c:dLbls>
        <c:axId val="1516191"/>
        <c:axId val="1507551"/>
      </c:scatterChart>
      <c:valAx>
        <c:axId val="1516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Support</a:t>
                </a:r>
                <a:r>
                  <a:rPr lang="en-US" baseline="0"/>
                  <a:t> ticket</a:t>
                </a:r>
                <a:endParaRPr lang="en-US"/>
              </a:p>
            </c:rich>
          </c:tx>
          <c:layout>
            <c:manualLayout>
              <c:xMode val="edge"/>
              <c:yMode val="edge"/>
              <c:x val="0.44651727909011374"/>
              <c:y val="0.856481481481481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551"/>
        <c:crosses val="autoZero"/>
        <c:crossBetween val="midCat"/>
      </c:valAx>
      <c:valAx>
        <c:axId val="15075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Retention</a:t>
                </a:r>
                <a:r>
                  <a:rPr lang="en-US" baseline="0"/>
                  <a:t> status</a:t>
                </a:r>
                <a:endParaRPr lang="en-US"/>
              </a:p>
            </c:rich>
          </c:tx>
          <c:layout>
            <c:manualLayout>
              <c:xMode val="edge"/>
              <c:yMode val="edge"/>
              <c:x val="7.7637795275590548E-3"/>
              <c:y val="0.3021336395450568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191"/>
        <c:crosses val="autoZero"/>
        <c:crossBetween val="midCat"/>
      </c:valAx>
      <c:spPr>
        <a:noFill/>
        <a:ln>
          <a:noFill/>
        </a:ln>
        <a:effectLst/>
      </c:spPr>
    </c:plotArea>
    <c:legend>
      <c:legendPos val="b"/>
      <c:layout>
        <c:manualLayout>
          <c:xMode val="edge"/>
          <c:yMode val="edge"/>
          <c:x val="0.3086334208223972"/>
          <c:y val="0.92187445319335082"/>
          <c:w val="0.38273293963254595"/>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Retention</a:t>
            </a:r>
            <a:r>
              <a:rPr lang="en-US" sz="1100" baseline="0"/>
              <a:t> rate Vs Churn rate</a:t>
            </a:r>
            <a:endParaRPr lang="en-US" sz="1100"/>
          </a:p>
        </c:rich>
      </c:tx>
      <c:layout>
        <c:manualLayout>
          <c:xMode val="edge"/>
          <c:yMode val="edge"/>
          <c:x val="0.33784301814686163"/>
          <c:y val="4.1666666666666664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865021266492542"/>
          <c:y val="0.16708333333333336"/>
          <c:w val="0.84302765909157062"/>
          <c:h val="0.59653506853310001"/>
        </c:manualLayout>
      </c:layout>
      <c:barChart>
        <c:barDir val="col"/>
        <c:grouping val="clustered"/>
        <c:varyColors val="0"/>
        <c:ser>
          <c:idx val="0"/>
          <c:order val="0"/>
          <c:tx>
            <c:strRef>
              <c:f>'Retention rate by product line'!$C$3</c:f>
              <c:strCache>
                <c:ptCount val="1"/>
                <c:pt idx="0">
                  <c:v>Churned Customer</c:v>
                </c:pt>
              </c:strCache>
            </c:strRef>
          </c:tx>
          <c:spPr>
            <a:solidFill>
              <a:srgbClr val="189C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'Retention rate by product line'!$A$4:$A$9</c15:sqref>
                  </c15:fullRef>
                </c:ext>
              </c:extLst>
              <c:f>'Retention rate by product line'!$A$4:$A$8</c:f>
              <c:strCache>
                <c:ptCount val="5"/>
                <c:pt idx="0">
                  <c:v>AI/ML</c:v>
                </c:pt>
                <c:pt idx="1">
                  <c:v>Analytics</c:v>
                </c:pt>
                <c:pt idx="2">
                  <c:v>Cloud Services</c:v>
                </c:pt>
                <c:pt idx="3">
                  <c:v>Enterprise Software</c:v>
                </c:pt>
                <c:pt idx="4">
                  <c:v>Security</c:v>
                </c:pt>
              </c:strCache>
            </c:strRef>
          </c:cat>
          <c:val>
            <c:numRef>
              <c:extLst>
                <c:ext xmlns:c15="http://schemas.microsoft.com/office/drawing/2012/chart" uri="{02D57815-91ED-43cb-92C2-25804820EDAC}">
                  <c15:fullRef>
                    <c15:sqref>'Retention rate by product line'!$C$4:$C$9</c15:sqref>
                  </c15:fullRef>
                </c:ext>
              </c:extLst>
              <c:f>'Retention rate by product line'!$C$4:$C$8</c:f>
              <c:numCache>
                <c:formatCode>General</c:formatCode>
                <c:ptCount val="5"/>
                <c:pt idx="0">
                  <c:v>56</c:v>
                </c:pt>
                <c:pt idx="1">
                  <c:v>65</c:v>
                </c:pt>
                <c:pt idx="2">
                  <c:v>54</c:v>
                </c:pt>
                <c:pt idx="3">
                  <c:v>55</c:v>
                </c:pt>
                <c:pt idx="4">
                  <c:v>54</c:v>
                </c:pt>
              </c:numCache>
            </c:numRef>
          </c:val>
          <c:extLst>
            <c:ext xmlns:c16="http://schemas.microsoft.com/office/drawing/2014/chart" uri="{C3380CC4-5D6E-409C-BE32-E72D297353CC}">
              <c16:uniqueId val="{00000000-6EC2-47C1-8C82-E5DE928CCD10}"/>
            </c:ext>
          </c:extLst>
        </c:ser>
        <c:ser>
          <c:idx val="1"/>
          <c:order val="1"/>
          <c:tx>
            <c:strRef>
              <c:f>'Retention rate by product line'!$D$3</c:f>
              <c:strCache>
                <c:ptCount val="1"/>
                <c:pt idx="0">
                  <c:v>Active Customers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'Retention rate by product line'!$A$4:$A$9</c15:sqref>
                  </c15:fullRef>
                </c:ext>
              </c:extLst>
              <c:f>'Retention rate by product line'!$A$4:$A$8</c:f>
              <c:strCache>
                <c:ptCount val="5"/>
                <c:pt idx="0">
                  <c:v>AI/ML</c:v>
                </c:pt>
                <c:pt idx="1">
                  <c:v>Analytics</c:v>
                </c:pt>
                <c:pt idx="2">
                  <c:v>Cloud Services</c:v>
                </c:pt>
                <c:pt idx="3">
                  <c:v>Enterprise Software</c:v>
                </c:pt>
                <c:pt idx="4">
                  <c:v>Security</c:v>
                </c:pt>
              </c:strCache>
            </c:strRef>
          </c:cat>
          <c:val>
            <c:numRef>
              <c:extLst>
                <c:ext xmlns:c15="http://schemas.microsoft.com/office/drawing/2012/chart" uri="{02D57815-91ED-43cb-92C2-25804820EDAC}">
                  <c15:fullRef>
                    <c15:sqref>'Retention rate by product line'!$D$4:$D$9</c15:sqref>
                  </c15:fullRef>
                </c:ext>
              </c:extLst>
              <c:f>'Retention rate by product line'!$D$4:$D$8</c:f>
              <c:numCache>
                <c:formatCode>General</c:formatCode>
                <c:ptCount val="5"/>
                <c:pt idx="0">
                  <c:v>52</c:v>
                </c:pt>
                <c:pt idx="1">
                  <c:v>43</c:v>
                </c:pt>
                <c:pt idx="2">
                  <c:v>39</c:v>
                </c:pt>
                <c:pt idx="3">
                  <c:v>42</c:v>
                </c:pt>
                <c:pt idx="4">
                  <c:v>40</c:v>
                </c:pt>
              </c:numCache>
            </c:numRef>
          </c:val>
          <c:extLst>
            <c:ext xmlns:c16="http://schemas.microsoft.com/office/drawing/2014/chart" uri="{C3380CC4-5D6E-409C-BE32-E72D297353CC}">
              <c16:uniqueId val="{00000001-6EC2-47C1-8C82-E5DE928CCD10}"/>
            </c:ext>
          </c:extLst>
        </c:ser>
        <c:dLbls>
          <c:dLblPos val="outEnd"/>
          <c:showLegendKey val="0"/>
          <c:showVal val="1"/>
          <c:showCatName val="0"/>
          <c:showSerName val="0"/>
          <c:showPercent val="0"/>
          <c:showBubbleSize val="0"/>
        </c:dLbls>
        <c:gapWidth val="219"/>
        <c:overlap val="-27"/>
        <c:axId val="1482260528"/>
        <c:axId val="1482265808"/>
      </c:barChart>
      <c:catAx>
        <c:axId val="1482260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line</a:t>
                </a:r>
                <a:endParaRPr lang="en-US"/>
              </a:p>
            </c:rich>
          </c:tx>
          <c:layout>
            <c:manualLayout>
              <c:xMode val="edge"/>
              <c:yMode val="edge"/>
              <c:x val="0.4487774977165892"/>
              <c:y val="0.852430008748906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65808"/>
        <c:crosses val="autoZero"/>
        <c:auto val="1"/>
        <c:lblAlgn val="ctr"/>
        <c:lblOffset val="100"/>
        <c:noMultiLvlLbl val="0"/>
      </c:catAx>
      <c:valAx>
        <c:axId val="1482265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Rate</a:t>
                </a:r>
              </a:p>
            </c:rich>
          </c:tx>
          <c:layout>
            <c:manualLayout>
              <c:xMode val="edge"/>
              <c:yMode val="edge"/>
              <c:x val="1.1585135124080381E-2"/>
              <c:y val="0.4181980898221055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60528"/>
        <c:crosses val="autoZero"/>
        <c:crossBetween val="between"/>
      </c:valAx>
      <c:spPr>
        <a:noFill/>
        <a:ln>
          <a:noFill/>
        </a:ln>
        <a:effectLst/>
      </c:spPr>
    </c:plotArea>
    <c:legend>
      <c:legendPos val="b"/>
      <c:layout>
        <c:manualLayout>
          <c:xMode val="edge"/>
          <c:yMode val="edge"/>
          <c:x val="0.25464410847670954"/>
          <c:y val="0.92650408282298047"/>
          <c:w val="0.51004044409938298"/>
          <c:h val="6.42366579177602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 Lifecycle Dashboard.xlsx]Churn analysis by customer sgt!PivotTable1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lumMod val="75000"/>
            </a:schemeClr>
          </a:solidFill>
          <a:ln w="19050">
            <a:solidFill>
              <a:schemeClr val="lt1"/>
            </a:solidFill>
          </a:ln>
          <a:effectLst/>
        </c:spPr>
      </c:pivotFmt>
      <c:pivotFmt>
        <c:idx val="2"/>
        <c:spPr>
          <a:solidFill>
            <a:schemeClr val="accent2">
              <a:lumMod val="60000"/>
              <a:lumOff val="40000"/>
            </a:schemeClr>
          </a:solidFill>
          <a:ln w="19050">
            <a:solidFill>
              <a:schemeClr val="lt1"/>
            </a:solidFill>
          </a:ln>
          <a:effectLst/>
        </c:spPr>
      </c:pivotFmt>
      <c:pivotFmt>
        <c:idx val="3"/>
        <c:spPr>
          <a:solidFill>
            <a:schemeClr val="accent2">
              <a:lumMod val="20000"/>
              <a:lumOff val="8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s>
    <c:plotArea>
      <c:layout>
        <c:manualLayout>
          <c:layoutTarget val="inner"/>
          <c:xMode val="edge"/>
          <c:yMode val="edge"/>
          <c:x val="0.20377580755161509"/>
          <c:y val="0.28966892207045897"/>
          <c:w val="0.38501010602021202"/>
          <c:h val="0.66676731087550156"/>
        </c:manualLayout>
      </c:layout>
      <c:pieChart>
        <c:varyColors val="1"/>
        <c:ser>
          <c:idx val="0"/>
          <c:order val="0"/>
          <c:tx>
            <c:strRef>
              <c:f>'Churn analysis by customer sgt'!$B$3:$B$4</c:f>
              <c:strCache>
                <c:ptCount val="1"/>
                <c:pt idx="0">
                  <c:v>Churned</c:v>
                </c:pt>
              </c:strCache>
            </c:strRef>
          </c:tx>
          <c:dPt>
            <c:idx val="0"/>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4-5294-4DE4-BDEF-68C33D5C2E53}"/>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5294-4DE4-BDEF-68C33D5C2E53}"/>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2-5294-4DE4-BDEF-68C33D5C2E5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'Churn analysis by customer sgt'!$A$5:$A$8</c:f>
              <c:strCache>
                <c:ptCount val="3"/>
                <c:pt idx="0">
                  <c:v>Enterprise</c:v>
                </c:pt>
                <c:pt idx="1">
                  <c:v>Mid-Market</c:v>
                </c:pt>
                <c:pt idx="2">
                  <c:v>SMB</c:v>
                </c:pt>
              </c:strCache>
            </c:strRef>
          </c:cat>
          <c:val>
            <c:numRef>
              <c:f>'Churn analysis by customer sgt'!$B$5:$B$8</c:f>
              <c:numCache>
                <c:formatCode>General</c:formatCode>
                <c:ptCount val="3"/>
                <c:pt idx="0">
                  <c:v>5</c:v>
                </c:pt>
                <c:pt idx="1">
                  <c:v>16</c:v>
                </c:pt>
                <c:pt idx="2">
                  <c:v>30</c:v>
                </c:pt>
              </c:numCache>
            </c:numRef>
          </c:val>
          <c:extLst>
            <c:ext xmlns:c16="http://schemas.microsoft.com/office/drawing/2014/chart" uri="{C3380CC4-5D6E-409C-BE32-E72D297353CC}">
              <c16:uniqueId val="{00000000-5294-4DE4-BDEF-68C33D5C2E5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 Lifecycle Dashboard.xlsx]Customer health score breakdown!PivotTable18</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Health</a:t>
            </a:r>
            <a:r>
              <a:rPr lang="en-US" sz="1100" baseline="0"/>
              <a:t> status by customer segment</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solidFill>
              <a:schemeClr val="bg1"/>
            </a:solidFill>
            <a:ln>
              <a:solidFill>
                <a:schemeClr val="accent2">
                  <a:lumMod val="7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solidFill>
              <a:schemeClr val="bg1">
                <a:lumMod val="95000"/>
              </a:schemeClr>
            </a:solidFill>
            <a:ln>
              <a:solidFill>
                <a:schemeClr val="accent2">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89C2E"/>
          </a:solidFill>
          <a:ln>
            <a:noFill/>
          </a:ln>
          <a:effectLst/>
        </c:spPr>
        <c:marker>
          <c:symbol val="none"/>
        </c:marker>
        <c:dLbl>
          <c:idx val="0"/>
          <c:spPr>
            <a:solidFill>
              <a:schemeClr val="bg1">
                <a:lumMod val="95000"/>
              </a:schemeClr>
            </a:solidFill>
            <a:ln>
              <a:solidFill>
                <a:srgbClr val="189C2E"/>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manualLayout>
          <c:layoutTarget val="inner"/>
          <c:xMode val="edge"/>
          <c:yMode val="edge"/>
          <c:x val="0.1353727034120735"/>
          <c:y val="0.20435261707988983"/>
          <c:w val="0.77510914260717423"/>
          <c:h val="0.56752998850350322"/>
        </c:manualLayout>
      </c:layout>
      <c:barChart>
        <c:barDir val="col"/>
        <c:grouping val="stacked"/>
        <c:varyColors val="0"/>
        <c:ser>
          <c:idx val="0"/>
          <c:order val="0"/>
          <c:tx>
            <c:strRef>
              <c:f>'Customer health score breakdown'!$B$3:$B$4</c:f>
              <c:strCache>
                <c:ptCount val="1"/>
                <c:pt idx="0">
                  <c:v>At-Risk</c:v>
                </c:pt>
              </c:strCache>
            </c:strRef>
          </c:tx>
          <c:spPr>
            <a:solidFill>
              <a:schemeClr val="accent2">
                <a:lumMod val="75000"/>
              </a:schemeClr>
            </a:solidFill>
            <a:ln>
              <a:noFill/>
            </a:ln>
            <a:effectLst/>
          </c:spPr>
          <c:invertIfNegative val="0"/>
          <c:dLbls>
            <c:spPr>
              <a:solidFill>
                <a:schemeClr val="bg1"/>
              </a:solidFill>
              <a:ln>
                <a:solidFill>
                  <a:schemeClr val="accent2">
                    <a:lumMod val="7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health score breakdown'!$A$5:$A$8</c:f>
              <c:strCache>
                <c:ptCount val="3"/>
                <c:pt idx="0">
                  <c:v>Enterprise</c:v>
                </c:pt>
                <c:pt idx="1">
                  <c:v>Mid-Market</c:v>
                </c:pt>
                <c:pt idx="2">
                  <c:v>SMB</c:v>
                </c:pt>
              </c:strCache>
            </c:strRef>
          </c:cat>
          <c:val>
            <c:numRef>
              <c:f>'Customer health score breakdown'!$B$5:$B$8</c:f>
              <c:numCache>
                <c:formatCode>General</c:formatCode>
                <c:ptCount val="3"/>
                <c:pt idx="0">
                  <c:v>140</c:v>
                </c:pt>
                <c:pt idx="1">
                  <c:v>109</c:v>
                </c:pt>
                <c:pt idx="2">
                  <c:v>101</c:v>
                </c:pt>
              </c:numCache>
            </c:numRef>
          </c:val>
          <c:extLst>
            <c:ext xmlns:c16="http://schemas.microsoft.com/office/drawing/2014/chart" uri="{C3380CC4-5D6E-409C-BE32-E72D297353CC}">
              <c16:uniqueId val="{00000000-83C6-4ABF-8A07-748D390C1FBA}"/>
            </c:ext>
          </c:extLst>
        </c:ser>
        <c:ser>
          <c:idx val="1"/>
          <c:order val="1"/>
          <c:tx>
            <c:strRef>
              <c:f>'Customer health score breakdown'!$C$3:$C$4</c:f>
              <c:strCache>
                <c:ptCount val="1"/>
                <c:pt idx="0">
                  <c:v>Churned</c:v>
                </c:pt>
              </c:strCache>
            </c:strRef>
          </c:tx>
          <c:spPr>
            <a:solidFill>
              <a:schemeClr val="accent2">
                <a:lumMod val="50000"/>
              </a:schemeClr>
            </a:solidFill>
            <a:ln>
              <a:noFill/>
            </a:ln>
            <a:effectLst/>
          </c:spPr>
          <c:invertIfNegative val="0"/>
          <c:dLbls>
            <c:spPr>
              <a:solidFill>
                <a:schemeClr val="bg1">
                  <a:lumMod val="95000"/>
                </a:schemeClr>
              </a:solidFill>
              <a:ln>
                <a:solidFill>
                  <a:schemeClr val="accent2">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health score breakdown'!$A$5:$A$8</c:f>
              <c:strCache>
                <c:ptCount val="3"/>
                <c:pt idx="0">
                  <c:v>Enterprise</c:v>
                </c:pt>
                <c:pt idx="1">
                  <c:v>Mid-Market</c:v>
                </c:pt>
                <c:pt idx="2">
                  <c:v>SMB</c:v>
                </c:pt>
              </c:strCache>
            </c:strRef>
          </c:cat>
          <c:val>
            <c:numRef>
              <c:f>'Customer health score breakdown'!$C$5:$C$8</c:f>
              <c:numCache>
                <c:formatCode>General</c:formatCode>
                <c:ptCount val="3"/>
                <c:pt idx="0">
                  <c:v>5</c:v>
                </c:pt>
                <c:pt idx="1">
                  <c:v>16</c:v>
                </c:pt>
                <c:pt idx="2">
                  <c:v>30</c:v>
                </c:pt>
              </c:numCache>
            </c:numRef>
          </c:val>
          <c:extLst>
            <c:ext xmlns:c16="http://schemas.microsoft.com/office/drawing/2014/chart" uri="{C3380CC4-5D6E-409C-BE32-E72D297353CC}">
              <c16:uniqueId val="{00000004-83C6-4ABF-8A07-748D390C1FBA}"/>
            </c:ext>
          </c:extLst>
        </c:ser>
        <c:ser>
          <c:idx val="2"/>
          <c:order val="2"/>
          <c:tx>
            <c:strRef>
              <c:f>'Customer health score breakdown'!$D$3:$D$4</c:f>
              <c:strCache>
                <c:ptCount val="1"/>
                <c:pt idx="0">
                  <c:v>Healthy</c:v>
                </c:pt>
              </c:strCache>
            </c:strRef>
          </c:tx>
          <c:spPr>
            <a:solidFill>
              <a:srgbClr val="189C2E"/>
            </a:solidFill>
            <a:ln>
              <a:noFill/>
            </a:ln>
            <a:effectLst/>
          </c:spPr>
          <c:invertIfNegative val="0"/>
          <c:dLbls>
            <c:spPr>
              <a:solidFill>
                <a:schemeClr val="bg1">
                  <a:lumMod val="95000"/>
                </a:schemeClr>
              </a:solidFill>
              <a:ln>
                <a:solidFill>
                  <a:srgbClr val="189C2E"/>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health score breakdown'!$A$5:$A$8</c:f>
              <c:strCache>
                <c:ptCount val="3"/>
                <c:pt idx="0">
                  <c:v>Enterprise</c:v>
                </c:pt>
                <c:pt idx="1">
                  <c:v>Mid-Market</c:v>
                </c:pt>
                <c:pt idx="2">
                  <c:v>SMB</c:v>
                </c:pt>
              </c:strCache>
            </c:strRef>
          </c:cat>
          <c:val>
            <c:numRef>
              <c:f>'Customer health score breakdown'!$D$5:$D$8</c:f>
              <c:numCache>
                <c:formatCode>General</c:formatCode>
                <c:ptCount val="3"/>
                <c:pt idx="0">
                  <c:v>45</c:v>
                </c:pt>
                <c:pt idx="1">
                  <c:v>32</c:v>
                </c:pt>
                <c:pt idx="2">
                  <c:v>22</c:v>
                </c:pt>
              </c:numCache>
            </c:numRef>
          </c:val>
          <c:extLst>
            <c:ext xmlns:c16="http://schemas.microsoft.com/office/drawing/2014/chart" uri="{C3380CC4-5D6E-409C-BE32-E72D297353CC}">
              <c16:uniqueId val="{00000005-83C6-4ABF-8A07-748D390C1FBA}"/>
            </c:ext>
          </c:extLst>
        </c:ser>
        <c:dLbls>
          <c:dLblPos val="ctr"/>
          <c:showLegendKey val="0"/>
          <c:showVal val="1"/>
          <c:showCatName val="0"/>
          <c:showSerName val="0"/>
          <c:showPercent val="0"/>
          <c:showBubbleSize val="0"/>
        </c:dLbls>
        <c:gapWidth val="150"/>
        <c:overlap val="100"/>
        <c:axId val="1568382080"/>
        <c:axId val="1568382560"/>
      </c:barChart>
      <c:catAx>
        <c:axId val="1568382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segment</a:t>
                </a:r>
                <a:endParaRPr lang="en-US"/>
              </a:p>
            </c:rich>
          </c:tx>
          <c:layout>
            <c:manualLayout>
              <c:xMode val="edge"/>
              <c:yMode val="edge"/>
              <c:x val="0.40210783027121616"/>
              <c:y val="0.8886774690353788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82560"/>
        <c:crosses val="autoZero"/>
        <c:auto val="1"/>
        <c:lblAlgn val="ctr"/>
        <c:lblOffset val="100"/>
        <c:noMultiLvlLbl val="0"/>
      </c:catAx>
      <c:valAx>
        <c:axId val="15683825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Health</a:t>
                </a:r>
                <a:r>
                  <a:rPr lang="en-US" baseline="0"/>
                  <a:t> status</a:t>
                </a:r>
                <a:endParaRPr lang="en-US"/>
              </a:p>
            </c:rich>
          </c:tx>
          <c:layout>
            <c:manualLayout>
              <c:xMode val="edge"/>
              <c:yMode val="edge"/>
              <c:x val="1.3888888888888888E-2"/>
              <c:y val="0.320844667143879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82080"/>
        <c:crosses val="autoZero"/>
        <c:crossBetween val="between"/>
      </c:valAx>
      <c:spPr>
        <a:noFill/>
        <a:ln>
          <a:noFill/>
        </a:ln>
        <a:effectLst/>
      </c:spPr>
    </c:plotArea>
    <c:legend>
      <c:legendPos val="r"/>
      <c:layout>
        <c:manualLayout>
          <c:xMode val="edge"/>
          <c:yMode val="edge"/>
          <c:x val="0.82159295713035874"/>
          <c:y val="0.1128500466367324"/>
          <c:w val="0.15618482064741906"/>
          <c:h val="0.201792585844124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 Lifecycle Dashboard.xlsx]Time series retention trend!PivotTable19</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Monthly</a:t>
            </a:r>
            <a:r>
              <a:rPr lang="en-US" sz="1100" baseline="0"/>
              <a:t> retention rate</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circle"/>
          <c:size val="5"/>
          <c:spPr>
            <a:solidFill>
              <a:schemeClr val="accent1"/>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circle"/>
          <c:size val="5"/>
          <c:spPr>
            <a:solidFill>
              <a:schemeClr val="accent1"/>
            </a:solidFill>
            <a:ln w="9525">
              <a:solidFill>
                <a:schemeClr val="accent6">
                  <a:lumMod val="75000"/>
                </a:schemeClr>
              </a:solidFill>
            </a:ln>
            <a:effectLst/>
          </c:spPr>
        </c:marker>
      </c:pivotFmt>
      <c:pivotFmt>
        <c:idx val="4"/>
        <c:spPr>
          <a:ln w="28575" cap="rnd">
            <a:solidFill>
              <a:schemeClr val="accent1"/>
            </a:solidFill>
            <a:round/>
          </a:ln>
          <a:effectLst/>
        </c:spPr>
        <c:marker>
          <c:symbol val="none"/>
        </c:marker>
      </c:pivotFmt>
      <c:pivotFmt>
        <c:idx val="5"/>
        <c:spPr>
          <a:ln w="28575" cap="rnd">
            <a:solidFill>
              <a:srgbClr val="FF0000"/>
            </a:solidFill>
            <a:round/>
          </a:ln>
          <a:effectLst/>
        </c:spPr>
        <c:marker>
          <c:symbol val="circle"/>
          <c:size val="5"/>
          <c:spPr>
            <a:solidFill>
              <a:schemeClr val="accent1"/>
            </a:solidFill>
            <a:ln w="9525">
              <a:solidFill>
                <a:schemeClr val="accent6">
                  <a:lumMod val="75000"/>
                </a:schemeClr>
              </a:solidFill>
            </a:ln>
            <a:effectLst/>
          </c:spPr>
        </c:marker>
      </c:pivotFmt>
      <c:pivotFmt>
        <c:idx val="6"/>
        <c:spPr>
          <a:ln w="28575" cap="rnd">
            <a:solidFill>
              <a:schemeClr val="accent2"/>
            </a:solidFill>
            <a:round/>
          </a:ln>
          <a:effectLst/>
        </c:spPr>
        <c:marker>
          <c:symbol val="none"/>
        </c:marker>
      </c:pivotFmt>
      <c:pivotFmt>
        <c:idx val="7"/>
        <c:spPr>
          <a:ln w="28575" cap="rnd">
            <a:solidFill>
              <a:srgbClr val="FF0000"/>
            </a:solidFill>
            <a:round/>
          </a:ln>
          <a:effectLst/>
        </c:spPr>
        <c:marker>
          <c:symbol val="none"/>
        </c:marker>
      </c:pivotFmt>
      <c:pivotFmt>
        <c:idx val="8"/>
        <c:spPr>
          <a:ln w="28575" cap="rnd">
            <a:solidFill>
              <a:srgbClr val="FF0000"/>
            </a:solidFill>
            <a:round/>
          </a:ln>
          <a:effectLst/>
        </c:spPr>
        <c:marker>
          <c:symbol val="none"/>
        </c:marker>
      </c:pivotFmt>
    </c:pivotFmts>
    <c:plotArea>
      <c:layout>
        <c:manualLayout>
          <c:layoutTarget val="inner"/>
          <c:xMode val="edge"/>
          <c:yMode val="edge"/>
          <c:x val="0.10786063506767536"/>
          <c:y val="0.18560185185185185"/>
          <c:w val="0.83869435438217277"/>
          <c:h val="0.55384988334791485"/>
        </c:manualLayout>
      </c:layout>
      <c:lineChart>
        <c:grouping val="standard"/>
        <c:varyColors val="0"/>
        <c:ser>
          <c:idx val="0"/>
          <c:order val="0"/>
          <c:tx>
            <c:strRef>
              <c:f>'Time series retention trend'!$B$3:$B$4</c:f>
              <c:strCache>
                <c:ptCount val="1"/>
                <c:pt idx="0">
                  <c:v>Active</c:v>
                </c:pt>
              </c:strCache>
            </c:strRef>
          </c:tx>
          <c:spPr>
            <a:ln w="28575" cap="rnd">
              <a:solidFill>
                <a:schemeClr val="accent6">
                  <a:lumMod val="75000"/>
                </a:schemeClr>
              </a:solidFill>
              <a:round/>
            </a:ln>
            <a:effectLst/>
          </c:spPr>
          <c:marker>
            <c:symbol val="circle"/>
            <c:size val="5"/>
            <c:spPr>
              <a:solidFill>
                <a:schemeClr val="accent1"/>
              </a:solidFill>
              <a:ln w="9525">
                <a:solidFill>
                  <a:schemeClr val="accent6">
                    <a:lumMod val="75000"/>
                  </a:schemeClr>
                </a:solidFill>
              </a:ln>
              <a:effectLst/>
            </c:spPr>
          </c:marker>
          <c:dPt>
            <c:idx val="2"/>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D-1DFE-4A60-BB4D-D06E5589160C}"/>
              </c:ext>
            </c:extLst>
          </c:dPt>
          <c:dPt>
            <c:idx val="6"/>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F-1DFE-4A60-BB4D-D06E5589160C}"/>
              </c:ext>
            </c:extLst>
          </c:dPt>
          <c:dPt>
            <c:idx val="7"/>
            <c:marker>
              <c:symbol val="circle"/>
              <c:size val="5"/>
              <c:spPr>
                <a:solidFill>
                  <a:schemeClr val="accent1"/>
                </a:solidFill>
                <a:ln w="9525">
                  <a:solidFill>
                    <a:srgbClr val="FF0000"/>
                  </a:solidFill>
                </a:ln>
                <a:effectLst/>
              </c:spPr>
            </c:marker>
            <c:bubble3D val="0"/>
            <c:spPr>
              <a:ln w="28575" cap="rnd">
                <a:solidFill>
                  <a:srgbClr val="FF0000"/>
                </a:solidFill>
                <a:round/>
              </a:ln>
              <a:effectLst/>
            </c:spPr>
          </c:dPt>
          <c:cat>
            <c:strRef>
              <c:f>'Time series retention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 series retention trend'!$B$5:$B$17</c:f>
              <c:numCache>
                <c:formatCode>General</c:formatCode>
                <c:ptCount val="12"/>
                <c:pt idx="0">
                  <c:v>18</c:v>
                </c:pt>
                <c:pt idx="1">
                  <c:v>24</c:v>
                </c:pt>
                <c:pt idx="2">
                  <c:v>12</c:v>
                </c:pt>
                <c:pt idx="3">
                  <c:v>21</c:v>
                </c:pt>
                <c:pt idx="4">
                  <c:v>12</c:v>
                </c:pt>
                <c:pt idx="5">
                  <c:v>17</c:v>
                </c:pt>
                <c:pt idx="6">
                  <c:v>11</c:v>
                </c:pt>
                <c:pt idx="7">
                  <c:v>22</c:v>
                </c:pt>
                <c:pt idx="8">
                  <c:v>18</c:v>
                </c:pt>
                <c:pt idx="9">
                  <c:v>21</c:v>
                </c:pt>
                <c:pt idx="10">
                  <c:v>22</c:v>
                </c:pt>
                <c:pt idx="11">
                  <c:v>18</c:v>
                </c:pt>
              </c:numCache>
            </c:numRef>
          </c:val>
          <c:smooth val="0"/>
          <c:extLst>
            <c:ext xmlns:c16="http://schemas.microsoft.com/office/drawing/2014/chart" uri="{C3380CC4-5D6E-409C-BE32-E72D297353CC}">
              <c16:uniqueId val="{00000000-1DFE-4A60-BB4D-D06E5589160C}"/>
            </c:ext>
          </c:extLst>
        </c:ser>
        <c:ser>
          <c:idx val="1"/>
          <c:order val="1"/>
          <c:tx>
            <c:strRef>
              <c:f>'Time series retention trend'!$C$3:$C$4</c:f>
              <c:strCache>
                <c:ptCount val="1"/>
                <c:pt idx="0">
                  <c:v>At-Risk</c:v>
                </c:pt>
              </c:strCache>
            </c:strRef>
          </c:tx>
          <c:spPr>
            <a:ln w="28575" cap="rnd">
              <a:solidFill>
                <a:schemeClr val="accent2"/>
              </a:solidFill>
              <a:round/>
            </a:ln>
            <a:effectLst/>
          </c:spPr>
          <c:marker>
            <c:symbol val="none"/>
          </c:marker>
          <c:dPt>
            <c:idx val="3"/>
            <c:marker>
              <c:symbol val="none"/>
            </c:marker>
            <c:bubble3D val="0"/>
            <c:spPr>
              <a:ln w="28575" cap="rnd">
                <a:solidFill>
                  <a:srgbClr val="FF0000"/>
                </a:solidFill>
                <a:round/>
              </a:ln>
              <a:effectLst/>
            </c:spPr>
            <c:extLst>
              <c:ext xmlns:c16="http://schemas.microsoft.com/office/drawing/2014/chart" uri="{C3380CC4-5D6E-409C-BE32-E72D297353CC}">
                <c16:uniqueId val="{00000012-1DFE-4A60-BB4D-D06E5589160C}"/>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10-1DFE-4A60-BB4D-D06E5589160C}"/>
              </c:ext>
            </c:extLst>
          </c:dPt>
          <c:dPt>
            <c:idx val="9"/>
            <c:marker>
              <c:symbol val="none"/>
            </c:marker>
            <c:bubble3D val="0"/>
            <c:spPr>
              <a:ln w="28575" cap="rnd">
                <a:solidFill>
                  <a:srgbClr val="FF0000"/>
                </a:solidFill>
                <a:round/>
              </a:ln>
              <a:effectLst/>
            </c:spPr>
            <c:extLst>
              <c:ext xmlns:c16="http://schemas.microsoft.com/office/drawing/2014/chart" uri="{C3380CC4-5D6E-409C-BE32-E72D297353CC}">
                <c16:uniqueId val="{00000011-1DFE-4A60-BB4D-D06E5589160C}"/>
              </c:ext>
            </c:extLst>
          </c:dPt>
          <c:cat>
            <c:strRef>
              <c:f>'Time series retention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 series retention trend'!$C$5:$C$17</c:f>
              <c:numCache>
                <c:formatCode>General</c:formatCode>
                <c:ptCount val="12"/>
                <c:pt idx="0">
                  <c:v>23</c:v>
                </c:pt>
                <c:pt idx="1">
                  <c:v>13</c:v>
                </c:pt>
                <c:pt idx="2">
                  <c:v>18</c:v>
                </c:pt>
                <c:pt idx="3">
                  <c:v>24</c:v>
                </c:pt>
                <c:pt idx="4">
                  <c:v>22</c:v>
                </c:pt>
                <c:pt idx="5">
                  <c:v>11</c:v>
                </c:pt>
                <c:pt idx="6">
                  <c:v>17</c:v>
                </c:pt>
                <c:pt idx="7">
                  <c:v>18</c:v>
                </c:pt>
                <c:pt idx="8">
                  <c:v>19</c:v>
                </c:pt>
                <c:pt idx="9">
                  <c:v>27</c:v>
                </c:pt>
                <c:pt idx="10">
                  <c:v>23</c:v>
                </c:pt>
                <c:pt idx="11">
                  <c:v>18</c:v>
                </c:pt>
              </c:numCache>
            </c:numRef>
          </c:val>
          <c:smooth val="0"/>
          <c:extLst>
            <c:ext xmlns:c16="http://schemas.microsoft.com/office/drawing/2014/chart" uri="{C3380CC4-5D6E-409C-BE32-E72D297353CC}">
              <c16:uniqueId val="{0000000E-1DFE-4A60-BB4D-D06E5589160C}"/>
            </c:ext>
          </c:extLst>
        </c:ser>
        <c:dLbls>
          <c:dLblPos val="t"/>
          <c:showLegendKey val="0"/>
          <c:showVal val="0"/>
          <c:showCatName val="0"/>
          <c:showSerName val="0"/>
          <c:showPercent val="0"/>
          <c:showBubbleSize val="0"/>
        </c:dLbls>
        <c:marker val="1"/>
        <c:smooth val="0"/>
        <c:axId val="1482282608"/>
        <c:axId val="1482296048"/>
      </c:lineChart>
      <c:catAx>
        <c:axId val="1482282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layout>
            <c:manualLayout>
              <c:xMode val="edge"/>
              <c:yMode val="edge"/>
              <c:x val="0.47436759130598871"/>
              <c:y val="0.832962233887430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96048"/>
        <c:crosses val="autoZero"/>
        <c:auto val="1"/>
        <c:lblAlgn val="ctr"/>
        <c:lblOffset val="100"/>
        <c:noMultiLvlLbl val="0"/>
      </c:catAx>
      <c:valAx>
        <c:axId val="1482296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Retention</a:t>
                </a:r>
                <a:r>
                  <a:rPr lang="en-US" baseline="0"/>
                  <a:t> rate</a:t>
                </a:r>
                <a:endParaRPr lang="en-US"/>
              </a:p>
            </c:rich>
          </c:tx>
          <c:layout>
            <c:manualLayout>
              <c:xMode val="edge"/>
              <c:yMode val="edge"/>
              <c:x val="1.1620606247748445E-2"/>
              <c:y val="0.338985126859142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82608"/>
        <c:crosses val="autoZero"/>
        <c:crossBetween val="between"/>
      </c:valAx>
      <c:spPr>
        <a:noFill/>
        <a:ln>
          <a:noFill/>
        </a:ln>
        <a:effectLst/>
      </c:spPr>
    </c:plotArea>
    <c:legend>
      <c:legendPos val="b"/>
      <c:layout>
        <c:manualLayout>
          <c:xMode val="edge"/>
          <c:yMode val="edge"/>
          <c:x val="0.35702794503628227"/>
          <c:y val="0.92187445319335082"/>
          <c:w val="0.3289298886658775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 Lifecycle Dashboard.xlsx]Retention drivers analysis!PivotTable74</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Monthly</a:t>
            </a:r>
            <a:r>
              <a:rPr lang="en-US" sz="1100" baseline="0"/>
              <a:t> spend distribution by retention status</a:t>
            </a:r>
            <a:endParaRPr lang="en-US" sz="1100"/>
          </a:p>
        </c:rich>
      </c:tx>
      <c:layout>
        <c:manualLayout>
          <c:xMode val="edge"/>
          <c:yMode val="edge"/>
          <c:x val="0.19965266841644794"/>
          <c:y val="4.368932038834951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89C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s>
    <c:plotArea>
      <c:layout>
        <c:manualLayout>
          <c:layoutTarget val="inner"/>
          <c:xMode val="edge"/>
          <c:yMode val="edge"/>
          <c:x val="0.18127559055118111"/>
          <c:y val="0.2235379558137757"/>
          <c:w val="0.78753958880139974"/>
          <c:h val="0.62271617089530473"/>
        </c:manualLayout>
      </c:layout>
      <c:barChart>
        <c:barDir val="col"/>
        <c:grouping val="clustered"/>
        <c:varyColors val="0"/>
        <c:ser>
          <c:idx val="0"/>
          <c:order val="0"/>
          <c:tx>
            <c:strRef>
              <c:f>'Retention drivers analysis'!$B$3</c:f>
              <c:strCache>
                <c:ptCount val="1"/>
                <c:pt idx="0">
                  <c:v>Total</c:v>
                </c:pt>
              </c:strCache>
            </c:strRef>
          </c:tx>
          <c:spPr>
            <a:solidFill>
              <a:srgbClr val="189C2E"/>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2-78FA-482C-A642-BD51DB37DB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'Retention drivers analysis'!$A$4:$A$6</c:f>
              <c:strCache>
                <c:ptCount val="2"/>
                <c:pt idx="0">
                  <c:v>Active</c:v>
                </c:pt>
                <c:pt idx="1">
                  <c:v>Churned</c:v>
                </c:pt>
              </c:strCache>
            </c:strRef>
          </c:cat>
          <c:val>
            <c:numRef>
              <c:f>'Retention drivers analysis'!$B$4:$B$6</c:f>
              <c:numCache>
                <c:formatCode>[&gt;=1000000]"$"#0.0,,"M";[&gt;=1000]#0.0,"k";0</c:formatCode>
                <c:ptCount val="2"/>
                <c:pt idx="0">
                  <c:v>17315000</c:v>
                </c:pt>
                <c:pt idx="1">
                  <c:v>2250000</c:v>
                </c:pt>
              </c:numCache>
            </c:numRef>
          </c:val>
          <c:extLst>
            <c:ext xmlns:c16="http://schemas.microsoft.com/office/drawing/2014/chart" uri="{C3380CC4-5D6E-409C-BE32-E72D297353CC}">
              <c16:uniqueId val="{00000000-78FA-482C-A642-BD51DB37DBF4}"/>
            </c:ext>
          </c:extLst>
        </c:ser>
        <c:dLbls>
          <c:dLblPos val="outEnd"/>
          <c:showLegendKey val="0"/>
          <c:showVal val="1"/>
          <c:showCatName val="0"/>
          <c:showSerName val="0"/>
          <c:showPercent val="0"/>
          <c:showBubbleSize val="0"/>
        </c:dLbls>
        <c:gapWidth val="219"/>
        <c:overlap val="-27"/>
        <c:axId val="1568369600"/>
        <c:axId val="1568375360"/>
      </c:barChart>
      <c:catAx>
        <c:axId val="1568369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Retention</a:t>
                </a:r>
                <a:r>
                  <a:rPr lang="en-US" baseline="0"/>
                  <a:t> status</a:t>
                </a:r>
                <a:endParaRPr lang="en-US"/>
              </a:p>
            </c:rich>
          </c:tx>
          <c:layout>
            <c:manualLayout>
              <c:xMode val="edge"/>
              <c:yMode val="edge"/>
              <c:x val="0.42228849518810152"/>
              <c:y val="0.8923446219707973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75360"/>
        <c:crosses val="autoZero"/>
        <c:auto val="1"/>
        <c:lblAlgn val="ctr"/>
        <c:lblOffset val="100"/>
        <c:noMultiLvlLbl val="0"/>
      </c:catAx>
      <c:valAx>
        <c:axId val="15683753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Monthly</a:t>
                </a:r>
                <a:r>
                  <a:rPr lang="en-US" baseline="0"/>
                  <a:t> spend</a:t>
                </a:r>
                <a:endParaRPr lang="en-US"/>
              </a:p>
            </c:rich>
          </c:tx>
          <c:layout>
            <c:manualLayout>
              <c:xMode val="edge"/>
              <c:yMode val="edge"/>
              <c:x val="1.6666666666666666E-2"/>
              <c:y val="0.2969394541701704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quot;$&quot;#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6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Support ticket vs retention</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18818897637796"/>
          <c:y val="0.15992841803865426"/>
          <c:w val="0.83201181102362209"/>
          <c:h val="0.60093812137119229"/>
        </c:manualLayout>
      </c:layout>
      <c:scatterChart>
        <c:scatterStyle val="lineMarker"/>
        <c:varyColors val="0"/>
        <c:ser>
          <c:idx val="0"/>
          <c:order val="0"/>
          <c:tx>
            <c:v>Healthy</c:v>
          </c:tx>
          <c:spPr>
            <a:ln w="25400" cap="rnd">
              <a:noFill/>
              <a:round/>
            </a:ln>
            <a:effectLst/>
          </c:spPr>
          <c:marker>
            <c:symbol val="circle"/>
            <c:size val="5"/>
            <c:spPr>
              <a:solidFill>
                <a:schemeClr val="accent6">
                  <a:lumMod val="50000"/>
                </a:schemeClr>
              </a:solidFill>
              <a:ln w="9525">
                <a:solidFill>
                  <a:schemeClr val="accent1"/>
                </a:solidFill>
              </a:ln>
              <a:effectLst/>
            </c:spPr>
          </c:marker>
          <c:yVal>
            <c:numRef>
              <c:f>'Data - Sheet1'!$G$1</c:f>
              <c:numCache>
                <c:formatCode>General</c:formatCode>
                <c:ptCount val="1"/>
                <c:pt idx="0">
                  <c:v>0</c:v>
                </c:pt>
              </c:numCache>
            </c:numRef>
          </c:yVal>
          <c:smooth val="0"/>
          <c:extLst>
            <c:ext xmlns:c16="http://schemas.microsoft.com/office/drawing/2014/chart" uri="{C3380CC4-5D6E-409C-BE32-E72D297353CC}">
              <c16:uniqueId val="{00000000-321C-490A-A544-65AE9D3F5F83}"/>
            </c:ext>
          </c:extLst>
        </c:ser>
        <c:ser>
          <c:idx val="1"/>
          <c:order val="1"/>
          <c:tx>
            <c:v>At-Risk</c:v>
          </c:tx>
          <c:spPr>
            <a:ln w="25400" cap="rnd">
              <a:noFill/>
              <a:round/>
            </a:ln>
            <a:effectLst/>
          </c:spPr>
          <c:marker>
            <c:symbol val="circle"/>
            <c:size val="5"/>
            <c:spPr>
              <a:solidFill>
                <a:schemeClr val="accent2">
                  <a:lumMod val="60000"/>
                  <a:lumOff val="40000"/>
                </a:schemeClr>
              </a:solidFill>
              <a:ln w="9525">
                <a:solidFill>
                  <a:schemeClr val="accent2"/>
                </a:solidFill>
              </a:ln>
              <a:effectLst/>
            </c:spPr>
          </c:marker>
          <c:yVal>
            <c:numRef>
              <c:f>'Data - Sheet1'!$G$1:$G$502</c:f>
              <c:numCache>
                <c:formatCode>General</c:formatCode>
                <c:ptCount val="502"/>
                <c:pt idx="0">
                  <c:v>0</c:v>
                </c:pt>
                <c:pt idx="1">
                  <c:v>43</c:v>
                </c:pt>
                <c:pt idx="2">
                  <c:v>13</c:v>
                </c:pt>
                <c:pt idx="3">
                  <c:v>28</c:v>
                </c:pt>
                <c:pt idx="4">
                  <c:v>9</c:v>
                </c:pt>
                <c:pt idx="5">
                  <c:v>38</c:v>
                </c:pt>
                <c:pt idx="6">
                  <c:v>35</c:v>
                </c:pt>
                <c:pt idx="7">
                  <c:v>42</c:v>
                </c:pt>
                <c:pt idx="8">
                  <c:v>29</c:v>
                </c:pt>
                <c:pt idx="9">
                  <c:v>38</c:v>
                </c:pt>
                <c:pt idx="10">
                  <c:v>40</c:v>
                </c:pt>
                <c:pt idx="11">
                  <c:v>2</c:v>
                </c:pt>
                <c:pt idx="12">
                  <c:v>41</c:v>
                </c:pt>
                <c:pt idx="13">
                  <c:v>47</c:v>
                </c:pt>
                <c:pt idx="14">
                  <c:v>14</c:v>
                </c:pt>
                <c:pt idx="15">
                  <c:v>40</c:v>
                </c:pt>
                <c:pt idx="16">
                  <c:v>16</c:v>
                </c:pt>
                <c:pt idx="17">
                  <c:v>7</c:v>
                </c:pt>
                <c:pt idx="18">
                  <c:v>48</c:v>
                </c:pt>
                <c:pt idx="19">
                  <c:v>23</c:v>
                </c:pt>
                <c:pt idx="20">
                  <c:v>1</c:v>
                </c:pt>
                <c:pt idx="21">
                  <c:v>5</c:v>
                </c:pt>
                <c:pt idx="22">
                  <c:v>35</c:v>
                </c:pt>
                <c:pt idx="23">
                  <c:v>48</c:v>
                </c:pt>
                <c:pt idx="24">
                  <c:v>33</c:v>
                </c:pt>
                <c:pt idx="25">
                  <c:v>35</c:v>
                </c:pt>
                <c:pt idx="26">
                  <c:v>4</c:v>
                </c:pt>
                <c:pt idx="27">
                  <c:v>34</c:v>
                </c:pt>
                <c:pt idx="28">
                  <c:v>12</c:v>
                </c:pt>
                <c:pt idx="29">
                  <c:v>46</c:v>
                </c:pt>
                <c:pt idx="30">
                  <c:v>12</c:v>
                </c:pt>
                <c:pt idx="31">
                  <c:v>15</c:v>
                </c:pt>
                <c:pt idx="32">
                  <c:v>5</c:v>
                </c:pt>
                <c:pt idx="33">
                  <c:v>3</c:v>
                </c:pt>
                <c:pt idx="34">
                  <c:v>27</c:v>
                </c:pt>
                <c:pt idx="35">
                  <c:v>3</c:v>
                </c:pt>
                <c:pt idx="36">
                  <c:v>33</c:v>
                </c:pt>
                <c:pt idx="37">
                  <c:v>4</c:v>
                </c:pt>
                <c:pt idx="38">
                  <c:v>38</c:v>
                </c:pt>
                <c:pt idx="39">
                  <c:v>13</c:v>
                </c:pt>
                <c:pt idx="40">
                  <c:v>20</c:v>
                </c:pt>
                <c:pt idx="41">
                  <c:v>34</c:v>
                </c:pt>
                <c:pt idx="42">
                  <c:v>23</c:v>
                </c:pt>
                <c:pt idx="43">
                  <c:v>19</c:v>
                </c:pt>
                <c:pt idx="44">
                  <c:v>9</c:v>
                </c:pt>
                <c:pt idx="45">
                  <c:v>32</c:v>
                </c:pt>
                <c:pt idx="46">
                  <c:v>0</c:v>
                </c:pt>
                <c:pt idx="47">
                  <c:v>45</c:v>
                </c:pt>
                <c:pt idx="48">
                  <c:v>2</c:v>
                </c:pt>
                <c:pt idx="49">
                  <c:v>23</c:v>
                </c:pt>
                <c:pt idx="50">
                  <c:v>49</c:v>
                </c:pt>
                <c:pt idx="51">
                  <c:v>11</c:v>
                </c:pt>
                <c:pt idx="52">
                  <c:v>17</c:v>
                </c:pt>
                <c:pt idx="53">
                  <c:v>29</c:v>
                </c:pt>
                <c:pt idx="54">
                  <c:v>21</c:v>
                </c:pt>
                <c:pt idx="55">
                  <c:v>21</c:v>
                </c:pt>
                <c:pt idx="56">
                  <c:v>6</c:v>
                </c:pt>
                <c:pt idx="57">
                  <c:v>36</c:v>
                </c:pt>
                <c:pt idx="58">
                  <c:v>27</c:v>
                </c:pt>
                <c:pt idx="59">
                  <c:v>32</c:v>
                </c:pt>
                <c:pt idx="60">
                  <c:v>26</c:v>
                </c:pt>
                <c:pt idx="61">
                  <c:v>35</c:v>
                </c:pt>
                <c:pt idx="62">
                  <c:v>28</c:v>
                </c:pt>
                <c:pt idx="63">
                  <c:v>18</c:v>
                </c:pt>
                <c:pt idx="64">
                  <c:v>14</c:v>
                </c:pt>
                <c:pt idx="65">
                  <c:v>49</c:v>
                </c:pt>
                <c:pt idx="66">
                  <c:v>25</c:v>
                </c:pt>
                <c:pt idx="67">
                  <c:v>14</c:v>
                </c:pt>
                <c:pt idx="68">
                  <c:v>8</c:v>
                </c:pt>
                <c:pt idx="69">
                  <c:v>46</c:v>
                </c:pt>
                <c:pt idx="70">
                  <c:v>16</c:v>
                </c:pt>
                <c:pt idx="71">
                  <c:v>17</c:v>
                </c:pt>
                <c:pt idx="72">
                  <c:v>34</c:v>
                </c:pt>
                <c:pt idx="73">
                  <c:v>4</c:v>
                </c:pt>
                <c:pt idx="74">
                  <c:v>26</c:v>
                </c:pt>
                <c:pt idx="75">
                  <c:v>0</c:v>
                </c:pt>
                <c:pt idx="76">
                  <c:v>14</c:v>
                </c:pt>
                <c:pt idx="77">
                  <c:v>29</c:v>
                </c:pt>
                <c:pt idx="78">
                  <c:v>41</c:v>
                </c:pt>
                <c:pt idx="79">
                  <c:v>13</c:v>
                </c:pt>
                <c:pt idx="80">
                  <c:v>5</c:v>
                </c:pt>
                <c:pt idx="81">
                  <c:v>41</c:v>
                </c:pt>
                <c:pt idx="82">
                  <c:v>9</c:v>
                </c:pt>
                <c:pt idx="83">
                  <c:v>44</c:v>
                </c:pt>
                <c:pt idx="84">
                  <c:v>19</c:v>
                </c:pt>
                <c:pt idx="85">
                  <c:v>45</c:v>
                </c:pt>
                <c:pt idx="86">
                  <c:v>44</c:v>
                </c:pt>
                <c:pt idx="87">
                  <c:v>34</c:v>
                </c:pt>
                <c:pt idx="88">
                  <c:v>31</c:v>
                </c:pt>
                <c:pt idx="89">
                  <c:v>27</c:v>
                </c:pt>
                <c:pt idx="90">
                  <c:v>27</c:v>
                </c:pt>
                <c:pt idx="91">
                  <c:v>28</c:v>
                </c:pt>
                <c:pt idx="92">
                  <c:v>31</c:v>
                </c:pt>
                <c:pt idx="93">
                  <c:v>17</c:v>
                </c:pt>
                <c:pt idx="94">
                  <c:v>15</c:v>
                </c:pt>
                <c:pt idx="95">
                  <c:v>28</c:v>
                </c:pt>
                <c:pt idx="96">
                  <c:v>42</c:v>
                </c:pt>
                <c:pt idx="97">
                  <c:v>21</c:v>
                </c:pt>
                <c:pt idx="98">
                  <c:v>20</c:v>
                </c:pt>
                <c:pt idx="99">
                  <c:v>46</c:v>
                </c:pt>
                <c:pt idx="100">
                  <c:v>14</c:v>
                </c:pt>
                <c:pt idx="101">
                  <c:v>2</c:v>
                </c:pt>
                <c:pt idx="102">
                  <c:v>0</c:v>
                </c:pt>
                <c:pt idx="103">
                  <c:v>16</c:v>
                </c:pt>
                <c:pt idx="104">
                  <c:v>9</c:v>
                </c:pt>
                <c:pt idx="105">
                  <c:v>38</c:v>
                </c:pt>
                <c:pt idx="106">
                  <c:v>37</c:v>
                </c:pt>
                <c:pt idx="107">
                  <c:v>40</c:v>
                </c:pt>
                <c:pt idx="108">
                  <c:v>4</c:v>
                </c:pt>
                <c:pt idx="109">
                  <c:v>2</c:v>
                </c:pt>
                <c:pt idx="110">
                  <c:v>43</c:v>
                </c:pt>
                <c:pt idx="111">
                  <c:v>7</c:v>
                </c:pt>
                <c:pt idx="112">
                  <c:v>3</c:v>
                </c:pt>
                <c:pt idx="113">
                  <c:v>29</c:v>
                </c:pt>
                <c:pt idx="114">
                  <c:v>5</c:v>
                </c:pt>
                <c:pt idx="115">
                  <c:v>14</c:v>
                </c:pt>
                <c:pt idx="116">
                  <c:v>2</c:v>
                </c:pt>
                <c:pt idx="117">
                  <c:v>37</c:v>
                </c:pt>
                <c:pt idx="118">
                  <c:v>42</c:v>
                </c:pt>
                <c:pt idx="119">
                  <c:v>48</c:v>
                </c:pt>
                <c:pt idx="120">
                  <c:v>49</c:v>
                </c:pt>
                <c:pt idx="121">
                  <c:v>3</c:v>
                </c:pt>
                <c:pt idx="122">
                  <c:v>13</c:v>
                </c:pt>
                <c:pt idx="123">
                  <c:v>1</c:v>
                </c:pt>
                <c:pt idx="124">
                  <c:v>26</c:v>
                </c:pt>
                <c:pt idx="125">
                  <c:v>45</c:v>
                </c:pt>
                <c:pt idx="126">
                  <c:v>15</c:v>
                </c:pt>
                <c:pt idx="127">
                  <c:v>17</c:v>
                </c:pt>
                <c:pt idx="128">
                  <c:v>46</c:v>
                </c:pt>
                <c:pt idx="129">
                  <c:v>34</c:v>
                </c:pt>
                <c:pt idx="130">
                  <c:v>20</c:v>
                </c:pt>
                <c:pt idx="131">
                  <c:v>20</c:v>
                </c:pt>
                <c:pt idx="132">
                  <c:v>2</c:v>
                </c:pt>
                <c:pt idx="133">
                  <c:v>33</c:v>
                </c:pt>
                <c:pt idx="134">
                  <c:v>30</c:v>
                </c:pt>
                <c:pt idx="135">
                  <c:v>43</c:v>
                </c:pt>
                <c:pt idx="136">
                  <c:v>2</c:v>
                </c:pt>
                <c:pt idx="137">
                  <c:v>47</c:v>
                </c:pt>
                <c:pt idx="138">
                  <c:v>10</c:v>
                </c:pt>
                <c:pt idx="139">
                  <c:v>22</c:v>
                </c:pt>
                <c:pt idx="140">
                  <c:v>11</c:v>
                </c:pt>
                <c:pt idx="141">
                  <c:v>9</c:v>
                </c:pt>
                <c:pt idx="142">
                  <c:v>18</c:v>
                </c:pt>
                <c:pt idx="143">
                  <c:v>19</c:v>
                </c:pt>
                <c:pt idx="144">
                  <c:v>24</c:v>
                </c:pt>
                <c:pt idx="145">
                  <c:v>1</c:v>
                </c:pt>
                <c:pt idx="146">
                  <c:v>47</c:v>
                </c:pt>
                <c:pt idx="147">
                  <c:v>39</c:v>
                </c:pt>
                <c:pt idx="148">
                  <c:v>50</c:v>
                </c:pt>
                <c:pt idx="149">
                  <c:v>20</c:v>
                </c:pt>
                <c:pt idx="150">
                  <c:v>32</c:v>
                </c:pt>
                <c:pt idx="151">
                  <c:v>7</c:v>
                </c:pt>
                <c:pt idx="152">
                  <c:v>23</c:v>
                </c:pt>
                <c:pt idx="153">
                  <c:v>43</c:v>
                </c:pt>
                <c:pt idx="154">
                  <c:v>43</c:v>
                </c:pt>
                <c:pt idx="155">
                  <c:v>14</c:v>
                </c:pt>
                <c:pt idx="156">
                  <c:v>7</c:v>
                </c:pt>
                <c:pt idx="157">
                  <c:v>15</c:v>
                </c:pt>
                <c:pt idx="158">
                  <c:v>47</c:v>
                </c:pt>
                <c:pt idx="159">
                  <c:v>26</c:v>
                </c:pt>
                <c:pt idx="160">
                  <c:v>23</c:v>
                </c:pt>
                <c:pt idx="161">
                  <c:v>12</c:v>
                </c:pt>
                <c:pt idx="162">
                  <c:v>50</c:v>
                </c:pt>
                <c:pt idx="163">
                  <c:v>13</c:v>
                </c:pt>
                <c:pt idx="164">
                  <c:v>34</c:v>
                </c:pt>
                <c:pt idx="165">
                  <c:v>22</c:v>
                </c:pt>
                <c:pt idx="166">
                  <c:v>47</c:v>
                </c:pt>
                <c:pt idx="167">
                  <c:v>37</c:v>
                </c:pt>
                <c:pt idx="168">
                  <c:v>19</c:v>
                </c:pt>
                <c:pt idx="169">
                  <c:v>31</c:v>
                </c:pt>
                <c:pt idx="170">
                  <c:v>8</c:v>
                </c:pt>
                <c:pt idx="171">
                  <c:v>38</c:v>
                </c:pt>
                <c:pt idx="172">
                  <c:v>41</c:v>
                </c:pt>
                <c:pt idx="173">
                  <c:v>21</c:v>
                </c:pt>
                <c:pt idx="174">
                  <c:v>23</c:v>
                </c:pt>
                <c:pt idx="175">
                  <c:v>6</c:v>
                </c:pt>
                <c:pt idx="176">
                  <c:v>26</c:v>
                </c:pt>
                <c:pt idx="177">
                  <c:v>6</c:v>
                </c:pt>
                <c:pt idx="178">
                  <c:v>22</c:v>
                </c:pt>
                <c:pt idx="179">
                  <c:v>49</c:v>
                </c:pt>
                <c:pt idx="180">
                  <c:v>11</c:v>
                </c:pt>
                <c:pt idx="181">
                  <c:v>42</c:v>
                </c:pt>
                <c:pt idx="182">
                  <c:v>13</c:v>
                </c:pt>
                <c:pt idx="183">
                  <c:v>49</c:v>
                </c:pt>
                <c:pt idx="184">
                  <c:v>17</c:v>
                </c:pt>
                <c:pt idx="185">
                  <c:v>48</c:v>
                </c:pt>
                <c:pt idx="186">
                  <c:v>42</c:v>
                </c:pt>
                <c:pt idx="187">
                  <c:v>13</c:v>
                </c:pt>
                <c:pt idx="188">
                  <c:v>31</c:v>
                </c:pt>
                <c:pt idx="189">
                  <c:v>35</c:v>
                </c:pt>
                <c:pt idx="190">
                  <c:v>1</c:v>
                </c:pt>
                <c:pt idx="191">
                  <c:v>18</c:v>
                </c:pt>
                <c:pt idx="192">
                  <c:v>5</c:v>
                </c:pt>
                <c:pt idx="193">
                  <c:v>19</c:v>
                </c:pt>
                <c:pt idx="194">
                  <c:v>40</c:v>
                </c:pt>
                <c:pt idx="195">
                  <c:v>46</c:v>
                </c:pt>
                <c:pt idx="196">
                  <c:v>38</c:v>
                </c:pt>
                <c:pt idx="197">
                  <c:v>41</c:v>
                </c:pt>
                <c:pt idx="198">
                  <c:v>30</c:v>
                </c:pt>
                <c:pt idx="199">
                  <c:v>19</c:v>
                </c:pt>
                <c:pt idx="200">
                  <c:v>41</c:v>
                </c:pt>
                <c:pt idx="201">
                  <c:v>36</c:v>
                </c:pt>
                <c:pt idx="202">
                  <c:v>28</c:v>
                </c:pt>
                <c:pt idx="203">
                  <c:v>15</c:v>
                </c:pt>
                <c:pt idx="204">
                  <c:v>23</c:v>
                </c:pt>
                <c:pt idx="205">
                  <c:v>4</c:v>
                </c:pt>
                <c:pt idx="206">
                  <c:v>9</c:v>
                </c:pt>
                <c:pt idx="207">
                  <c:v>41</c:v>
                </c:pt>
                <c:pt idx="208">
                  <c:v>35</c:v>
                </c:pt>
                <c:pt idx="209">
                  <c:v>32</c:v>
                </c:pt>
                <c:pt idx="210">
                  <c:v>49</c:v>
                </c:pt>
                <c:pt idx="211">
                  <c:v>32</c:v>
                </c:pt>
                <c:pt idx="212">
                  <c:v>8</c:v>
                </c:pt>
                <c:pt idx="213">
                  <c:v>2</c:v>
                </c:pt>
                <c:pt idx="214">
                  <c:v>14</c:v>
                </c:pt>
                <c:pt idx="215">
                  <c:v>43</c:v>
                </c:pt>
                <c:pt idx="216">
                  <c:v>12</c:v>
                </c:pt>
                <c:pt idx="217">
                  <c:v>6</c:v>
                </c:pt>
                <c:pt idx="218">
                  <c:v>28</c:v>
                </c:pt>
                <c:pt idx="219">
                  <c:v>22</c:v>
                </c:pt>
                <c:pt idx="220">
                  <c:v>5</c:v>
                </c:pt>
                <c:pt idx="221">
                  <c:v>8</c:v>
                </c:pt>
                <c:pt idx="222">
                  <c:v>39</c:v>
                </c:pt>
                <c:pt idx="223">
                  <c:v>46</c:v>
                </c:pt>
                <c:pt idx="224">
                  <c:v>7</c:v>
                </c:pt>
                <c:pt idx="225">
                  <c:v>7</c:v>
                </c:pt>
                <c:pt idx="226">
                  <c:v>18</c:v>
                </c:pt>
                <c:pt idx="227">
                  <c:v>42</c:v>
                </c:pt>
                <c:pt idx="228">
                  <c:v>32</c:v>
                </c:pt>
                <c:pt idx="229">
                  <c:v>23</c:v>
                </c:pt>
                <c:pt idx="230">
                  <c:v>47</c:v>
                </c:pt>
                <c:pt idx="231">
                  <c:v>49</c:v>
                </c:pt>
                <c:pt idx="232">
                  <c:v>45</c:v>
                </c:pt>
                <c:pt idx="233">
                  <c:v>20</c:v>
                </c:pt>
                <c:pt idx="234">
                  <c:v>18</c:v>
                </c:pt>
                <c:pt idx="235">
                  <c:v>25</c:v>
                </c:pt>
                <c:pt idx="236">
                  <c:v>23</c:v>
                </c:pt>
                <c:pt idx="237">
                  <c:v>18</c:v>
                </c:pt>
                <c:pt idx="238">
                  <c:v>38</c:v>
                </c:pt>
                <c:pt idx="239">
                  <c:v>46</c:v>
                </c:pt>
                <c:pt idx="240">
                  <c:v>42</c:v>
                </c:pt>
                <c:pt idx="241">
                  <c:v>9</c:v>
                </c:pt>
                <c:pt idx="242">
                  <c:v>24</c:v>
                </c:pt>
                <c:pt idx="243">
                  <c:v>28</c:v>
                </c:pt>
                <c:pt idx="244">
                  <c:v>41</c:v>
                </c:pt>
                <c:pt idx="245">
                  <c:v>24</c:v>
                </c:pt>
                <c:pt idx="246">
                  <c:v>18</c:v>
                </c:pt>
                <c:pt idx="247">
                  <c:v>11</c:v>
                </c:pt>
                <c:pt idx="248">
                  <c:v>45</c:v>
                </c:pt>
                <c:pt idx="249">
                  <c:v>50</c:v>
                </c:pt>
                <c:pt idx="250">
                  <c:v>50</c:v>
                </c:pt>
                <c:pt idx="251">
                  <c:v>8</c:v>
                </c:pt>
                <c:pt idx="252">
                  <c:v>26</c:v>
                </c:pt>
                <c:pt idx="253">
                  <c:v>28</c:v>
                </c:pt>
                <c:pt idx="254">
                  <c:v>27</c:v>
                </c:pt>
                <c:pt idx="255">
                  <c:v>20</c:v>
                </c:pt>
                <c:pt idx="256">
                  <c:v>12</c:v>
                </c:pt>
                <c:pt idx="257">
                  <c:v>41</c:v>
                </c:pt>
                <c:pt idx="258">
                  <c:v>21</c:v>
                </c:pt>
                <c:pt idx="259">
                  <c:v>16</c:v>
                </c:pt>
                <c:pt idx="260">
                  <c:v>40</c:v>
                </c:pt>
                <c:pt idx="261">
                  <c:v>29</c:v>
                </c:pt>
                <c:pt idx="262">
                  <c:v>21</c:v>
                </c:pt>
                <c:pt idx="263">
                  <c:v>8</c:v>
                </c:pt>
                <c:pt idx="264">
                  <c:v>7</c:v>
                </c:pt>
                <c:pt idx="265">
                  <c:v>39</c:v>
                </c:pt>
                <c:pt idx="266">
                  <c:v>48</c:v>
                </c:pt>
                <c:pt idx="267">
                  <c:v>1</c:v>
                </c:pt>
                <c:pt idx="268">
                  <c:v>22</c:v>
                </c:pt>
                <c:pt idx="269">
                  <c:v>34</c:v>
                </c:pt>
                <c:pt idx="270">
                  <c:v>23</c:v>
                </c:pt>
                <c:pt idx="271">
                  <c:v>18</c:v>
                </c:pt>
                <c:pt idx="272">
                  <c:v>43</c:v>
                </c:pt>
                <c:pt idx="273">
                  <c:v>23</c:v>
                </c:pt>
                <c:pt idx="274">
                  <c:v>2</c:v>
                </c:pt>
                <c:pt idx="275">
                  <c:v>39</c:v>
                </c:pt>
                <c:pt idx="276">
                  <c:v>21</c:v>
                </c:pt>
                <c:pt idx="277">
                  <c:v>1</c:v>
                </c:pt>
                <c:pt idx="278">
                  <c:v>38</c:v>
                </c:pt>
                <c:pt idx="279">
                  <c:v>30</c:v>
                </c:pt>
                <c:pt idx="280">
                  <c:v>43</c:v>
                </c:pt>
                <c:pt idx="281">
                  <c:v>20</c:v>
                </c:pt>
                <c:pt idx="282">
                  <c:v>45</c:v>
                </c:pt>
                <c:pt idx="283">
                  <c:v>24</c:v>
                </c:pt>
                <c:pt idx="284">
                  <c:v>39</c:v>
                </c:pt>
                <c:pt idx="285">
                  <c:v>49</c:v>
                </c:pt>
                <c:pt idx="286">
                  <c:v>35</c:v>
                </c:pt>
                <c:pt idx="287">
                  <c:v>22</c:v>
                </c:pt>
                <c:pt idx="288">
                  <c:v>28</c:v>
                </c:pt>
                <c:pt idx="289">
                  <c:v>44</c:v>
                </c:pt>
                <c:pt idx="290">
                  <c:v>3</c:v>
                </c:pt>
                <c:pt idx="291">
                  <c:v>21</c:v>
                </c:pt>
                <c:pt idx="292">
                  <c:v>10</c:v>
                </c:pt>
                <c:pt idx="293">
                  <c:v>18</c:v>
                </c:pt>
                <c:pt idx="294">
                  <c:v>26</c:v>
                </c:pt>
                <c:pt idx="295">
                  <c:v>0</c:v>
                </c:pt>
                <c:pt idx="296">
                  <c:v>29</c:v>
                </c:pt>
                <c:pt idx="297">
                  <c:v>29</c:v>
                </c:pt>
                <c:pt idx="298">
                  <c:v>45</c:v>
                </c:pt>
                <c:pt idx="299">
                  <c:v>39</c:v>
                </c:pt>
                <c:pt idx="300">
                  <c:v>11</c:v>
                </c:pt>
                <c:pt idx="301">
                  <c:v>28</c:v>
                </c:pt>
                <c:pt idx="302">
                  <c:v>41</c:v>
                </c:pt>
                <c:pt idx="303">
                  <c:v>25</c:v>
                </c:pt>
                <c:pt idx="304">
                  <c:v>39</c:v>
                </c:pt>
                <c:pt idx="305">
                  <c:v>44</c:v>
                </c:pt>
                <c:pt idx="306">
                  <c:v>50</c:v>
                </c:pt>
                <c:pt idx="307">
                  <c:v>7</c:v>
                </c:pt>
                <c:pt idx="308">
                  <c:v>20</c:v>
                </c:pt>
                <c:pt idx="309">
                  <c:v>32</c:v>
                </c:pt>
                <c:pt idx="310">
                  <c:v>3</c:v>
                </c:pt>
                <c:pt idx="311">
                  <c:v>0</c:v>
                </c:pt>
                <c:pt idx="312">
                  <c:v>34</c:v>
                </c:pt>
                <c:pt idx="313">
                  <c:v>49</c:v>
                </c:pt>
                <c:pt idx="314">
                  <c:v>5</c:v>
                </c:pt>
                <c:pt idx="315">
                  <c:v>34</c:v>
                </c:pt>
                <c:pt idx="316">
                  <c:v>29</c:v>
                </c:pt>
                <c:pt idx="317">
                  <c:v>29</c:v>
                </c:pt>
                <c:pt idx="318">
                  <c:v>42</c:v>
                </c:pt>
                <c:pt idx="319">
                  <c:v>2</c:v>
                </c:pt>
                <c:pt idx="320">
                  <c:v>25</c:v>
                </c:pt>
                <c:pt idx="321">
                  <c:v>32</c:v>
                </c:pt>
                <c:pt idx="322">
                  <c:v>19</c:v>
                </c:pt>
                <c:pt idx="323">
                  <c:v>37</c:v>
                </c:pt>
                <c:pt idx="324">
                  <c:v>22</c:v>
                </c:pt>
                <c:pt idx="325">
                  <c:v>19</c:v>
                </c:pt>
                <c:pt idx="326">
                  <c:v>45</c:v>
                </c:pt>
                <c:pt idx="327">
                  <c:v>33</c:v>
                </c:pt>
                <c:pt idx="328">
                  <c:v>23</c:v>
                </c:pt>
                <c:pt idx="329">
                  <c:v>38</c:v>
                </c:pt>
                <c:pt idx="330">
                  <c:v>13</c:v>
                </c:pt>
                <c:pt idx="331">
                  <c:v>15</c:v>
                </c:pt>
                <c:pt idx="332">
                  <c:v>20</c:v>
                </c:pt>
                <c:pt idx="333">
                  <c:v>16</c:v>
                </c:pt>
                <c:pt idx="334">
                  <c:v>13</c:v>
                </c:pt>
                <c:pt idx="335">
                  <c:v>1</c:v>
                </c:pt>
                <c:pt idx="336">
                  <c:v>12</c:v>
                </c:pt>
                <c:pt idx="337">
                  <c:v>41</c:v>
                </c:pt>
                <c:pt idx="338">
                  <c:v>10</c:v>
                </c:pt>
                <c:pt idx="339">
                  <c:v>34</c:v>
                </c:pt>
                <c:pt idx="340">
                  <c:v>48</c:v>
                </c:pt>
                <c:pt idx="341">
                  <c:v>13</c:v>
                </c:pt>
                <c:pt idx="342">
                  <c:v>1</c:v>
                </c:pt>
                <c:pt idx="343">
                  <c:v>34</c:v>
                </c:pt>
                <c:pt idx="344">
                  <c:v>6</c:v>
                </c:pt>
                <c:pt idx="345">
                  <c:v>17</c:v>
                </c:pt>
                <c:pt idx="346">
                  <c:v>19</c:v>
                </c:pt>
                <c:pt idx="347">
                  <c:v>24</c:v>
                </c:pt>
                <c:pt idx="348">
                  <c:v>31</c:v>
                </c:pt>
                <c:pt idx="349">
                  <c:v>13</c:v>
                </c:pt>
                <c:pt idx="350">
                  <c:v>34</c:v>
                </c:pt>
                <c:pt idx="351">
                  <c:v>9</c:v>
                </c:pt>
                <c:pt idx="352">
                  <c:v>24</c:v>
                </c:pt>
                <c:pt idx="353">
                  <c:v>32</c:v>
                </c:pt>
                <c:pt idx="354">
                  <c:v>38</c:v>
                </c:pt>
                <c:pt idx="355">
                  <c:v>40</c:v>
                </c:pt>
                <c:pt idx="356">
                  <c:v>11</c:v>
                </c:pt>
                <c:pt idx="357">
                  <c:v>15</c:v>
                </c:pt>
                <c:pt idx="358">
                  <c:v>20</c:v>
                </c:pt>
                <c:pt idx="359">
                  <c:v>48</c:v>
                </c:pt>
                <c:pt idx="360">
                  <c:v>35</c:v>
                </c:pt>
                <c:pt idx="361">
                  <c:v>38</c:v>
                </c:pt>
                <c:pt idx="362">
                  <c:v>15</c:v>
                </c:pt>
                <c:pt idx="363">
                  <c:v>19</c:v>
                </c:pt>
                <c:pt idx="364">
                  <c:v>19</c:v>
                </c:pt>
                <c:pt idx="365">
                  <c:v>39</c:v>
                </c:pt>
                <c:pt idx="366">
                  <c:v>39</c:v>
                </c:pt>
                <c:pt idx="367">
                  <c:v>20</c:v>
                </c:pt>
                <c:pt idx="368">
                  <c:v>18</c:v>
                </c:pt>
                <c:pt idx="369">
                  <c:v>23</c:v>
                </c:pt>
                <c:pt idx="370">
                  <c:v>1</c:v>
                </c:pt>
                <c:pt idx="371">
                  <c:v>50</c:v>
                </c:pt>
                <c:pt idx="372">
                  <c:v>45</c:v>
                </c:pt>
                <c:pt idx="373">
                  <c:v>25</c:v>
                </c:pt>
                <c:pt idx="374">
                  <c:v>38</c:v>
                </c:pt>
                <c:pt idx="375">
                  <c:v>41</c:v>
                </c:pt>
                <c:pt idx="376">
                  <c:v>50</c:v>
                </c:pt>
                <c:pt idx="377">
                  <c:v>23</c:v>
                </c:pt>
                <c:pt idx="378">
                  <c:v>1</c:v>
                </c:pt>
                <c:pt idx="379">
                  <c:v>46</c:v>
                </c:pt>
                <c:pt idx="380">
                  <c:v>30</c:v>
                </c:pt>
                <c:pt idx="381">
                  <c:v>4</c:v>
                </c:pt>
                <c:pt idx="382">
                  <c:v>43</c:v>
                </c:pt>
                <c:pt idx="383">
                  <c:v>27</c:v>
                </c:pt>
                <c:pt idx="384">
                  <c:v>1</c:v>
                </c:pt>
                <c:pt idx="385">
                  <c:v>45</c:v>
                </c:pt>
                <c:pt idx="386">
                  <c:v>6</c:v>
                </c:pt>
                <c:pt idx="387">
                  <c:v>42</c:v>
                </c:pt>
                <c:pt idx="388">
                  <c:v>7</c:v>
                </c:pt>
                <c:pt idx="389">
                  <c:v>37</c:v>
                </c:pt>
                <c:pt idx="390">
                  <c:v>23</c:v>
                </c:pt>
                <c:pt idx="391">
                  <c:v>24</c:v>
                </c:pt>
                <c:pt idx="392">
                  <c:v>10</c:v>
                </c:pt>
                <c:pt idx="393">
                  <c:v>3</c:v>
                </c:pt>
                <c:pt idx="394">
                  <c:v>32</c:v>
                </c:pt>
                <c:pt idx="395">
                  <c:v>10</c:v>
                </c:pt>
                <c:pt idx="396">
                  <c:v>34</c:v>
                </c:pt>
                <c:pt idx="397">
                  <c:v>32</c:v>
                </c:pt>
                <c:pt idx="398">
                  <c:v>48</c:v>
                </c:pt>
                <c:pt idx="399">
                  <c:v>19</c:v>
                </c:pt>
                <c:pt idx="400">
                  <c:v>7</c:v>
                </c:pt>
                <c:pt idx="401">
                  <c:v>39</c:v>
                </c:pt>
                <c:pt idx="402">
                  <c:v>34</c:v>
                </c:pt>
                <c:pt idx="403">
                  <c:v>43</c:v>
                </c:pt>
                <c:pt idx="404">
                  <c:v>15</c:v>
                </c:pt>
                <c:pt idx="405">
                  <c:v>40</c:v>
                </c:pt>
                <c:pt idx="406">
                  <c:v>32</c:v>
                </c:pt>
                <c:pt idx="407">
                  <c:v>37</c:v>
                </c:pt>
                <c:pt idx="408">
                  <c:v>50</c:v>
                </c:pt>
                <c:pt idx="409">
                  <c:v>20</c:v>
                </c:pt>
                <c:pt idx="410">
                  <c:v>43</c:v>
                </c:pt>
                <c:pt idx="411">
                  <c:v>7</c:v>
                </c:pt>
                <c:pt idx="412">
                  <c:v>44</c:v>
                </c:pt>
                <c:pt idx="413">
                  <c:v>5</c:v>
                </c:pt>
                <c:pt idx="414">
                  <c:v>41</c:v>
                </c:pt>
                <c:pt idx="415">
                  <c:v>14</c:v>
                </c:pt>
                <c:pt idx="416">
                  <c:v>44</c:v>
                </c:pt>
                <c:pt idx="417">
                  <c:v>20</c:v>
                </c:pt>
                <c:pt idx="418">
                  <c:v>4</c:v>
                </c:pt>
                <c:pt idx="419">
                  <c:v>46</c:v>
                </c:pt>
                <c:pt idx="420">
                  <c:v>6</c:v>
                </c:pt>
                <c:pt idx="421">
                  <c:v>50</c:v>
                </c:pt>
                <c:pt idx="422">
                  <c:v>38</c:v>
                </c:pt>
                <c:pt idx="423">
                  <c:v>13</c:v>
                </c:pt>
                <c:pt idx="424">
                  <c:v>50</c:v>
                </c:pt>
                <c:pt idx="425">
                  <c:v>0</c:v>
                </c:pt>
                <c:pt idx="426">
                  <c:v>34</c:v>
                </c:pt>
                <c:pt idx="427">
                  <c:v>16</c:v>
                </c:pt>
                <c:pt idx="428">
                  <c:v>44</c:v>
                </c:pt>
                <c:pt idx="429">
                  <c:v>5</c:v>
                </c:pt>
                <c:pt idx="430">
                  <c:v>20</c:v>
                </c:pt>
                <c:pt idx="431">
                  <c:v>44</c:v>
                </c:pt>
                <c:pt idx="432">
                  <c:v>29</c:v>
                </c:pt>
                <c:pt idx="433">
                  <c:v>0</c:v>
                </c:pt>
                <c:pt idx="434">
                  <c:v>33</c:v>
                </c:pt>
                <c:pt idx="435">
                  <c:v>49</c:v>
                </c:pt>
                <c:pt idx="436">
                  <c:v>40</c:v>
                </c:pt>
                <c:pt idx="437">
                  <c:v>10</c:v>
                </c:pt>
                <c:pt idx="438">
                  <c:v>47</c:v>
                </c:pt>
                <c:pt idx="439">
                  <c:v>24</c:v>
                </c:pt>
                <c:pt idx="440">
                  <c:v>20</c:v>
                </c:pt>
                <c:pt idx="441">
                  <c:v>23</c:v>
                </c:pt>
                <c:pt idx="442">
                  <c:v>25</c:v>
                </c:pt>
                <c:pt idx="443">
                  <c:v>23</c:v>
                </c:pt>
                <c:pt idx="444">
                  <c:v>23</c:v>
                </c:pt>
                <c:pt idx="445">
                  <c:v>0</c:v>
                </c:pt>
                <c:pt idx="446">
                  <c:v>0</c:v>
                </c:pt>
                <c:pt idx="447">
                  <c:v>26</c:v>
                </c:pt>
                <c:pt idx="448">
                  <c:v>33</c:v>
                </c:pt>
                <c:pt idx="449">
                  <c:v>4</c:v>
                </c:pt>
                <c:pt idx="450">
                  <c:v>18</c:v>
                </c:pt>
                <c:pt idx="451">
                  <c:v>28</c:v>
                </c:pt>
                <c:pt idx="452">
                  <c:v>6</c:v>
                </c:pt>
                <c:pt idx="453">
                  <c:v>28</c:v>
                </c:pt>
                <c:pt idx="454">
                  <c:v>2</c:v>
                </c:pt>
                <c:pt idx="455">
                  <c:v>32</c:v>
                </c:pt>
                <c:pt idx="456">
                  <c:v>35</c:v>
                </c:pt>
                <c:pt idx="457">
                  <c:v>0</c:v>
                </c:pt>
                <c:pt idx="458">
                  <c:v>37</c:v>
                </c:pt>
                <c:pt idx="459">
                  <c:v>8</c:v>
                </c:pt>
                <c:pt idx="460">
                  <c:v>36</c:v>
                </c:pt>
                <c:pt idx="461">
                  <c:v>22</c:v>
                </c:pt>
                <c:pt idx="462">
                  <c:v>39</c:v>
                </c:pt>
                <c:pt idx="463">
                  <c:v>30</c:v>
                </c:pt>
                <c:pt idx="464">
                  <c:v>15</c:v>
                </c:pt>
                <c:pt idx="465">
                  <c:v>34</c:v>
                </c:pt>
                <c:pt idx="466">
                  <c:v>1</c:v>
                </c:pt>
                <c:pt idx="467">
                  <c:v>30</c:v>
                </c:pt>
                <c:pt idx="468">
                  <c:v>42</c:v>
                </c:pt>
                <c:pt idx="469">
                  <c:v>24</c:v>
                </c:pt>
                <c:pt idx="470">
                  <c:v>1</c:v>
                </c:pt>
                <c:pt idx="471">
                  <c:v>34</c:v>
                </c:pt>
                <c:pt idx="472">
                  <c:v>14</c:v>
                </c:pt>
                <c:pt idx="473">
                  <c:v>21</c:v>
                </c:pt>
                <c:pt idx="474">
                  <c:v>49</c:v>
                </c:pt>
                <c:pt idx="475">
                  <c:v>6</c:v>
                </c:pt>
                <c:pt idx="476">
                  <c:v>41</c:v>
                </c:pt>
                <c:pt idx="477">
                  <c:v>42</c:v>
                </c:pt>
                <c:pt idx="478">
                  <c:v>11</c:v>
                </c:pt>
                <c:pt idx="479">
                  <c:v>38</c:v>
                </c:pt>
                <c:pt idx="480">
                  <c:v>21</c:v>
                </c:pt>
                <c:pt idx="481">
                  <c:v>45</c:v>
                </c:pt>
                <c:pt idx="482">
                  <c:v>22</c:v>
                </c:pt>
                <c:pt idx="483">
                  <c:v>10</c:v>
                </c:pt>
                <c:pt idx="484">
                  <c:v>50</c:v>
                </c:pt>
                <c:pt idx="485">
                  <c:v>1</c:v>
                </c:pt>
                <c:pt idx="486">
                  <c:v>46</c:v>
                </c:pt>
                <c:pt idx="487">
                  <c:v>27</c:v>
                </c:pt>
                <c:pt idx="488">
                  <c:v>13</c:v>
                </c:pt>
                <c:pt idx="489">
                  <c:v>19</c:v>
                </c:pt>
                <c:pt idx="490">
                  <c:v>3</c:v>
                </c:pt>
                <c:pt idx="491">
                  <c:v>6</c:v>
                </c:pt>
                <c:pt idx="492">
                  <c:v>7</c:v>
                </c:pt>
                <c:pt idx="493">
                  <c:v>41</c:v>
                </c:pt>
                <c:pt idx="494">
                  <c:v>28</c:v>
                </c:pt>
                <c:pt idx="495">
                  <c:v>3</c:v>
                </c:pt>
                <c:pt idx="496">
                  <c:v>14</c:v>
                </c:pt>
                <c:pt idx="497">
                  <c:v>15</c:v>
                </c:pt>
                <c:pt idx="498">
                  <c:v>36</c:v>
                </c:pt>
                <c:pt idx="499">
                  <c:v>10</c:v>
                </c:pt>
                <c:pt idx="500">
                  <c:v>40</c:v>
                </c:pt>
              </c:numCache>
            </c:numRef>
          </c:yVal>
          <c:smooth val="0"/>
          <c:extLst>
            <c:ext xmlns:c16="http://schemas.microsoft.com/office/drawing/2014/chart" uri="{C3380CC4-5D6E-409C-BE32-E72D297353CC}">
              <c16:uniqueId val="{00000001-321C-490A-A544-65AE9D3F5F83}"/>
            </c:ext>
          </c:extLst>
        </c:ser>
        <c:ser>
          <c:idx val="2"/>
          <c:order val="2"/>
          <c:tx>
            <c:v>Churned</c:v>
          </c:tx>
          <c:spPr>
            <a:ln w="25400" cap="rnd">
              <a:noFill/>
              <a:round/>
            </a:ln>
            <a:effectLst/>
          </c:spPr>
          <c:marker>
            <c:symbol val="circle"/>
            <c:size val="5"/>
            <c:spPr>
              <a:solidFill>
                <a:schemeClr val="accent2">
                  <a:lumMod val="50000"/>
                </a:schemeClr>
              </a:solidFill>
              <a:ln w="9525">
                <a:solidFill>
                  <a:schemeClr val="accent3"/>
                </a:solidFill>
              </a:ln>
              <a:effectLst/>
            </c:spPr>
          </c:marker>
          <c:yVal>
            <c:numRef>
              <c:f>'Data - Sheet1'!$P$1:$P$502</c:f>
              <c:numCache>
                <c:formatCode>General</c:formatCode>
                <c:ptCount val="502"/>
                <c:pt idx="0">
                  <c:v>0</c:v>
                </c:pt>
                <c:pt idx="1">
                  <c:v>1</c:v>
                </c:pt>
                <c:pt idx="2">
                  <c:v>1</c:v>
                </c:pt>
                <c:pt idx="3">
                  <c:v>1</c:v>
                </c:pt>
                <c:pt idx="4">
                  <c:v>1</c:v>
                </c:pt>
                <c:pt idx="5">
                  <c:v>1</c:v>
                </c:pt>
                <c:pt idx="6">
                  <c:v>1</c:v>
                </c:pt>
                <c:pt idx="7">
                  <c:v>1</c:v>
                </c:pt>
                <c:pt idx="8">
                  <c:v>1</c:v>
                </c:pt>
                <c:pt idx="9">
                  <c:v>1</c:v>
                </c:pt>
                <c:pt idx="10">
                  <c:v>0</c:v>
                </c:pt>
                <c:pt idx="11">
                  <c:v>1</c:v>
                </c:pt>
                <c:pt idx="12">
                  <c:v>1</c:v>
                </c:pt>
                <c:pt idx="13">
                  <c:v>0</c:v>
                </c:pt>
                <c:pt idx="14">
                  <c:v>1</c:v>
                </c:pt>
                <c:pt idx="15">
                  <c:v>1</c:v>
                </c:pt>
                <c:pt idx="16">
                  <c:v>1</c:v>
                </c:pt>
                <c:pt idx="17">
                  <c:v>1</c:v>
                </c:pt>
                <c:pt idx="18">
                  <c:v>0</c:v>
                </c:pt>
                <c:pt idx="19">
                  <c:v>1</c:v>
                </c:pt>
                <c:pt idx="20">
                  <c:v>1</c:v>
                </c:pt>
                <c:pt idx="21">
                  <c:v>0</c:v>
                </c:pt>
                <c:pt idx="22">
                  <c:v>1</c:v>
                </c:pt>
                <c:pt idx="23">
                  <c:v>1</c:v>
                </c:pt>
                <c:pt idx="24">
                  <c:v>1</c:v>
                </c:pt>
                <c:pt idx="25">
                  <c:v>1</c:v>
                </c:pt>
                <c:pt idx="26">
                  <c:v>1</c:v>
                </c:pt>
                <c:pt idx="27">
                  <c:v>1</c:v>
                </c:pt>
                <c:pt idx="28">
                  <c:v>1</c:v>
                </c:pt>
                <c:pt idx="29">
                  <c:v>1</c:v>
                </c:pt>
                <c:pt idx="30">
                  <c:v>1</c:v>
                </c:pt>
                <c:pt idx="31">
                  <c:v>1</c:v>
                </c:pt>
                <c:pt idx="32">
                  <c:v>0</c:v>
                </c:pt>
                <c:pt idx="33">
                  <c:v>1</c:v>
                </c:pt>
                <c:pt idx="34">
                  <c:v>1</c:v>
                </c:pt>
                <c:pt idx="35">
                  <c:v>0</c:v>
                </c:pt>
                <c:pt idx="36">
                  <c:v>1</c:v>
                </c:pt>
                <c:pt idx="37">
                  <c:v>1</c:v>
                </c:pt>
                <c:pt idx="38">
                  <c:v>1</c:v>
                </c:pt>
                <c:pt idx="39">
                  <c:v>1</c:v>
                </c:pt>
                <c:pt idx="40">
                  <c:v>1</c:v>
                </c:pt>
                <c:pt idx="41">
                  <c:v>1</c:v>
                </c:pt>
                <c:pt idx="42">
                  <c:v>1</c:v>
                </c:pt>
                <c:pt idx="43">
                  <c:v>1</c:v>
                </c:pt>
                <c:pt idx="44">
                  <c:v>1</c:v>
                </c:pt>
                <c:pt idx="45">
                  <c:v>1</c:v>
                </c:pt>
                <c:pt idx="46">
                  <c:v>1</c:v>
                </c:pt>
                <c:pt idx="47">
                  <c:v>0</c:v>
                </c:pt>
                <c:pt idx="48">
                  <c:v>1</c:v>
                </c:pt>
                <c:pt idx="49">
                  <c:v>1</c:v>
                </c:pt>
                <c:pt idx="50">
                  <c:v>1</c:v>
                </c:pt>
                <c:pt idx="51">
                  <c:v>1</c:v>
                </c:pt>
                <c:pt idx="52">
                  <c:v>1</c:v>
                </c:pt>
                <c:pt idx="53">
                  <c:v>1</c:v>
                </c:pt>
                <c:pt idx="54">
                  <c:v>0</c:v>
                </c:pt>
                <c:pt idx="55">
                  <c:v>1</c:v>
                </c:pt>
                <c:pt idx="56">
                  <c:v>1</c:v>
                </c:pt>
                <c:pt idx="57">
                  <c:v>1</c:v>
                </c:pt>
                <c:pt idx="58">
                  <c:v>1</c:v>
                </c:pt>
                <c:pt idx="59">
                  <c:v>1</c:v>
                </c:pt>
                <c:pt idx="60">
                  <c:v>1</c:v>
                </c:pt>
                <c:pt idx="61">
                  <c:v>1</c:v>
                </c:pt>
                <c:pt idx="62">
                  <c:v>1</c:v>
                </c:pt>
                <c:pt idx="63">
                  <c:v>1</c:v>
                </c:pt>
                <c:pt idx="64">
                  <c:v>1</c:v>
                </c:pt>
                <c:pt idx="65">
                  <c:v>1</c:v>
                </c:pt>
                <c:pt idx="66">
                  <c:v>1</c:v>
                </c:pt>
                <c:pt idx="67">
                  <c:v>0</c:v>
                </c:pt>
                <c:pt idx="68">
                  <c:v>1</c:v>
                </c:pt>
                <c:pt idx="69">
                  <c:v>1</c:v>
                </c:pt>
                <c:pt idx="70">
                  <c:v>1</c:v>
                </c:pt>
                <c:pt idx="71">
                  <c:v>1</c:v>
                </c:pt>
                <c:pt idx="72">
                  <c:v>1</c:v>
                </c:pt>
                <c:pt idx="73">
                  <c:v>1</c:v>
                </c:pt>
                <c:pt idx="74">
                  <c:v>1</c:v>
                </c:pt>
                <c:pt idx="75">
                  <c:v>1</c:v>
                </c:pt>
                <c:pt idx="76">
                  <c:v>1</c:v>
                </c:pt>
                <c:pt idx="77">
                  <c:v>1</c:v>
                </c:pt>
                <c:pt idx="78">
                  <c:v>1</c:v>
                </c:pt>
                <c:pt idx="79">
                  <c:v>0</c:v>
                </c:pt>
                <c:pt idx="80">
                  <c:v>1</c:v>
                </c:pt>
                <c:pt idx="81">
                  <c:v>0</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0</c:v>
                </c:pt>
                <c:pt idx="100">
                  <c:v>1</c:v>
                </c:pt>
                <c:pt idx="101">
                  <c:v>1</c:v>
                </c:pt>
                <c:pt idx="102">
                  <c:v>1</c:v>
                </c:pt>
                <c:pt idx="103">
                  <c:v>1</c:v>
                </c:pt>
                <c:pt idx="104">
                  <c:v>1</c:v>
                </c:pt>
                <c:pt idx="105">
                  <c:v>1</c:v>
                </c:pt>
                <c:pt idx="106">
                  <c:v>1</c:v>
                </c:pt>
                <c:pt idx="107">
                  <c:v>0</c:v>
                </c:pt>
                <c:pt idx="108">
                  <c:v>0</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0</c:v>
                </c:pt>
                <c:pt idx="160">
                  <c:v>1</c:v>
                </c:pt>
                <c:pt idx="161">
                  <c:v>1</c:v>
                </c:pt>
                <c:pt idx="162">
                  <c:v>1</c:v>
                </c:pt>
                <c:pt idx="163">
                  <c:v>1</c:v>
                </c:pt>
                <c:pt idx="164">
                  <c:v>0</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0</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0</c:v>
                </c:pt>
                <c:pt idx="200">
                  <c:v>1</c:v>
                </c:pt>
                <c:pt idx="201">
                  <c:v>1</c:v>
                </c:pt>
                <c:pt idx="202">
                  <c:v>1</c:v>
                </c:pt>
                <c:pt idx="203">
                  <c:v>1</c:v>
                </c:pt>
                <c:pt idx="204">
                  <c:v>1</c:v>
                </c:pt>
                <c:pt idx="205">
                  <c:v>1</c:v>
                </c:pt>
                <c:pt idx="206">
                  <c:v>1</c:v>
                </c:pt>
                <c:pt idx="207">
                  <c:v>0</c:v>
                </c:pt>
                <c:pt idx="208">
                  <c:v>1</c:v>
                </c:pt>
                <c:pt idx="209">
                  <c:v>1</c:v>
                </c:pt>
                <c:pt idx="210">
                  <c:v>1</c:v>
                </c:pt>
                <c:pt idx="211">
                  <c:v>1</c:v>
                </c:pt>
                <c:pt idx="212">
                  <c:v>0</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0</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0</c:v>
                </c:pt>
                <c:pt idx="254">
                  <c:v>1</c:v>
                </c:pt>
                <c:pt idx="255">
                  <c:v>1</c:v>
                </c:pt>
                <c:pt idx="256">
                  <c:v>1</c:v>
                </c:pt>
                <c:pt idx="257">
                  <c:v>1</c:v>
                </c:pt>
                <c:pt idx="258">
                  <c:v>0</c:v>
                </c:pt>
                <c:pt idx="259">
                  <c:v>0</c:v>
                </c:pt>
                <c:pt idx="260">
                  <c:v>1</c:v>
                </c:pt>
                <c:pt idx="261">
                  <c:v>1</c:v>
                </c:pt>
                <c:pt idx="262">
                  <c:v>1</c:v>
                </c:pt>
                <c:pt idx="263">
                  <c:v>1</c:v>
                </c:pt>
                <c:pt idx="264">
                  <c:v>0</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0</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0</c:v>
                </c:pt>
                <c:pt idx="302">
                  <c:v>1</c:v>
                </c:pt>
                <c:pt idx="303">
                  <c:v>1</c:v>
                </c:pt>
                <c:pt idx="304">
                  <c:v>1</c:v>
                </c:pt>
                <c:pt idx="305">
                  <c:v>1</c:v>
                </c:pt>
                <c:pt idx="306">
                  <c:v>1</c:v>
                </c:pt>
                <c:pt idx="307">
                  <c:v>1</c:v>
                </c:pt>
                <c:pt idx="308">
                  <c:v>1</c:v>
                </c:pt>
                <c:pt idx="309">
                  <c:v>1</c:v>
                </c:pt>
                <c:pt idx="310">
                  <c:v>1</c:v>
                </c:pt>
                <c:pt idx="311">
                  <c:v>1</c:v>
                </c:pt>
                <c:pt idx="312">
                  <c:v>0</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0</c:v>
                </c:pt>
                <c:pt idx="330">
                  <c:v>1</c:v>
                </c:pt>
                <c:pt idx="331">
                  <c:v>1</c:v>
                </c:pt>
                <c:pt idx="332">
                  <c:v>1</c:v>
                </c:pt>
                <c:pt idx="333">
                  <c:v>1</c:v>
                </c:pt>
                <c:pt idx="334">
                  <c:v>0</c:v>
                </c:pt>
                <c:pt idx="335">
                  <c:v>1</c:v>
                </c:pt>
                <c:pt idx="336">
                  <c:v>1</c:v>
                </c:pt>
                <c:pt idx="337">
                  <c:v>1</c:v>
                </c:pt>
                <c:pt idx="338">
                  <c:v>1</c:v>
                </c:pt>
                <c:pt idx="339">
                  <c:v>1</c:v>
                </c:pt>
                <c:pt idx="340">
                  <c:v>1</c:v>
                </c:pt>
                <c:pt idx="341">
                  <c:v>1</c:v>
                </c:pt>
                <c:pt idx="342">
                  <c:v>1</c:v>
                </c:pt>
                <c:pt idx="343">
                  <c:v>0</c:v>
                </c:pt>
                <c:pt idx="344">
                  <c:v>1</c:v>
                </c:pt>
                <c:pt idx="345">
                  <c:v>1</c:v>
                </c:pt>
                <c:pt idx="346">
                  <c:v>1</c:v>
                </c:pt>
                <c:pt idx="347">
                  <c:v>1</c:v>
                </c:pt>
                <c:pt idx="348">
                  <c:v>1</c:v>
                </c:pt>
                <c:pt idx="349">
                  <c:v>1</c:v>
                </c:pt>
                <c:pt idx="350">
                  <c:v>0</c:v>
                </c:pt>
                <c:pt idx="351">
                  <c:v>0</c:v>
                </c:pt>
                <c:pt idx="352">
                  <c:v>1</c:v>
                </c:pt>
                <c:pt idx="353">
                  <c:v>1</c:v>
                </c:pt>
                <c:pt idx="354">
                  <c:v>1</c:v>
                </c:pt>
                <c:pt idx="355">
                  <c:v>1</c:v>
                </c:pt>
                <c:pt idx="356">
                  <c:v>1</c:v>
                </c:pt>
                <c:pt idx="357">
                  <c:v>0</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0</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0</c:v>
                </c:pt>
                <c:pt idx="407">
                  <c:v>1</c:v>
                </c:pt>
                <c:pt idx="408">
                  <c:v>1</c:v>
                </c:pt>
                <c:pt idx="409">
                  <c:v>1</c:v>
                </c:pt>
                <c:pt idx="410">
                  <c:v>0</c:v>
                </c:pt>
                <c:pt idx="411">
                  <c:v>1</c:v>
                </c:pt>
                <c:pt idx="412">
                  <c:v>1</c:v>
                </c:pt>
                <c:pt idx="413">
                  <c:v>1</c:v>
                </c:pt>
                <c:pt idx="414">
                  <c:v>1</c:v>
                </c:pt>
                <c:pt idx="415">
                  <c:v>1</c:v>
                </c:pt>
                <c:pt idx="416">
                  <c:v>1</c:v>
                </c:pt>
                <c:pt idx="417">
                  <c:v>1</c:v>
                </c:pt>
                <c:pt idx="418">
                  <c:v>1</c:v>
                </c:pt>
                <c:pt idx="419">
                  <c:v>1</c:v>
                </c:pt>
                <c:pt idx="420">
                  <c:v>1</c:v>
                </c:pt>
                <c:pt idx="421">
                  <c:v>1</c:v>
                </c:pt>
                <c:pt idx="422">
                  <c:v>0</c:v>
                </c:pt>
                <c:pt idx="423">
                  <c:v>0</c:v>
                </c:pt>
                <c:pt idx="424">
                  <c:v>1</c:v>
                </c:pt>
                <c:pt idx="425">
                  <c:v>1</c:v>
                </c:pt>
                <c:pt idx="426">
                  <c:v>1</c:v>
                </c:pt>
                <c:pt idx="427">
                  <c:v>0</c:v>
                </c:pt>
                <c:pt idx="428">
                  <c:v>1</c:v>
                </c:pt>
                <c:pt idx="429">
                  <c:v>1</c:v>
                </c:pt>
                <c:pt idx="430">
                  <c:v>1</c:v>
                </c:pt>
                <c:pt idx="431">
                  <c:v>1</c:v>
                </c:pt>
                <c:pt idx="432">
                  <c:v>1</c:v>
                </c:pt>
                <c:pt idx="433">
                  <c:v>1</c:v>
                </c:pt>
                <c:pt idx="434">
                  <c:v>0</c:v>
                </c:pt>
                <c:pt idx="435">
                  <c:v>1</c:v>
                </c:pt>
                <c:pt idx="436">
                  <c:v>1</c:v>
                </c:pt>
                <c:pt idx="437">
                  <c:v>1</c:v>
                </c:pt>
                <c:pt idx="438">
                  <c:v>1</c:v>
                </c:pt>
                <c:pt idx="439">
                  <c:v>1</c:v>
                </c:pt>
                <c:pt idx="440">
                  <c:v>1</c:v>
                </c:pt>
                <c:pt idx="441">
                  <c:v>1</c:v>
                </c:pt>
                <c:pt idx="442">
                  <c:v>0</c:v>
                </c:pt>
                <c:pt idx="443">
                  <c:v>1</c:v>
                </c:pt>
                <c:pt idx="444">
                  <c:v>1</c:v>
                </c:pt>
                <c:pt idx="445">
                  <c:v>1</c:v>
                </c:pt>
                <c:pt idx="446">
                  <c:v>1</c:v>
                </c:pt>
                <c:pt idx="447">
                  <c:v>0</c:v>
                </c:pt>
                <c:pt idx="448">
                  <c:v>1</c:v>
                </c:pt>
                <c:pt idx="449">
                  <c:v>1</c:v>
                </c:pt>
                <c:pt idx="450">
                  <c:v>1</c:v>
                </c:pt>
                <c:pt idx="451">
                  <c:v>1</c:v>
                </c:pt>
                <c:pt idx="452">
                  <c:v>1</c:v>
                </c:pt>
                <c:pt idx="453">
                  <c:v>1</c:v>
                </c:pt>
                <c:pt idx="454">
                  <c:v>0</c:v>
                </c:pt>
                <c:pt idx="455">
                  <c:v>1</c:v>
                </c:pt>
                <c:pt idx="456">
                  <c:v>0</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0</c:v>
                </c:pt>
                <c:pt idx="472">
                  <c:v>0</c:v>
                </c:pt>
                <c:pt idx="473">
                  <c:v>1</c:v>
                </c:pt>
                <c:pt idx="474">
                  <c:v>0</c:v>
                </c:pt>
                <c:pt idx="475">
                  <c:v>1</c:v>
                </c:pt>
                <c:pt idx="476">
                  <c:v>1</c:v>
                </c:pt>
                <c:pt idx="477">
                  <c:v>1</c:v>
                </c:pt>
                <c:pt idx="478">
                  <c:v>1</c:v>
                </c:pt>
                <c:pt idx="479">
                  <c:v>1</c:v>
                </c:pt>
                <c:pt idx="480">
                  <c:v>1</c:v>
                </c:pt>
                <c:pt idx="481">
                  <c:v>1</c:v>
                </c:pt>
                <c:pt idx="482">
                  <c:v>1</c:v>
                </c:pt>
                <c:pt idx="483">
                  <c:v>0</c:v>
                </c:pt>
                <c:pt idx="484">
                  <c:v>1</c:v>
                </c:pt>
                <c:pt idx="485">
                  <c:v>1</c:v>
                </c:pt>
                <c:pt idx="486">
                  <c:v>1</c:v>
                </c:pt>
                <c:pt idx="487">
                  <c:v>1</c:v>
                </c:pt>
                <c:pt idx="488">
                  <c:v>0</c:v>
                </c:pt>
                <c:pt idx="489">
                  <c:v>1</c:v>
                </c:pt>
                <c:pt idx="490">
                  <c:v>1</c:v>
                </c:pt>
                <c:pt idx="491">
                  <c:v>1</c:v>
                </c:pt>
                <c:pt idx="492">
                  <c:v>1</c:v>
                </c:pt>
                <c:pt idx="493">
                  <c:v>1</c:v>
                </c:pt>
                <c:pt idx="494">
                  <c:v>1</c:v>
                </c:pt>
                <c:pt idx="495">
                  <c:v>1</c:v>
                </c:pt>
                <c:pt idx="496">
                  <c:v>1</c:v>
                </c:pt>
                <c:pt idx="497">
                  <c:v>1</c:v>
                </c:pt>
                <c:pt idx="498">
                  <c:v>1</c:v>
                </c:pt>
                <c:pt idx="499">
                  <c:v>0</c:v>
                </c:pt>
                <c:pt idx="500">
                  <c:v>1</c:v>
                </c:pt>
              </c:numCache>
            </c:numRef>
          </c:yVal>
          <c:smooth val="0"/>
          <c:extLst>
            <c:ext xmlns:c16="http://schemas.microsoft.com/office/drawing/2014/chart" uri="{C3380CC4-5D6E-409C-BE32-E72D297353CC}">
              <c16:uniqueId val="{00000002-321C-490A-A544-65AE9D3F5F83}"/>
            </c:ext>
          </c:extLst>
        </c:ser>
        <c:dLbls>
          <c:showLegendKey val="0"/>
          <c:showVal val="0"/>
          <c:showCatName val="0"/>
          <c:showSerName val="0"/>
          <c:showPercent val="0"/>
          <c:showBubbleSize val="0"/>
        </c:dLbls>
        <c:axId val="1516191"/>
        <c:axId val="1507551"/>
      </c:scatterChart>
      <c:valAx>
        <c:axId val="1516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Support</a:t>
                </a:r>
                <a:r>
                  <a:rPr lang="en-US" baseline="0"/>
                  <a:t> ticket</a:t>
                </a:r>
                <a:endParaRPr lang="en-US"/>
              </a:p>
            </c:rich>
          </c:tx>
          <c:layout>
            <c:manualLayout>
              <c:xMode val="edge"/>
              <c:yMode val="edge"/>
              <c:x val="0.44651727909011374"/>
              <c:y val="0.856481481481481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551"/>
        <c:crosses val="autoZero"/>
        <c:crossBetween val="midCat"/>
      </c:valAx>
      <c:valAx>
        <c:axId val="15075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Retention</a:t>
                </a:r>
                <a:r>
                  <a:rPr lang="en-US" baseline="0"/>
                  <a:t> status</a:t>
                </a:r>
                <a:endParaRPr lang="en-US"/>
              </a:p>
            </c:rich>
          </c:tx>
          <c:layout>
            <c:manualLayout>
              <c:xMode val="edge"/>
              <c:yMode val="edge"/>
              <c:x val="7.7637795275590548E-3"/>
              <c:y val="0.3021336395450568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191"/>
        <c:crosses val="autoZero"/>
        <c:crossBetween val="midCat"/>
      </c:valAx>
      <c:spPr>
        <a:noFill/>
        <a:ln>
          <a:noFill/>
        </a:ln>
        <a:effectLst/>
      </c:spPr>
    </c:plotArea>
    <c:legend>
      <c:legendPos val="b"/>
      <c:layout>
        <c:manualLayout>
          <c:xMode val="edge"/>
          <c:yMode val="edge"/>
          <c:x val="0.3086334208223972"/>
          <c:y val="0.92187445319335082"/>
          <c:w val="0.38273293963254595"/>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 Lifecycle Dashboard.xlsx]Churn analysis by customer sgt!PivotTable1</c:name>
    <c:fmtId val="2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Churn</a:t>
            </a:r>
            <a:r>
              <a:rPr lang="en-US" sz="1100" baseline="0"/>
              <a:t> Distribution</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lumMod val="75000"/>
            </a:schemeClr>
          </a:solidFill>
          <a:ln w="19050">
            <a:solidFill>
              <a:schemeClr val="lt1"/>
            </a:solidFill>
          </a:ln>
          <a:effectLst/>
        </c:spPr>
      </c:pivotFmt>
      <c:pivotFmt>
        <c:idx val="2"/>
        <c:spPr>
          <a:solidFill>
            <a:schemeClr val="accent2">
              <a:lumMod val="60000"/>
              <a:lumOff val="40000"/>
            </a:schemeClr>
          </a:solidFill>
          <a:ln w="19050">
            <a:solidFill>
              <a:schemeClr val="lt1"/>
            </a:solidFill>
          </a:ln>
          <a:effectLst/>
        </c:spPr>
      </c:pivotFmt>
      <c:pivotFmt>
        <c:idx val="3"/>
        <c:spPr>
          <a:solidFill>
            <a:schemeClr val="accent2">
              <a:lumMod val="20000"/>
              <a:lumOff val="8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lumMod val="20000"/>
              <a:lumOff val="80000"/>
            </a:schemeClr>
          </a:solidFill>
          <a:ln w="19050">
            <a:solidFill>
              <a:schemeClr val="lt1"/>
            </a:solidFill>
          </a:ln>
          <a:effectLst/>
        </c:spPr>
      </c:pivotFmt>
      <c:pivotFmt>
        <c:idx val="6"/>
        <c:spPr>
          <a:solidFill>
            <a:schemeClr val="accent2">
              <a:lumMod val="60000"/>
              <a:lumOff val="40000"/>
            </a:schemeClr>
          </a:solidFill>
          <a:ln w="19050">
            <a:solidFill>
              <a:schemeClr val="lt1"/>
            </a:solidFill>
          </a:ln>
          <a:effectLst/>
        </c:spPr>
      </c:pivotFmt>
      <c:pivotFmt>
        <c:idx val="7"/>
        <c:spPr>
          <a:solidFill>
            <a:schemeClr val="accent2">
              <a:lumMod val="7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lumMod val="20000"/>
              <a:lumOff val="80000"/>
            </a:schemeClr>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2">
              <a:lumMod val="75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98053196106391"/>
          <c:y val="0.26239620260667068"/>
          <c:w val="0.3944589249178499"/>
          <c:h val="0.6831309425537746"/>
        </c:manualLayout>
      </c:layout>
      <c:pieChart>
        <c:varyColors val="1"/>
        <c:ser>
          <c:idx val="0"/>
          <c:order val="0"/>
          <c:tx>
            <c:strRef>
              <c:f>'Churn analysis by customer sgt'!$B$3:$B$4</c:f>
              <c:strCache>
                <c:ptCount val="1"/>
                <c:pt idx="0">
                  <c:v>Churned</c:v>
                </c:pt>
              </c:strCache>
            </c:strRef>
          </c:tx>
          <c:dPt>
            <c:idx val="0"/>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1-70C7-43FD-9D80-D324CAB3C2C5}"/>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70C7-43FD-9D80-D324CAB3C2C5}"/>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70C7-43FD-9D80-D324CAB3C2C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'Churn analysis by customer sgt'!$A$5:$A$8</c:f>
              <c:strCache>
                <c:ptCount val="3"/>
                <c:pt idx="0">
                  <c:v>Enterprise</c:v>
                </c:pt>
                <c:pt idx="1">
                  <c:v>Mid-Market</c:v>
                </c:pt>
                <c:pt idx="2">
                  <c:v>SMB</c:v>
                </c:pt>
              </c:strCache>
            </c:strRef>
          </c:cat>
          <c:val>
            <c:numRef>
              <c:f>'Churn analysis by customer sgt'!$B$5:$B$8</c:f>
              <c:numCache>
                <c:formatCode>General</c:formatCode>
                <c:ptCount val="3"/>
                <c:pt idx="0">
                  <c:v>5</c:v>
                </c:pt>
                <c:pt idx="1">
                  <c:v>16</c:v>
                </c:pt>
                <c:pt idx="2">
                  <c:v>30</c:v>
                </c:pt>
              </c:numCache>
            </c:numRef>
          </c:val>
          <c:extLst>
            <c:ext xmlns:c16="http://schemas.microsoft.com/office/drawing/2014/chart" uri="{C3380CC4-5D6E-409C-BE32-E72D297353CC}">
              <c16:uniqueId val="{00000006-70C7-43FD-9D80-D324CAB3C2C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476619753239504"/>
          <c:y val="0.23479286786919956"/>
          <c:w val="0.22633616467232934"/>
          <c:h val="0.267172392131345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89C2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Retention</a:t>
            </a:r>
            <a:r>
              <a:rPr lang="en-US" sz="1100" baseline="0"/>
              <a:t> rate Vs Churn rate</a:t>
            </a:r>
            <a:endParaRPr lang="en-US" sz="1100"/>
          </a:p>
        </c:rich>
      </c:tx>
      <c:layout>
        <c:manualLayout>
          <c:xMode val="edge"/>
          <c:yMode val="edge"/>
          <c:x val="0.33784301814686163"/>
          <c:y val="4.1666666666666664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302891546677107"/>
          <c:y val="0.16708333333333336"/>
          <c:w val="0.82864904386875216"/>
          <c:h val="0.56387996328240242"/>
        </c:manualLayout>
      </c:layout>
      <c:barChart>
        <c:barDir val="col"/>
        <c:grouping val="clustered"/>
        <c:varyColors val="0"/>
        <c:ser>
          <c:idx val="0"/>
          <c:order val="0"/>
          <c:tx>
            <c:strRef>
              <c:f>'Retention rate by product line'!$C$3</c:f>
              <c:strCache>
                <c:ptCount val="1"/>
                <c:pt idx="0">
                  <c:v>Churned Customer</c:v>
                </c:pt>
              </c:strCache>
            </c:strRef>
          </c:tx>
          <c:spPr>
            <a:solidFill>
              <a:srgbClr val="189C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'Retention rate by product line'!$A$4:$A$9</c15:sqref>
                  </c15:fullRef>
                </c:ext>
              </c:extLst>
              <c:f>'Retention rate by product line'!$A$4:$A$8</c:f>
              <c:strCache>
                <c:ptCount val="5"/>
                <c:pt idx="0">
                  <c:v>AI/ML</c:v>
                </c:pt>
                <c:pt idx="1">
                  <c:v>Analytics</c:v>
                </c:pt>
                <c:pt idx="2">
                  <c:v>Cloud Services</c:v>
                </c:pt>
                <c:pt idx="3">
                  <c:v>Enterprise Software</c:v>
                </c:pt>
                <c:pt idx="4">
                  <c:v>Security</c:v>
                </c:pt>
              </c:strCache>
            </c:strRef>
          </c:cat>
          <c:val>
            <c:numRef>
              <c:extLst>
                <c:ext xmlns:c15="http://schemas.microsoft.com/office/drawing/2012/chart" uri="{02D57815-91ED-43cb-92C2-25804820EDAC}">
                  <c15:fullRef>
                    <c15:sqref>'Retention rate by product line'!$C$4:$C$9</c15:sqref>
                  </c15:fullRef>
                </c:ext>
              </c:extLst>
              <c:f>'Retention rate by product line'!$C$4:$C$8</c:f>
              <c:numCache>
                <c:formatCode>General</c:formatCode>
                <c:ptCount val="5"/>
                <c:pt idx="0">
                  <c:v>56</c:v>
                </c:pt>
                <c:pt idx="1">
                  <c:v>65</c:v>
                </c:pt>
                <c:pt idx="2">
                  <c:v>54</c:v>
                </c:pt>
                <c:pt idx="3">
                  <c:v>55</c:v>
                </c:pt>
                <c:pt idx="4">
                  <c:v>54</c:v>
                </c:pt>
              </c:numCache>
            </c:numRef>
          </c:val>
          <c:extLst>
            <c:ext xmlns:c16="http://schemas.microsoft.com/office/drawing/2014/chart" uri="{C3380CC4-5D6E-409C-BE32-E72D297353CC}">
              <c16:uniqueId val="{00000000-962A-482D-BB97-B6540557CB9D}"/>
            </c:ext>
          </c:extLst>
        </c:ser>
        <c:ser>
          <c:idx val="1"/>
          <c:order val="1"/>
          <c:tx>
            <c:strRef>
              <c:f>'Retention rate by product line'!$D$3</c:f>
              <c:strCache>
                <c:ptCount val="1"/>
                <c:pt idx="0">
                  <c:v>Active Customers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'Retention rate by product line'!$A$4:$A$9</c15:sqref>
                  </c15:fullRef>
                </c:ext>
              </c:extLst>
              <c:f>'Retention rate by product line'!$A$4:$A$8</c:f>
              <c:strCache>
                <c:ptCount val="5"/>
                <c:pt idx="0">
                  <c:v>AI/ML</c:v>
                </c:pt>
                <c:pt idx="1">
                  <c:v>Analytics</c:v>
                </c:pt>
                <c:pt idx="2">
                  <c:v>Cloud Services</c:v>
                </c:pt>
                <c:pt idx="3">
                  <c:v>Enterprise Software</c:v>
                </c:pt>
                <c:pt idx="4">
                  <c:v>Security</c:v>
                </c:pt>
              </c:strCache>
            </c:strRef>
          </c:cat>
          <c:val>
            <c:numRef>
              <c:extLst>
                <c:ext xmlns:c15="http://schemas.microsoft.com/office/drawing/2012/chart" uri="{02D57815-91ED-43cb-92C2-25804820EDAC}">
                  <c15:fullRef>
                    <c15:sqref>'Retention rate by product line'!$D$4:$D$9</c15:sqref>
                  </c15:fullRef>
                </c:ext>
              </c:extLst>
              <c:f>'Retention rate by product line'!$D$4:$D$8</c:f>
              <c:numCache>
                <c:formatCode>General</c:formatCode>
                <c:ptCount val="5"/>
                <c:pt idx="0">
                  <c:v>52</c:v>
                </c:pt>
                <c:pt idx="1">
                  <c:v>43</c:v>
                </c:pt>
                <c:pt idx="2">
                  <c:v>39</c:v>
                </c:pt>
                <c:pt idx="3">
                  <c:v>42</c:v>
                </c:pt>
                <c:pt idx="4">
                  <c:v>40</c:v>
                </c:pt>
              </c:numCache>
            </c:numRef>
          </c:val>
          <c:extLst>
            <c:ext xmlns:c16="http://schemas.microsoft.com/office/drawing/2014/chart" uri="{C3380CC4-5D6E-409C-BE32-E72D297353CC}">
              <c16:uniqueId val="{00000001-962A-482D-BB97-B6540557CB9D}"/>
            </c:ext>
          </c:extLst>
        </c:ser>
        <c:dLbls>
          <c:dLblPos val="outEnd"/>
          <c:showLegendKey val="0"/>
          <c:showVal val="1"/>
          <c:showCatName val="0"/>
          <c:showSerName val="0"/>
          <c:showPercent val="0"/>
          <c:showBubbleSize val="0"/>
        </c:dLbls>
        <c:gapWidth val="219"/>
        <c:overlap val="-27"/>
        <c:axId val="1482260528"/>
        <c:axId val="1482265808"/>
      </c:barChart>
      <c:catAx>
        <c:axId val="1482260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line</a:t>
                </a:r>
                <a:endParaRPr lang="en-US"/>
              </a:p>
            </c:rich>
          </c:tx>
          <c:layout>
            <c:manualLayout>
              <c:xMode val="edge"/>
              <c:yMode val="edge"/>
              <c:x val="0.4487774977165892"/>
              <c:y val="0.852430008748906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65808"/>
        <c:crosses val="autoZero"/>
        <c:auto val="1"/>
        <c:lblAlgn val="ctr"/>
        <c:lblOffset val="100"/>
        <c:noMultiLvlLbl val="0"/>
      </c:catAx>
      <c:valAx>
        <c:axId val="1482265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Rate</a:t>
                </a:r>
              </a:p>
            </c:rich>
          </c:tx>
          <c:layout>
            <c:manualLayout>
              <c:xMode val="edge"/>
              <c:yMode val="edge"/>
              <c:x val="1.1585135124080381E-2"/>
              <c:y val="0.4181980898221055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60528"/>
        <c:crosses val="autoZero"/>
        <c:crossBetween val="between"/>
      </c:valAx>
      <c:spPr>
        <a:noFill/>
        <a:ln>
          <a:noFill/>
        </a:ln>
        <a:effectLst/>
      </c:spPr>
    </c:plotArea>
    <c:legend>
      <c:legendPos val="b"/>
      <c:layout>
        <c:manualLayout>
          <c:xMode val="edge"/>
          <c:yMode val="edge"/>
          <c:x val="0.25464410847670954"/>
          <c:y val="0.92650408282298047"/>
          <c:w val="0.51004044409938298"/>
          <c:h val="6.42366579177602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189C2E"/>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Support ticket vs retention</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114837917987524"/>
          <c:y val="0.15260973403181699"/>
          <c:w val="0.77092954289804683"/>
          <c:h val="0.59939509374305211"/>
        </c:manualLayout>
      </c:layout>
      <c:scatterChart>
        <c:scatterStyle val="lineMarker"/>
        <c:varyColors val="0"/>
        <c:ser>
          <c:idx val="0"/>
          <c:order val="0"/>
          <c:tx>
            <c:v>Healthy</c:v>
          </c:tx>
          <c:spPr>
            <a:ln w="25400" cap="rnd">
              <a:noFill/>
              <a:round/>
            </a:ln>
            <a:effectLst/>
          </c:spPr>
          <c:marker>
            <c:symbol val="circle"/>
            <c:size val="5"/>
            <c:spPr>
              <a:solidFill>
                <a:schemeClr val="accent6">
                  <a:lumMod val="50000"/>
                </a:schemeClr>
              </a:solidFill>
              <a:ln w="9525">
                <a:solidFill>
                  <a:schemeClr val="accent1"/>
                </a:solidFill>
              </a:ln>
              <a:effectLst/>
            </c:spPr>
          </c:marker>
          <c:yVal>
            <c:numRef>
              <c:f>'Data - Sheet1'!$G$1</c:f>
              <c:numCache>
                <c:formatCode>General</c:formatCode>
                <c:ptCount val="1"/>
                <c:pt idx="0">
                  <c:v>0</c:v>
                </c:pt>
              </c:numCache>
            </c:numRef>
          </c:yVal>
          <c:smooth val="0"/>
          <c:extLst>
            <c:ext xmlns:c16="http://schemas.microsoft.com/office/drawing/2014/chart" uri="{C3380CC4-5D6E-409C-BE32-E72D297353CC}">
              <c16:uniqueId val="{00000000-231C-456E-B8FB-CE2F964A8A13}"/>
            </c:ext>
          </c:extLst>
        </c:ser>
        <c:ser>
          <c:idx val="1"/>
          <c:order val="1"/>
          <c:tx>
            <c:v>At-Risk</c:v>
          </c:tx>
          <c:spPr>
            <a:ln w="25400" cap="rnd">
              <a:noFill/>
              <a:round/>
            </a:ln>
            <a:effectLst/>
          </c:spPr>
          <c:marker>
            <c:symbol val="circle"/>
            <c:size val="5"/>
            <c:spPr>
              <a:solidFill>
                <a:schemeClr val="accent2">
                  <a:lumMod val="60000"/>
                  <a:lumOff val="40000"/>
                </a:schemeClr>
              </a:solidFill>
              <a:ln w="9525">
                <a:solidFill>
                  <a:schemeClr val="accent2"/>
                </a:solidFill>
              </a:ln>
              <a:effectLst/>
            </c:spPr>
          </c:marker>
          <c:yVal>
            <c:numRef>
              <c:f>'Data - Sheet1'!$G$1:$G$502</c:f>
              <c:numCache>
                <c:formatCode>General</c:formatCode>
                <c:ptCount val="502"/>
                <c:pt idx="0">
                  <c:v>0</c:v>
                </c:pt>
                <c:pt idx="1">
                  <c:v>43</c:v>
                </c:pt>
                <c:pt idx="2">
                  <c:v>13</c:v>
                </c:pt>
                <c:pt idx="3">
                  <c:v>28</c:v>
                </c:pt>
                <c:pt idx="4">
                  <c:v>9</c:v>
                </c:pt>
                <c:pt idx="5">
                  <c:v>38</c:v>
                </c:pt>
                <c:pt idx="6">
                  <c:v>35</c:v>
                </c:pt>
                <c:pt idx="7">
                  <c:v>42</c:v>
                </c:pt>
                <c:pt idx="8">
                  <c:v>29</c:v>
                </c:pt>
                <c:pt idx="9">
                  <c:v>38</c:v>
                </c:pt>
                <c:pt idx="10">
                  <c:v>40</c:v>
                </c:pt>
                <c:pt idx="11">
                  <c:v>2</c:v>
                </c:pt>
                <c:pt idx="12">
                  <c:v>41</c:v>
                </c:pt>
                <c:pt idx="13">
                  <c:v>47</c:v>
                </c:pt>
                <c:pt idx="14">
                  <c:v>14</c:v>
                </c:pt>
                <c:pt idx="15">
                  <c:v>40</c:v>
                </c:pt>
                <c:pt idx="16">
                  <c:v>16</c:v>
                </c:pt>
                <c:pt idx="17">
                  <c:v>7</c:v>
                </c:pt>
                <c:pt idx="18">
                  <c:v>48</c:v>
                </c:pt>
                <c:pt idx="19">
                  <c:v>23</c:v>
                </c:pt>
                <c:pt idx="20">
                  <c:v>1</c:v>
                </c:pt>
                <c:pt idx="21">
                  <c:v>5</c:v>
                </c:pt>
                <c:pt idx="22">
                  <c:v>35</c:v>
                </c:pt>
                <c:pt idx="23">
                  <c:v>48</c:v>
                </c:pt>
                <c:pt idx="24">
                  <c:v>33</c:v>
                </c:pt>
                <c:pt idx="25">
                  <c:v>35</c:v>
                </c:pt>
                <c:pt idx="26">
                  <c:v>4</c:v>
                </c:pt>
                <c:pt idx="27">
                  <c:v>34</c:v>
                </c:pt>
                <c:pt idx="28">
                  <c:v>12</c:v>
                </c:pt>
                <c:pt idx="29">
                  <c:v>46</c:v>
                </c:pt>
                <c:pt idx="30">
                  <c:v>12</c:v>
                </c:pt>
                <c:pt idx="31">
                  <c:v>15</c:v>
                </c:pt>
                <c:pt idx="32">
                  <c:v>5</c:v>
                </c:pt>
                <c:pt idx="33">
                  <c:v>3</c:v>
                </c:pt>
                <c:pt idx="34">
                  <c:v>27</c:v>
                </c:pt>
                <c:pt idx="35">
                  <c:v>3</c:v>
                </c:pt>
                <c:pt idx="36">
                  <c:v>33</c:v>
                </c:pt>
                <c:pt idx="37">
                  <c:v>4</c:v>
                </c:pt>
                <c:pt idx="38">
                  <c:v>38</c:v>
                </c:pt>
                <c:pt idx="39">
                  <c:v>13</c:v>
                </c:pt>
                <c:pt idx="40">
                  <c:v>20</c:v>
                </c:pt>
                <c:pt idx="41">
                  <c:v>34</c:v>
                </c:pt>
                <c:pt idx="42">
                  <c:v>23</c:v>
                </c:pt>
                <c:pt idx="43">
                  <c:v>19</c:v>
                </c:pt>
                <c:pt idx="44">
                  <c:v>9</c:v>
                </c:pt>
                <c:pt idx="45">
                  <c:v>32</c:v>
                </c:pt>
                <c:pt idx="46">
                  <c:v>0</c:v>
                </c:pt>
                <c:pt idx="47">
                  <c:v>45</c:v>
                </c:pt>
                <c:pt idx="48">
                  <c:v>2</c:v>
                </c:pt>
                <c:pt idx="49">
                  <c:v>23</c:v>
                </c:pt>
                <c:pt idx="50">
                  <c:v>49</c:v>
                </c:pt>
                <c:pt idx="51">
                  <c:v>11</c:v>
                </c:pt>
                <c:pt idx="52">
                  <c:v>17</c:v>
                </c:pt>
                <c:pt idx="53">
                  <c:v>29</c:v>
                </c:pt>
                <c:pt idx="54">
                  <c:v>21</c:v>
                </c:pt>
                <c:pt idx="55">
                  <c:v>21</c:v>
                </c:pt>
                <c:pt idx="56">
                  <c:v>6</c:v>
                </c:pt>
                <c:pt idx="57">
                  <c:v>36</c:v>
                </c:pt>
                <c:pt idx="58">
                  <c:v>27</c:v>
                </c:pt>
                <c:pt idx="59">
                  <c:v>32</c:v>
                </c:pt>
                <c:pt idx="60">
                  <c:v>26</c:v>
                </c:pt>
                <c:pt idx="61">
                  <c:v>35</c:v>
                </c:pt>
                <c:pt idx="62">
                  <c:v>28</c:v>
                </c:pt>
                <c:pt idx="63">
                  <c:v>18</c:v>
                </c:pt>
                <c:pt idx="64">
                  <c:v>14</c:v>
                </c:pt>
                <c:pt idx="65">
                  <c:v>49</c:v>
                </c:pt>
                <c:pt idx="66">
                  <c:v>25</c:v>
                </c:pt>
                <c:pt idx="67">
                  <c:v>14</c:v>
                </c:pt>
                <c:pt idx="68">
                  <c:v>8</c:v>
                </c:pt>
                <c:pt idx="69">
                  <c:v>46</c:v>
                </c:pt>
                <c:pt idx="70">
                  <c:v>16</c:v>
                </c:pt>
                <c:pt idx="71">
                  <c:v>17</c:v>
                </c:pt>
                <c:pt idx="72">
                  <c:v>34</c:v>
                </c:pt>
                <c:pt idx="73">
                  <c:v>4</c:v>
                </c:pt>
                <c:pt idx="74">
                  <c:v>26</c:v>
                </c:pt>
                <c:pt idx="75">
                  <c:v>0</c:v>
                </c:pt>
                <c:pt idx="76">
                  <c:v>14</c:v>
                </c:pt>
                <c:pt idx="77">
                  <c:v>29</c:v>
                </c:pt>
                <c:pt idx="78">
                  <c:v>41</c:v>
                </c:pt>
                <c:pt idx="79">
                  <c:v>13</c:v>
                </c:pt>
                <c:pt idx="80">
                  <c:v>5</c:v>
                </c:pt>
                <c:pt idx="81">
                  <c:v>41</c:v>
                </c:pt>
                <c:pt idx="82">
                  <c:v>9</c:v>
                </c:pt>
                <c:pt idx="83">
                  <c:v>44</c:v>
                </c:pt>
                <c:pt idx="84">
                  <c:v>19</c:v>
                </c:pt>
                <c:pt idx="85">
                  <c:v>45</c:v>
                </c:pt>
                <c:pt idx="86">
                  <c:v>44</c:v>
                </c:pt>
                <c:pt idx="87">
                  <c:v>34</c:v>
                </c:pt>
                <c:pt idx="88">
                  <c:v>31</c:v>
                </c:pt>
                <c:pt idx="89">
                  <c:v>27</c:v>
                </c:pt>
                <c:pt idx="90">
                  <c:v>27</c:v>
                </c:pt>
                <c:pt idx="91">
                  <c:v>28</c:v>
                </c:pt>
                <c:pt idx="92">
                  <c:v>31</c:v>
                </c:pt>
                <c:pt idx="93">
                  <c:v>17</c:v>
                </c:pt>
                <c:pt idx="94">
                  <c:v>15</c:v>
                </c:pt>
                <c:pt idx="95">
                  <c:v>28</c:v>
                </c:pt>
                <c:pt idx="96">
                  <c:v>42</c:v>
                </c:pt>
                <c:pt idx="97">
                  <c:v>21</c:v>
                </c:pt>
                <c:pt idx="98">
                  <c:v>20</c:v>
                </c:pt>
                <c:pt idx="99">
                  <c:v>46</c:v>
                </c:pt>
                <c:pt idx="100">
                  <c:v>14</c:v>
                </c:pt>
                <c:pt idx="101">
                  <c:v>2</c:v>
                </c:pt>
                <c:pt idx="102">
                  <c:v>0</c:v>
                </c:pt>
                <c:pt idx="103">
                  <c:v>16</c:v>
                </c:pt>
                <c:pt idx="104">
                  <c:v>9</c:v>
                </c:pt>
                <c:pt idx="105">
                  <c:v>38</c:v>
                </c:pt>
                <c:pt idx="106">
                  <c:v>37</c:v>
                </c:pt>
                <c:pt idx="107">
                  <c:v>40</c:v>
                </c:pt>
                <c:pt idx="108">
                  <c:v>4</c:v>
                </c:pt>
                <c:pt idx="109">
                  <c:v>2</c:v>
                </c:pt>
                <c:pt idx="110">
                  <c:v>43</c:v>
                </c:pt>
                <c:pt idx="111">
                  <c:v>7</c:v>
                </c:pt>
                <c:pt idx="112">
                  <c:v>3</c:v>
                </c:pt>
                <c:pt idx="113">
                  <c:v>29</c:v>
                </c:pt>
                <c:pt idx="114">
                  <c:v>5</c:v>
                </c:pt>
                <c:pt idx="115">
                  <c:v>14</c:v>
                </c:pt>
                <c:pt idx="116">
                  <c:v>2</c:v>
                </c:pt>
                <c:pt idx="117">
                  <c:v>37</c:v>
                </c:pt>
                <c:pt idx="118">
                  <c:v>42</c:v>
                </c:pt>
                <c:pt idx="119">
                  <c:v>48</c:v>
                </c:pt>
                <c:pt idx="120">
                  <c:v>49</c:v>
                </c:pt>
                <c:pt idx="121">
                  <c:v>3</c:v>
                </c:pt>
                <c:pt idx="122">
                  <c:v>13</c:v>
                </c:pt>
                <c:pt idx="123">
                  <c:v>1</c:v>
                </c:pt>
                <c:pt idx="124">
                  <c:v>26</c:v>
                </c:pt>
                <c:pt idx="125">
                  <c:v>45</c:v>
                </c:pt>
                <c:pt idx="126">
                  <c:v>15</c:v>
                </c:pt>
                <c:pt idx="127">
                  <c:v>17</c:v>
                </c:pt>
                <c:pt idx="128">
                  <c:v>46</c:v>
                </c:pt>
                <c:pt idx="129">
                  <c:v>34</c:v>
                </c:pt>
                <c:pt idx="130">
                  <c:v>20</c:v>
                </c:pt>
                <c:pt idx="131">
                  <c:v>20</c:v>
                </c:pt>
                <c:pt idx="132">
                  <c:v>2</c:v>
                </c:pt>
                <c:pt idx="133">
                  <c:v>33</c:v>
                </c:pt>
                <c:pt idx="134">
                  <c:v>30</c:v>
                </c:pt>
                <c:pt idx="135">
                  <c:v>43</c:v>
                </c:pt>
                <c:pt idx="136">
                  <c:v>2</c:v>
                </c:pt>
                <c:pt idx="137">
                  <c:v>47</c:v>
                </c:pt>
                <c:pt idx="138">
                  <c:v>10</c:v>
                </c:pt>
                <c:pt idx="139">
                  <c:v>22</c:v>
                </c:pt>
                <c:pt idx="140">
                  <c:v>11</c:v>
                </c:pt>
                <c:pt idx="141">
                  <c:v>9</c:v>
                </c:pt>
                <c:pt idx="142">
                  <c:v>18</c:v>
                </c:pt>
                <c:pt idx="143">
                  <c:v>19</c:v>
                </c:pt>
                <c:pt idx="144">
                  <c:v>24</c:v>
                </c:pt>
                <c:pt idx="145">
                  <c:v>1</c:v>
                </c:pt>
                <c:pt idx="146">
                  <c:v>47</c:v>
                </c:pt>
                <c:pt idx="147">
                  <c:v>39</c:v>
                </c:pt>
                <c:pt idx="148">
                  <c:v>50</c:v>
                </c:pt>
                <c:pt idx="149">
                  <c:v>20</c:v>
                </c:pt>
                <c:pt idx="150">
                  <c:v>32</c:v>
                </c:pt>
                <c:pt idx="151">
                  <c:v>7</c:v>
                </c:pt>
                <c:pt idx="152">
                  <c:v>23</c:v>
                </c:pt>
                <c:pt idx="153">
                  <c:v>43</c:v>
                </c:pt>
                <c:pt idx="154">
                  <c:v>43</c:v>
                </c:pt>
                <c:pt idx="155">
                  <c:v>14</c:v>
                </c:pt>
                <c:pt idx="156">
                  <c:v>7</c:v>
                </c:pt>
                <c:pt idx="157">
                  <c:v>15</c:v>
                </c:pt>
                <c:pt idx="158">
                  <c:v>47</c:v>
                </c:pt>
                <c:pt idx="159">
                  <c:v>26</c:v>
                </c:pt>
                <c:pt idx="160">
                  <c:v>23</c:v>
                </c:pt>
                <c:pt idx="161">
                  <c:v>12</c:v>
                </c:pt>
                <c:pt idx="162">
                  <c:v>50</c:v>
                </c:pt>
                <c:pt idx="163">
                  <c:v>13</c:v>
                </c:pt>
                <c:pt idx="164">
                  <c:v>34</c:v>
                </c:pt>
                <c:pt idx="165">
                  <c:v>22</c:v>
                </c:pt>
                <c:pt idx="166">
                  <c:v>47</c:v>
                </c:pt>
                <c:pt idx="167">
                  <c:v>37</c:v>
                </c:pt>
                <c:pt idx="168">
                  <c:v>19</c:v>
                </c:pt>
                <c:pt idx="169">
                  <c:v>31</c:v>
                </c:pt>
                <c:pt idx="170">
                  <c:v>8</c:v>
                </c:pt>
                <c:pt idx="171">
                  <c:v>38</c:v>
                </c:pt>
                <c:pt idx="172">
                  <c:v>41</c:v>
                </c:pt>
                <c:pt idx="173">
                  <c:v>21</c:v>
                </c:pt>
                <c:pt idx="174">
                  <c:v>23</c:v>
                </c:pt>
                <c:pt idx="175">
                  <c:v>6</c:v>
                </c:pt>
                <c:pt idx="176">
                  <c:v>26</c:v>
                </c:pt>
                <c:pt idx="177">
                  <c:v>6</c:v>
                </c:pt>
                <c:pt idx="178">
                  <c:v>22</c:v>
                </c:pt>
                <c:pt idx="179">
                  <c:v>49</c:v>
                </c:pt>
                <c:pt idx="180">
                  <c:v>11</c:v>
                </c:pt>
                <c:pt idx="181">
                  <c:v>42</c:v>
                </c:pt>
                <c:pt idx="182">
                  <c:v>13</c:v>
                </c:pt>
                <c:pt idx="183">
                  <c:v>49</c:v>
                </c:pt>
                <c:pt idx="184">
                  <c:v>17</c:v>
                </c:pt>
                <c:pt idx="185">
                  <c:v>48</c:v>
                </c:pt>
                <c:pt idx="186">
                  <c:v>42</c:v>
                </c:pt>
                <c:pt idx="187">
                  <c:v>13</c:v>
                </c:pt>
                <c:pt idx="188">
                  <c:v>31</c:v>
                </c:pt>
                <c:pt idx="189">
                  <c:v>35</c:v>
                </c:pt>
                <c:pt idx="190">
                  <c:v>1</c:v>
                </c:pt>
                <c:pt idx="191">
                  <c:v>18</c:v>
                </c:pt>
                <c:pt idx="192">
                  <c:v>5</c:v>
                </c:pt>
                <c:pt idx="193">
                  <c:v>19</c:v>
                </c:pt>
                <c:pt idx="194">
                  <c:v>40</c:v>
                </c:pt>
                <c:pt idx="195">
                  <c:v>46</c:v>
                </c:pt>
                <c:pt idx="196">
                  <c:v>38</c:v>
                </c:pt>
                <c:pt idx="197">
                  <c:v>41</c:v>
                </c:pt>
                <c:pt idx="198">
                  <c:v>30</c:v>
                </c:pt>
                <c:pt idx="199">
                  <c:v>19</c:v>
                </c:pt>
                <c:pt idx="200">
                  <c:v>41</c:v>
                </c:pt>
                <c:pt idx="201">
                  <c:v>36</c:v>
                </c:pt>
                <c:pt idx="202">
                  <c:v>28</c:v>
                </c:pt>
                <c:pt idx="203">
                  <c:v>15</c:v>
                </c:pt>
                <c:pt idx="204">
                  <c:v>23</c:v>
                </c:pt>
                <c:pt idx="205">
                  <c:v>4</c:v>
                </c:pt>
                <c:pt idx="206">
                  <c:v>9</c:v>
                </c:pt>
                <c:pt idx="207">
                  <c:v>41</c:v>
                </c:pt>
                <c:pt idx="208">
                  <c:v>35</c:v>
                </c:pt>
                <c:pt idx="209">
                  <c:v>32</c:v>
                </c:pt>
                <c:pt idx="210">
                  <c:v>49</c:v>
                </c:pt>
                <c:pt idx="211">
                  <c:v>32</c:v>
                </c:pt>
                <c:pt idx="212">
                  <c:v>8</c:v>
                </c:pt>
                <c:pt idx="213">
                  <c:v>2</c:v>
                </c:pt>
                <c:pt idx="214">
                  <c:v>14</c:v>
                </c:pt>
                <c:pt idx="215">
                  <c:v>43</c:v>
                </c:pt>
                <c:pt idx="216">
                  <c:v>12</c:v>
                </c:pt>
                <c:pt idx="217">
                  <c:v>6</c:v>
                </c:pt>
                <c:pt idx="218">
                  <c:v>28</c:v>
                </c:pt>
                <c:pt idx="219">
                  <c:v>22</c:v>
                </c:pt>
                <c:pt idx="220">
                  <c:v>5</c:v>
                </c:pt>
                <c:pt idx="221">
                  <c:v>8</c:v>
                </c:pt>
                <c:pt idx="222">
                  <c:v>39</c:v>
                </c:pt>
                <c:pt idx="223">
                  <c:v>46</c:v>
                </c:pt>
                <c:pt idx="224">
                  <c:v>7</c:v>
                </c:pt>
                <c:pt idx="225">
                  <c:v>7</c:v>
                </c:pt>
                <c:pt idx="226">
                  <c:v>18</c:v>
                </c:pt>
                <c:pt idx="227">
                  <c:v>42</c:v>
                </c:pt>
                <c:pt idx="228">
                  <c:v>32</c:v>
                </c:pt>
                <c:pt idx="229">
                  <c:v>23</c:v>
                </c:pt>
                <c:pt idx="230">
                  <c:v>47</c:v>
                </c:pt>
                <c:pt idx="231">
                  <c:v>49</c:v>
                </c:pt>
                <c:pt idx="232">
                  <c:v>45</c:v>
                </c:pt>
                <c:pt idx="233">
                  <c:v>20</c:v>
                </c:pt>
                <c:pt idx="234">
                  <c:v>18</c:v>
                </c:pt>
                <c:pt idx="235">
                  <c:v>25</c:v>
                </c:pt>
                <c:pt idx="236">
                  <c:v>23</c:v>
                </c:pt>
                <c:pt idx="237">
                  <c:v>18</c:v>
                </c:pt>
                <c:pt idx="238">
                  <c:v>38</c:v>
                </c:pt>
                <c:pt idx="239">
                  <c:v>46</c:v>
                </c:pt>
                <c:pt idx="240">
                  <c:v>42</c:v>
                </c:pt>
                <c:pt idx="241">
                  <c:v>9</c:v>
                </c:pt>
                <c:pt idx="242">
                  <c:v>24</c:v>
                </c:pt>
                <c:pt idx="243">
                  <c:v>28</c:v>
                </c:pt>
                <c:pt idx="244">
                  <c:v>41</c:v>
                </c:pt>
                <c:pt idx="245">
                  <c:v>24</c:v>
                </c:pt>
                <c:pt idx="246">
                  <c:v>18</c:v>
                </c:pt>
                <c:pt idx="247">
                  <c:v>11</c:v>
                </c:pt>
                <c:pt idx="248">
                  <c:v>45</c:v>
                </c:pt>
                <c:pt idx="249">
                  <c:v>50</c:v>
                </c:pt>
                <c:pt idx="250">
                  <c:v>50</c:v>
                </c:pt>
                <c:pt idx="251">
                  <c:v>8</c:v>
                </c:pt>
                <c:pt idx="252">
                  <c:v>26</c:v>
                </c:pt>
                <c:pt idx="253">
                  <c:v>28</c:v>
                </c:pt>
                <c:pt idx="254">
                  <c:v>27</c:v>
                </c:pt>
                <c:pt idx="255">
                  <c:v>20</c:v>
                </c:pt>
                <c:pt idx="256">
                  <c:v>12</c:v>
                </c:pt>
                <c:pt idx="257">
                  <c:v>41</c:v>
                </c:pt>
                <c:pt idx="258">
                  <c:v>21</c:v>
                </c:pt>
                <c:pt idx="259">
                  <c:v>16</c:v>
                </c:pt>
                <c:pt idx="260">
                  <c:v>40</c:v>
                </c:pt>
                <c:pt idx="261">
                  <c:v>29</c:v>
                </c:pt>
                <c:pt idx="262">
                  <c:v>21</c:v>
                </c:pt>
                <c:pt idx="263">
                  <c:v>8</c:v>
                </c:pt>
                <c:pt idx="264">
                  <c:v>7</c:v>
                </c:pt>
                <c:pt idx="265">
                  <c:v>39</c:v>
                </c:pt>
                <c:pt idx="266">
                  <c:v>48</c:v>
                </c:pt>
                <c:pt idx="267">
                  <c:v>1</c:v>
                </c:pt>
                <c:pt idx="268">
                  <c:v>22</c:v>
                </c:pt>
                <c:pt idx="269">
                  <c:v>34</c:v>
                </c:pt>
                <c:pt idx="270">
                  <c:v>23</c:v>
                </c:pt>
                <c:pt idx="271">
                  <c:v>18</c:v>
                </c:pt>
                <c:pt idx="272">
                  <c:v>43</c:v>
                </c:pt>
                <c:pt idx="273">
                  <c:v>23</c:v>
                </c:pt>
                <c:pt idx="274">
                  <c:v>2</c:v>
                </c:pt>
                <c:pt idx="275">
                  <c:v>39</c:v>
                </c:pt>
                <c:pt idx="276">
                  <c:v>21</c:v>
                </c:pt>
                <c:pt idx="277">
                  <c:v>1</c:v>
                </c:pt>
                <c:pt idx="278">
                  <c:v>38</c:v>
                </c:pt>
                <c:pt idx="279">
                  <c:v>30</c:v>
                </c:pt>
                <c:pt idx="280">
                  <c:v>43</c:v>
                </c:pt>
                <c:pt idx="281">
                  <c:v>20</c:v>
                </c:pt>
                <c:pt idx="282">
                  <c:v>45</c:v>
                </c:pt>
                <c:pt idx="283">
                  <c:v>24</c:v>
                </c:pt>
                <c:pt idx="284">
                  <c:v>39</c:v>
                </c:pt>
                <c:pt idx="285">
                  <c:v>49</c:v>
                </c:pt>
                <c:pt idx="286">
                  <c:v>35</c:v>
                </c:pt>
                <c:pt idx="287">
                  <c:v>22</c:v>
                </c:pt>
                <c:pt idx="288">
                  <c:v>28</c:v>
                </c:pt>
                <c:pt idx="289">
                  <c:v>44</c:v>
                </c:pt>
                <c:pt idx="290">
                  <c:v>3</c:v>
                </c:pt>
                <c:pt idx="291">
                  <c:v>21</c:v>
                </c:pt>
                <c:pt idx="292">
                  <c:v>10</c:v>
                </c:pt>
                <c:pt idx="293">
                  <c:v>18</c:v>
                </c:pt>
                <c:pt idx="294">
                  <c:v>26</c:v>
                </c:pt>
                <c:pt idx="295">
                  <c:v>0</c:v>
                </c:pt>
                <c:pt idx="296">
                  <c:v>29</c:v>
                </c:pt>
                <c:pt idx="297">
                  <c:v>29</c:v>
                </c:pt>
                <c:pt idx="298">
                  <c:v>45</c:v>
                </c:pt>
                <c:pt idx="299">
                  <c:v>39</c:v>
                </c:pt>
                <c:pt idx="300">
                  <c:v>11</c:v>
                </c:pt>
                <c:pt idx="301">
                  <c:v>28</c:v>
                </c:pt>
                <c:pt idx="302">
                  <c:v>41</c:v>
                </c:pt>
                <c:pt idx="303">
                  <c:v>25</c:v>
                </c:pt>
                <c:pt idx="304">
                  <c:v>39</c:v>
                </c:pt>
                <c:pt idx="305">
                  <c:v>44</c:v>
                </c:pt>
                <c:pt idx="306">
                  <c:v>50</c:v>
                </c:pt>
                <c:pt idx="307">
                  <c:v>7</c:v>
                </c:pt>
                <c:pt idx="308">
                  <c:v>20</c:v>
                </c:pt>
                <c:pt idx="309">
                  <c:v>32</c:v>
                </c:pt>
                <c:pt idx="310">
                  <c:v>3</c:v>
                </c:pt>
                <c:pt idx="311">
                  <c:v>0</c:v>
                </c:pt>
                <c:pt idx="312">
                  <c:v>34</c:v>
                </c:pt>
                <c:pt idx="313">
                  <c:v>49</c:v>
                </c:pt>
                <c:pt idx="314">
                  <c:v>5</c:v>
                </c:pt>
                <c:pt idx="315">
                  <c:v>34</c:v>
                </c:pt>
                <c:pt idx="316">
                  <c:v>29</c:v>
                </c:pt>
                <c:pt idx="317">
                  <c:v>29</c:v>
                </c:pt>
                <c:pt idx="318">
                  <c:v>42</c:v>
                </c:pt>
                <c:pt idx="319">
                  <c:v>2</c:v>
                </c:pt>
                <c:pt idx="320">
                  <c:v>25</c:v>
                </c:pt>
                <c:pt idx="321">
                  <c:v>32</c:v>
                </c:pt>
                <c:pt idx="322">
                  <c:v>19</c:v>
                </c:pt>
                <c:pt idx="323">
                  <c:v>37</c:v>
                </c:pt>
                <c:pt idx="324">
                  <c:v>22</c:v>
                </c:pt>
                <c:pt idx="325">
                  <c:v>19</c:v>
                </c:pt>
                <c:pt idx="326">
                  <c:v>45</c:v>
                </c:pt>
                <c:pt idx="327">
                  <c:v>33</c:v>
                </c:pt>
                <c:pt idx="328">
                  <c:v>23</c:v>
                </c:pt>
                <c:pt idx="329">
                  <c:v>38</c:v>
                </c:pt>
                <c:pt idx="330">
                  <c:v>13</c:v>
                </c:pt>
                <c:pt idx="331">
                  <c:v>15</c:v>
                </c:pt>
                <c:pt idx="332">
                  <c:v>20</c:v>
                </c:pt>
                <c:pt idx="333">
                  <c:v>16</c:v>
                </c:pt>
                <c:pt idx="334">
                  <c:v>13</c:v>
                </c:pt>
                <c:pt idx="335">
                  <c:v>1</c:v>
                </c:pt>
                <c:pt idx="336">
                  <c:v>12</c:v>
                </c:pt>
                <c:pt idx="337">
                  <c:v>41</c:v>
                </c:pt>
                <c:pt idx="338">
                  <c:v>10</c:v>
                </c:pt>
                <c:pt idx="339">
                  <c:v>34</c:v>
                </c:pt>
                <c:pt idx="340">
                  <c:v>48</c:v>
                </c:pt>
                <c:pt idx="341">
                  <c:v>13</c:v>
                </c:pt>
                <c:pt idx="342">
                  <c:v>1</c:v>
                </c:pt>
                <c:pt idx="343">
                  <c:v>34</c:v>
                </c:pt>
                <c:pt idx="344">
                  <c:v>6</c:v>
                </c:pt>
                <c:pt idx="345">
                  <c:v>17</c:v>
                </c:pt>
                <c:pt idx="346">
                  <c:v>19</c:v>
                </c:pt>
                <c:pt idx="347">
                  <c:v>24</c:v>
                </c:pt>
                <c:pt idx="348">
                  <c:v>31</c:v>
                </c:pt>
                <c:pt idx="349">
                  <c:v>13</c:v>
                </c:pt>
                <c:pt idx="350">
                  <c:v>34</c:v>
                </c:pt>
                <c:pt idx="351">
                  <c:v>9</c:v>
                </c:pt>
                <c:pt idx="352">
                  <c:v>24</c:v>
                </c:pt>
                <c:pt idx="353">
                  <c:v>32</c:v>
                </c:pt>
                <c:pt idx="354">
                  <c:v>38</c:v>
                </c:pt>
                <c:pt idx="355">
                  <c:v>40</c:v>
                </c:pt>
                <c:pt idx="356">
                  <c:v>11</c:v>
                </c:pt>
                <c:pt idx="357">
                  <c:v>15</c:v>
                </c:pt>
                <c:pt idx="358">
                  <c:v>20</c:v>
                </c:pt>
                <c:pt idx="359">
                  <c:v>48</c:v>
                </c:pt>
                <c:pt idx="360">
                  <c:v>35</c:v>
                </c:pt>
                <c:pt idx="361">
                  <c:v>38</c:v>
                </c:pt>
                <c:pt idx="362">
                  <c:v>15</c:v>
                </c:pt>
                <c:pt idx="363">
                  <c:v>19</c:v>
                </c:pt>
                <c:pt idx="364">
                  <c:v>19</c:v>
                </c:pt>
                <c:pt idx="365">
                  <c:v>39</c:v>
                </c:pt>
                <c:pt idx="366">
                  <c:v>39</c:v>
                </c:pt>
                <c:pt idx="367">
                  <c:v>20</c:v>
                </c:pt>
                <c:pt idx="368">
                  <c:v>18</c:v>
                </c:pt>
                <c:pt idx="369">
                  <c:v>23</c:v>
                </c:pt>
                <c:pt idx="370">
                  <c:v>1</c:v>
                </c:pt>
                <c:pt idx="371">
                  <c:v>50</c:v>
                </c:pt>
                <c:pt idx="372">
                  <c:v>45</c:v>
                </c:pt>
                <c:pt idx="373">
                  <c:v>25</c:v>
                </c:pt>
                <c:pt idx="374">
                  <c:v>38</c:v>
                </c:pt>
                <c:pt idx="375">
                  <c:v>41</c:v>
                </c:pt>
                <c:pt idx="376">
                  <c:v>50</c:v>
                </c:pt>
                <c:pt idx="377">
                  <c:v>23</c:v>
                </c:pt>
                <c:pt idx="378">
                  <c:v>1</c:v>
                </c:pt>
                <c:pt idx="379">
                  <c:v>46</c:v>
                </c:pt>
                <c:pt idx="380">
                  <c:v>30</c:v>
                </c:pt>
                <c:pt idx="381">
                  <c:v>4</c:v>
                </c:pt>
                <c:pt idx="382">
                  <c:v>43</c:v>
                </c:pt>
                <c:pt idx="383">
                  <c:v>27</c:v>
                </c:pt>
                <c:pt idx="384">
                  <c:v>1</c:v>
                </c:pt>
                <c:pt idx="385">
                  <c:v>45</c:v>
                </c:pt>
                <c:pt idx="386">
                  <c:v>6</c:v>
                </c:pt>
                <c:pt idx="387">
                  <c:v>42</c:v>
                </c:pt>
                <c:pt idx="388">
                  <c:v>7</c:v>
                </c:pt>
                <c:pt idx="389">
                  <c:v>37</c:v>
                </c:pt>
                <c:pt idx="390">
                  <c:v>23</c:v>
                </c:pt>
                <c:pt idx="391">
                  <c:v>24</c:v>
                </c:pt>
                <c:pt idx="392">
                  <c:v>10</c:v>
                </c:pt>
                <c:pt idx="393">
                  <c:v>3</c:v>
                </c:pt>
                <c:pt idx="394">
                  <c:v>32</c:v>
                </c:pt>
                <c:pt idx="395">
                  <c:v>10</c:v>
                </c:pt>
                <c:pt idx="396">
                  <c:v>34</c:v>
                </c:pt>
                <c:pt idx="397">
                  <c:v>32</c:v>
                </c:pt>
                <c:pt idx="398">
                  <c:v>48</c:v>
                </c:pt>
                <c:pt idx="399">
                  <c:v>19</c:v>
                </c:pt>
                <c:pt idx="400">
                  <c:v>7</c:v>
                </c:pt>
                <c:pt idx="401">
                  <c:v>39</c:v>
                </c:pt>
                <c:pt idx="402">
                  <c:v>34</c:v>
                </c:pt>
                <c:pt idx="403">
                  <c:v>43</c:v>
                </c:pt>
                <c:pt idx="404">
                  <c:v>15</c:v>
                </c:pt>
                <c:pt idx="405">
                  <c:v>40</c:v>
                </c:pt>
                <c:pt idx="406">
                  <c:v>32</c:v>
                </c:pt>
                <c:pt idx="407">
                  <c:v>37</c:v>
                </c:pt>
                <c:pt idx="408">
                  <c:v>50</c:v>
                </c:pt>
                <c:pt idx="409">
                  <c:v>20</c:v>
                </c:pt>
                <c:pt idx="410">
                  <c:v>43</c:v>
                </c:pt>
                <c:pt idx="411">
                  <c:v>7</c:v>
                </c:pt>
                <c:pt idx="412">
                  <c:v>44</c:v>
                </c:pt>
                <c:pt idx="413">
                  <c:v>5</c:v>
                </c:pt>
                <c:pt idx="414">
                  <c:v>41</c:v>
                </c:pt>
                <c:pt idx="415">
                  <c:v>14</c:v>
                </c:pt>
                <c:pt idx="416">
                  <c:v>44</c:v>
                </c:pt>
                <c:pt idx="417">
                  <c:v>20</c:v>
                </c:pt>
                <c:pt idx="418">
                  <c:v>4</c:v>
                </c:pt>
                <c:pt idx="419">
                  <c:v>46</c:v>
                </c:pt>
                <c:pt idx="420">
                  <c:v>6</c:v>
                </c:pt>
                <c:pt idx="421">
                  <c:v>50</c:v>
                </c:pt>
                <c:pt idx="422">
                  <c:v>38</c:v>
                </c:pt>
                <c:pt idx="423">
                  <c:v>13</c:v>
                </c:pt>
                <c:pt idx="424">
                  <c:v>50</c:v>
                </c:pt>
                <c:pt idx="425">
                  <c:v>0</c:v>
                </c:pt>
                <c:pt idx="426">
                  <c:v>34</c:v>
                </c:pt>
                <c:pt idx="427">
                  <c:v>16</c:v>
                </c:pt>
                <c:pt idx="428">
                  <c:v>44</c:v>
                </c:pt>
                <c:pt idx="429">
                  <c:v>5</c:v>
                </c:pt>
                <c:pt idx="430">
                  <c:v>20</c:v>
                </c:pt>
                <c:pt idx="431">
                  <c:v>44</c:v>
                </c:pt>
                <c:pt idx="432">
                  <c:v>29</c:v>
                </c:pt>
                <c:pt idx="433">
                  <c:v>0</c:v>
                </c:pt>
                <c:pt idx="434">
                  <c:v>33</c:v>
                </c:pt>
                <c:pt idx="435">
                  <c:v>49</c:v>
                </c:pt>
                <c:pt idx="436">
                  <c:v>40</c:v>
                </c:pt>
                <c:pt idx="437">
                  <c:v>10</c:v>
                </c:pt>
                <c:pt idx="438">
                  <c:v>47</c:v>
                </c:pt>
                <c:pt idx="439">
                  <c:v>24</c:v>
                </c:pt>
                <c:pt idx="440">
                  <c:v>20</c:v>
                </c:pt>
                <c:pt idx="441">
                  <c:v>23</c:v>
                </c:pt>
                <c:pt idx="442">
                  <c:v>25</c:v>
                </c:pt>
                <c:pt idx="443">
                  <c:v>23</c:v>
                </c:pt>
                <c:pt idx="444">
                  <c:v>23</c:v>
                </c:pt>
                <c:pt idx="445">
                  <c:v>0</c:v>
                </c:pt>
                <c:pt idx="446">
                  <c:v>0</c:v>
                </c:pt>
                <c:pt idx="447">
                  <c:v>26</c:v>
                </c:pt>
                <c:pt idx="448">
                  <c:v>33</c:v>
                </c:pt>
                <c:pt idx="449">
                  <c:v>4</c:v>
                </c:pt>
                <c:pt idx="450">
                  <c:v>18</c:v>
                </c:pt>
                <c:pt idx="451">
                  <c:v>28</c:v>
                </c:pt>
                <c:pt idx="452">
                  <c:v>6</c:v>
                </c:pt>
                <c:pt idx="453">
                  <c:v>28</c:v>
                </c:pt>
                <c:pt idx="454">
                  <c:v>2</c:v>
                </c:pt>
                <c:pt idx="455">
                  <c:v>32</c:v>
                </c:pt>
                <c:pt idx="456">
                  <c:v>35</c:v>
                </c:pt>
                <c:pt idx="457">
                  <c:v>0</c:v>
                </c:pt>
                <c:pt idx="458">
                  <c:v>37</c:v>
                </c:pt>
                <c:pt idx="459">
                  <c:v>8</c:v>
                </c:pt>
                <c:pt idx="460">
                  <c:v>36</c:v>
                </c:pt>
                <c:pt idx="461">
                  <c:v>22</c:v>
                </c:pt>
                <c:pt idx="462">
                  <c:v>39</c:v>
                </c:pt>
                <c:pt idx="463">
                  <c:v>30</c:v>
                </c:pt>
                <c:pt idx="464">
                  <c:v>15</c:v>
                </c:pt>
                <c:pt idx="465">
                  <c:v>34</c:v>
                </c:pt>
                <c:pt idx="466">
                  <c:v>1</c:v>
                </c:pt>
                <c:pt idx="467">
                  <c:v>30</c:v>
                </c:pt>
                <c:pt idx="468">
                  <c:v>42</c:v>
                </c:pt>
                <c:pt idx="469">
                  <c:v>24</c:v>
                </c:pt>
                <c:pt idx="470">
                  <c:v>1</c:v>
                </c:pt>
                <c:pt idx="471">
                  <c:v>34</c:v>
                </c:pt>
                <c:pt idx="472">
                  <c:v>14</c:v>
                </c:pt>
                <c:pt idx="473">
                  <c:v>21</c:v>
                </c:pt>
                <c:pt idx="474">
                  <c:v>49</c:v>
                </c:pt>
                <c:pt idx="475">
                  <c:v>6</c:v>
                </c:pt>
                <c:pt idx="476">
                  <c:v>41</c:v>
                </c:pt>
                <c:pt idx="477">
                  <c:v>42</c:v>
                </c:pt>
                <c:pt idx="478">
                  <c:v>11</c:v>
                </c:pt>
                <c:pt idx="479">
                  <c:v>38</c:v>
                </c:pt>
                <c:pt idx="480">
                  <c:v>21</c:v>
                </c:pt>
                <c:pt idx="481">
                  <c:v>45</c:v>
                </c:pt>
                <c:pt idx="482">
                  <c:v>22</c:v>
                </c:pt>
                <c:pt idx="483">
                  <c:v>10</c:v>
                </c:pt>
                <c:pt idx="484">
                  <c:v>50</c:v>
                </c:pt>
                <c:pt idx="485">
                  <c:v>1</c:v>
                </c:pt>
                <c:pt idx="486">
                  <c:v>46</c:v>
                </c:pt>
                <c:pt idx="487">
                  <c:v>27</c:v>
                </c:pt>
                <c:pt idx="488">
                  <c:v>13</c:v>
                </c:pt>
                <c:pt idx="489">
                  <c:v>19</c:v>
                </c:pt>
                <c:pt idx="490">
                  <c:v>3</c:v>
                </c:pt>
                <c:pt idx="491">
                  <c:v>6</c:v>
                </c:pt>
                <c:pt idx="492">
                  <c:v>7</c:v>
                </c:pt>
                <c:pt idx="493">
                  <c:v>41</c:v>
                </c:pt>
                <c:pt idx="494">
                  <c:v>28</c:v>
                </c:pt>
                <c:pt idx="495">
                  <c:v>3</c:v>
                </c:pt>
                <c:pt idx="496">
                  <c:v>14</c:v>
                </c:pt>
                <c:pt idx="497">
                  <c:v>15</c:v>
                </c:pt>
                <c:pt idx="498">
                  <c:v>36</c:v>
                </c:pt>
                <c:pt idx="499">
                  <c:v>10</c:v>
                </c:pt>
                <c:pt idx="500">
                  <c:v>40</c:v>
                </c:pt>
              </c:numCache>
            </c:numRef>
          </c:yVal>
          <c:smooth val="0"/>
          <c:extLst>
            <c:ext xmlns:c16="http://schemas.microsoft.com/office/drawing/2014/chart" uri="{C3380CC4-5D6E-409C-BE32-E72D297353CC}">
              <c16:uniqueId val="{00000001-231C-456E-B8FB-CE2F964A8A13}"/>
            </c:ext>
          </c:extLst>
        </c:ser>
        <c:ser>
          <c:idx val="2"/>
          <c:order val="2"/>
          <c:tx>
            <c:v>Churned</c:v>
          </c:tx>
          <c:spPr>
            <a:ln w="25400" cap="rnd">
              <a:noFill/>
              <a:round/>
            </a:ln>
            <a:effectLst/>
          </c:spPr>
          <c:marker>
            <c:symbol val="circle"/>
            <c:size val="5"/>
            <c:spPr>
              <a:solidFill>
                <a:schemeClr val="accent2">
                  <a:lumMod val="50000"/>
                </a:schemeClr>
              </a:solidFill>
              <a:ln w="9525">
                <a:solidFill>
                  <a:schemeClr val="accent3"/>
                </a:solidFill>
              </a:ln>
              <a:effectLst/>
            </c:spPr>
          </c:marker>
          <c:yVal>
            <c:numRef>
              <c:f>'Data - Sheet1'!$P$1:$P$502</c:f>
              <c:numCache>
                <c:formatCode>General</c:formatCode>
                <c:ptCount val="502"/>
                <c:pt idx="0">
                  <c:v>0</c:v>
                </c:pt>
                <c:pt idx="1">
                  <c:v>1</c:v>
                </c:pt>
                <c:pt idx="2">
                  <c:v>1</c:v>
                </c:pt>
                <c:pt idx="3">
                  <c:v>1</c:v>
                </c:pt>
                <c:pt idx="4">
                  <c:v>1</c:v>
                </c:pt>
                <c:pt idx="5">
                  <c:v>1</c:v>
                </c:pt>
                <c:pt idx="6">
                  <c:v>1</c:v>
                </c:pt>
                <c:pt idx="7">
                  <c:v>1</c:v>
                </c:pt>
                <c:pt idx="8">
                  <c:v>1</c:v>
                </c:pt>
                <c:pt idx="9">
                  <c:v>1</c:v>
                </c:pt>
                <c:pt idx="10">
                  <c:v>0</c:v>
                </c:pt>
                <c:pt idx="11">
                  <c:v>1</c:v>
                </c:pt>
                <c:pt idx="12">
                  <c:v>1</c:v>
                </c:pt>
                <c:pt idx="13">
                  <c:v>0</c:v>
                </c:pt>
                <c:pt idx="14">
                  <c:v>1</c:v>
                </c:pt>
                <c:pt idx="15">
                  <c:v>1</c:v>
                </c:pt>
                <c:pt idx="16">
                  <c:v>1</c:v>
                </c:pt>
                <c:pt idx="17">
                  <c:v>1</c:v>
                </c:pt>
                <c:pt idx="18">
                  <c:v>0</c:v>
                </c:pt>
                <c:pt idx="19">
                  <c:v>1</c:v>
                </c:pt>
                <c:pt idx="20">
                  <c:v>1</c:v>
                </c:pt>
                <c:pt idx="21">
                  <c:v>0</c:v>
                </c:pt>
                <c:pt idx="22">
                  <c:v>1</c:v>
                </c:pt>
                <c:pt idx="23">
                  <c:v>1</c:v>
                </c:pt>
                <c:pt idx="24">
                  <c:v>1</c:v>
                </c:pt>
                <c:pt idx="25">
                  <c:v>1</c:v>
                </c:pt>
                <c:pt idx="26">
                  <c:v>1</c:v>
                </c:pt>
                <c:pt idx="27">
                  <c:v>1</c:v>
                </c:pt>
                <c:pt idx="28">
                  <c:v>1</c:v>
                </c:pt>
                <c:pt idx="29">
                  <c:v>1</c:v>
                </c:pt>
                <c:pt idx="30">
                  <c:v>1</c:v>
                </c:pt>
                <c:pt idx="31">
                  <c:v>1</c:v>
                </c:pt>
                <c:pt idx="32">
                  <c:v>0</c:v>
                </c:pt>
                <c:pt idx="33">
                  <c:v>1</c:v>
                </c:pt>
                <c:pt idx="34">
                  <c:v>1</c:v>
                </c:pt>
                <c:pt idx="35">
                  <c:v>0</c:v>
                </c:pt>
                <c:pt idx="36">
                  <c:v>1</c:v>
                </c:pt>
                <c:pt idx="37">
                  <c:v>1</c:v>
                </c:pt>
                <c:pt idx="38">
                  <c:v>1</c:v>
                </c:pt>
                <c:pt idx="39">
                  <c:v>1</c:v>
                </c:pt>
                <c:pt idx="40">
                  <c:v>1</c:v>
                </c:pt>
                <c:pt idx="41">
                  <c:v>1</c:v>
                </c:pt>
                <c:pt idx="42">
                  <c:v>1</c:v>
                </c:pt>
                <c:pt idx="43">
                  <c:v>1</c:v>
                </c:pt>
                <c:pt idx="44">
                  <c:v>1</c:v>
                </c:pt>
                <c:pt idx="45">
                  <c:v>1</c:v>
                </c:pt>
                <c:pt idx="46">
                  <c:v>1</c:v>
                </c:pt>
                <c:pt idx="47">
                  <c:v>0</c:v>
                </c:pt>
                <c:pt idx="48">
                  <c:v>1</c:v>
                </c:pt>
                <c:pt idx="49">
                  <c:v>1</c:v>
                </c:pt>
                <c:pt idx="50">
                  <c:v>1</c:v>
                </c:pt>
                <c:pt idx="51">
                  <c:v>1</c:v>
                </c:pt>
                <c:pt idx="52">
                  <c:v>1</c:v>
                </c:pt>
                <c:pt idx="53">
                  <c:v>1</c:v>
                </c:pt>
                <c:pt idx="54">
                  <c:v>0</c:v>
                </c:pt>
                <c:pt idx="55">
                  <c:v>1</c:v>
                </c:pt>
                <c:pt idx="56">
                  <c:v>1</c:v>
                </c:pt>
                <c:pt idx="57">
                  <c:v>1</c:v>
                </c:pt>
                <c:pt idx="58">
                  <c:v>1</c:v>
                </c:pt>
                <c:pt idx="59">
                  <c:v>1</c:v>
                </c:pt>
                <c:pt idx="60">
                  <c:v>1</c:v>
                </c:pt>
                <c:pt idx="61">
                  <c:v>1</c:v>
                </c:pt>
                <c:pt idx="62">
                  <c:v>1</c:v>
                </c:pt>
                <c:pt idx="63">
                  <c:v>1</c:v>
                </c:pt>
                <c:pt idx="64">
                  <c:v>1</c:v>
                </c:pt>
                <c:pt idx="65">
                  <c:v>1</c:v>
                </c:pt>
                <c:pt idx="66">
                  <c:v>1</c:v>
                </c:pt>
                <c:pt idx="67">
                  <c:v>0</c:v>
                </c:pt>
                <c:pt idx="68">
                  <c:v>1</c:v>
                </c:pt>
                <c:pt idx="69">
                  <c:v>1</c:v>
                </c:pt>
                <c:pt idx="70">
                  <c:v>1</c:v>
                </c:pt>
                <c:pt idx="71">
                  <c:v>1</c:v>
                </c:pt>
                <c:pt idx="72">
                  <c:v>1</c:v>
                </c:pt>
                <c:pt idx="73">
                  <c:v>1</c:v>
                </c:pt>
                <c:pt idx="74">
                  <c:v>1</c:v>
                </c:pt>
                <c:pt idx="75">
                  <c:v>1</c:v>
                </c:pt>
                <c:pt idx="76">
                  <c:v>1</c:v>
                </c:pt>
                <c:pt idx="77">
                  <c:v>1</c:v>
                </c:pt>
                <c:pt idx="78">
                  <c:v>1</c:v>
                </c:pt>
                <c:pt idx="79">
                  <c:v>0</c:v>
                </c:pt>
                <c:pt idx="80">
                  <c:v>1</c:v>
                </c:pt>
                <c:pt idx="81">
                  <c:v>0</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0</c:v>
                </c:pt>
                <c:pt idx="100">
                  <c:v>1</c:v>
                </c:pt>
                <c:pt idx="101">
                  <c:v>1</c:v>
                </c:pt>
                <c:pt idx="102">
                  <c:v>1</c:v>
                </c:pt>
                <c:pt idx="103">
                  <c:v>1</c:v>
                </c:pt>
                <c:pt idx="104">
                  <c:v>1</c:v>
                </c:pt>
                <c:pt idx="105">
                  <c:v>1</c:v>
                </c:pt>
                <c:pt idx="106">
                  <c:v>1</c:v>
                </c:pt>
                <c:pt idx="107">
                  <c:v>0</c:v>
                </c:pt>
                <c:pt idx="108">
                  <c:v>0</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0</c:v>
                </c:pt>
                <c:pt idx="160">
                  <c:v>1</c:v>
                </c:pt>
                <c:pt idx="161">
                  <c:v>1</c:v>
                </c:pt>
                <c:pt idx="162">
                  <c:v>1</c:v>
                </c:pt>
                <c:pt idx="163">
                  <c:v>1</c:v>
                </c:pt>
                <c:pt idx="164">
                  <c:v>0</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0</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0</c:v>
                </c:pt>
                <c:pt idx="200">
                  <c:v>1</c:v>
                </c:pt>
                <c:pt idx="201">
                  <c:v>1</c:v>
                </c:pt>
                <c:pt idx="202">
                  <c:v>1</c:v>
                </c:pt>
                <c:pt idx="203">
                  <c:v>1</c:v>
                </c:pt>
                <c:pt idx="204">
                  <c:v>1</c:v>
                </c:pt>
                <c:pt idx="205">
                  <c:v>1</c:v>
                </c:pt>
                <c:pt idx="206">
                  <c:v>1</c:v>
                </c:pt>
                <c:pt idx="207">
                  <c:v>0</c:v>
                </c:pt>
                <c:pt idx="208">
                  <c:v>1</c:v>
                </c:pt>
                <c:pt idx="209">
                  <c:v>1</c:v>
                </c:pt>
                <c:pt idx="210">
                  <c:v>1</c:v>
                </c:pt>
                <c:pt idx="211">
                  <c:v>1</c:v>
                </c:pt>
                <c:pt idx="212">
                  <c:v>0</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0</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0</c:v>
                </c:pt>
                <c:pt idx="254">
                  <c:v>1</c:v>
                </c:pt>
                <c:pt idx="255">
                  <c:v>1</c:v>
                </c:pt>
                <c:pt idx="256">
                  <c:v>1</c:v>
                </c:pt>
                <c:pt idx="257">
                  <c:v>1</c:v>
                </c:pt>
                <c:pt idx="258">
                  <c:v>0</c:v>
                </c:pt>
                <c:pt idx="259">
                  <c:v>0</c:v>
                </c:pt>
                <c:pt idx="260">
                  <c:v>1</c:v>
                </c:pt>
                <c:pt idx="261">
                  <c:v>1</c:v>
                </c:pt>
                <c:pt idx="262">
                  <c:v>1</c:v>
                </c:pt>
                <c:pt idx="263">
                  <c:v>1</c:v>
                </c:pt>
                <c:pt idx="264">
                  <c:v>0</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0</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0</c:v>
                </c:pt>
                <c:pt idx="302">
                  <c:v>1</c:v>
                </c:pt>
                <c:pt idx="303">
                  <c:v>1</c:v>
                </c:pt>
                <c:pt idx="304">
                  <c:v>1</c:v>
                </c:pt>
                <c:pt idx="305">
                  <c:v>1</c:v>
                </c:pt>
                <c:pt idx="306">
                  <c:v>1</c:v>
                </c:pt>
                <c:pt idx="307">
                  <c:v>1</c:v>
                </c:pt>
                <c:pt idx="308">
                  <c:v>1</c:v>
                </c:pt>
                <c:pt idx="309">
                  <c:v>1</c:v>
                </c:pt>
                <c:pt idx="310">
                  <c:v>1</c:v>
                </c:pt>
                <c:pt idx="311">
                  <c:v>1</c:v>
                </c:pt>
                <c:pt idx="312">
                  <c:v>0</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0</c:v>
                </c:pt>
                <c:pt idx="330">
                  <c:v>1</c:v>
                </c:pt>
                <c:pt idx="331">
                  <c:v>1</c:v>
                </c:pt>
                <c:pt idx="332">
                  <c:v>1</c:v>
                </c:pt>
                <c:pt idx="333">
                  <c:v>1</c:v>
                </c:pt>
                <c:pt idx="334">
                  <c:v>0</c:v>
                </c:pt>
                <c:pt idx="335">
                  <c:v>1</c:v>
                </c:pt>
                <c:pt idx="336">
                  <c:v>1</c:v>
                </c:pt>
                <c:pt idx="337">
                  <c:v>1</c:v>
                </c:pt>
                <c:pt idx="338">
                  <c:v>1</c:v>
                </c:pt>
                <c:pt idx="339">
                  <c:v>1</c:v>
                </c:pt>
                <c:pt idx="340">
                  <c:v>1</c:v>
                </c:pt>
                <c:pt idx="341">
                  <c:v>1</c:v>
                </c:pt>
                <c:pt idx="342">
                  <c:v>1</c:v>
                </c:pt>
                <c:pt idx="343">
                  <c:v>0</c:v>
                </c:pt>
                <c:pt idx="344">
                  <c:v>1</c:v>
                </c:pt>
                <c:pt idx="345">
                  <c:v>1</c:v>
                </c:pt>
                <c:pt idx="346">
                  <c:v>1</c:v>
                </c:pt>
                <c:pt idx="347">
                  <c:v>1</c:v>
                </c:pt>
                <c:pt idx="348">
                  <c:v>1</c:v>
                </c:pt>
                <c:pt idx="349">
                  <c:v>1</c:v>
                </c:pt>
                <c:pt idx="350">
                  <c:v>0</c:v>
                </c:pt>
                <c:pt idx="351">
                  <c:v>0</c:v>
                </c:pt>
                <c:pt idx="352">
                  <c:v>1</c:v>
                </c:pt>
                <c:pt idx="353">
                  <c:v>1</c:v>
                </c:pt>
                <c:pt idx="354">
                  <c:v>1</c:v>
                </c:pt>
                <c:pt idx="355">
                  <c:v>1</c:v>
                </c:pt>
                <c:pt idx="356">
                  <c:v>1</c:v>
                </c:pt>
                <c:pt idx="357">
                  <c:v>0</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0</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0</c:v>
                </c:pt>
                <c:pt idx="407">
                  <c:v>1</c:v>
                </c:pt>
                <c:pt idx="408">
                  <c:v>1</c:v>
                </c:pt>
                <c:pt idx="409">
                  <c:v>1</c:v>
                </c:pt>
                <c:pt idx="410">
                  <c:v>0</c:v>
                </c:pt>
                <c:pt idx="411">
                  <c:v>1</c:v>
                </c:pt>
                <c:pt idx="412">
                  <c:v>1</c:v>
                </c:pt>
                <c:pt idx="413">
                  <c:v>1</c:v>
                </c:pt>
                <c:pt idx="414">
                  <c:v>1</c:v>
                </c:pt>
                <c:pt idx="415">
                  <c:v>1</c:v>
                </c:pt>
                <c:pt idx="416">
                  <c:v>1</c:v>
                </c:pt>
                <c:pt idx="417">
                  <c:v>1</c:v>
                </c:pt>
                <c:pt idx="418">
                  <c:v>1</c:v>
                </c:pt>
                <c:pt idx="419">
                  <c:v>1</c:v>
                </c:pt>
                <c:pt idx="420">
                  <c:v>1</c:v>
                </c:pt>
                <c:pt idx="421">
                  <c:v>1</c:v>
                </c:pt>
                <c:pt idx="422">
                  <c:v>0</c:v>
                </c:pt>
                <c:pt idx="423">
                  <c:v>0</c:v>
                </c:pt>
                <c:pt idx="424">
                  <c:v>1</c:v>
                </c:pt>
                <c:pt idx="425">
                  <c:v>1</c:v>
                </c:pt>
                <c:pt idx="426">
                  <c:v>1</c:v>
                </c:pt>
                <c:pt idx="427">
                  <c:v>0</c:v>
                </c:pt>
                <c:pt idx="428">
                  <c:v>1</c:v>
                </c:pt>
                <c:pt idx="429">
                  <c:v>1</c:v>
                </c:pt>
                <c:pt idx="430">
                  <c:v>1</c:v>
                </c:pt>
                <c:pt idx="431">
                  <c:v>1</c:v>
                </c:pt>
                <c:pt idx="432">
                  <c:v>1</c:v>
                </c:pt>
                <c:pt idx="433">
                  <c:v>1</c:v>
                </c:pt>
                <c:pt idx="434">
                  <c:v>0</c:v>
                </c:pt>
                <c:pt idx="435">
                  <c:v>1</c:v>
                </c:pt>
                <c:pt idx="436">
                  <c:v>1</c:v>
                </c:pt>
                <c:pt idx="437">
                  <c:v>1</c:v>
                </c:pt>
                <c:pt idx="438">
                  <c:v>1</c:v>
                </c:pt>
                <c:pt idx="439">
                  <c:v>1</c:v>
                </c:pt>
                <c:pt idx="440">
                  <c:v>1</c:v>
                </c:pt>
                <c:pt idx="441">
                  <c:v>1</c:v>
                </c:pt>
                <c:pt idx="442">
                  <c:v>0</c:v>
                </c:pt>
                <c:pt idx="443">
                  <c:v>1</c:v>
                </c:pt>
                <c:pt idx="444">
                  <c:v>1</c:v>
                </c:pt>
                <c:pt idx="445">
                  <c:v>1</c:v>
                </c:pt>
                <c:pt idx="446">
                  <c:v>1</c:v>
                </c:pt>
                <c:pt idx="447">
                  <c:v>0</c:v>
                </c:pt>
                <c:pt idx="448">
                  <c:v>1</c:v>
                </c:pt>
                <c:pt idx="449">
                  <c:v>1</c:v>
                </c:pt>
                <c:pt idx="450">
                  <c:v>1</c:v>
                </c:pt>
                <c:pt idx="451">
                  <c:v>1</c:v>
                </c:pt>
                <c:pt idx="452">
                  <c:v>1</c:v>
                </c:pt>
                <c:pt idx="453">
                  <c:v>1</c:v>
                </c:pt>
                <c:pt idx="454">
                  <c:v>0</c:v>
                </c:pt>
                <c:pt idx="455">
                  <c:v>1</c:v>
                </c:pt>
                <c:pt idx="456">
                  <c:v>0</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0</c:v>
                </c:pt>
                <c:pt idx="472">
                  <c:v>0</c:v>
                </c:pt>
                <c:pt idx="473">
                  <c:v>1</c:v>
                </c:pt>
                <c:pt idx="474">
                  <c:v>0</c:v>
                </c:pt>
                <c:pt idx="475">
                  <c:v>1</c:v>
                </c:pt>
                <c:pt idx="476">
                  <c:v>1</c:v>
                </c:pt>
                <c:pt idx="477">
                  <c:v>1</c:v>
                </c:pt>
                <c:pt idx="478">
                  <c:v>1</c:v>
                </c:pt>
                <c:pt idx="479">
                  <c:v>1</c:v>
                </c:pt>
                <c:pt idx="480">
                  <c:v>1</c:v>
                </c:pt>
                <c:pt idx="481">
                  <c:v>1</c:v>
                </c:pt>
                <c:pt idx="482">
                  <c:v>1</c:v>
                </c:pt>
                <c:pt idx="483">
                  <c:v>0</c:v>
                </c:pt>
                <c:pt idx="484">
                  <c:v>1</c:v>
                </c:pt>
                <c:pt idx="485">
                  <c:v>1</c:v>
                </c:pt>
                <c:pt idx="486">
                  <c:v>1</c:v>
                </c:pt>
                <c:pt idx="487">
                  <c:v>1</c:v>
                </c:pt>
                <c:pt idx="488">
                  <c:v>0</c:v>
                </c:pt>
                <c:pt idx="489">
                  <c:v>1</c:v>
                </c:pt>
                <c:pt idx="490">
                  <c:v>1</c:v>
                </c:pt>
                <c:pt idx="491">
                  <c:v>1</c:v>
                </c:pt>
                <c:pt idx="492">
                  <c:v>1</c:v>
                </c:pt>
                <c:pt idx="493">
                  <c:v>1</c:v>
                </c:pt>
                <c:pt idx="494">
                  <c:v>1</c:v>
                </c:pt>
                <c:pt idx="495">
                  <c:v>1</c:v>
                </c:pt>
                <c:pt idx="496">
                  <c:v>1</c:v>
                </c:pt>
                <c:pt idx="497">
                  <c:v>1</c:v>
                </c:pt>
                <c:pt idx="498">
                  <c:v>1</c:v>
                </c:pt>
                <c:pt idx="499">
                  <c:v>0</c:v>
                </c:pt>
                <c:pt idx="500">
                  <c:v>1</c:v>
                </c:pt>
              </c:numCache>
            </c:numRef>
          </c:yVal>
          <c:smooth val="0"/>
          <c:extLst>
            <c:ext xmlns:c16="http://schemas.microsoft.com/office/drawing/2014/chart" uri="{C3380CC4-5D6E-409C-BE32-E72D297353CC}">
              <c16:uniqueId val="{00000002-231C-456E-B8FB-CE2F964A8A13}"/>
            </c:ext>
          </c:extLst>
        </c:ser>
        <c:dLbls>
          <c:showLegendKey val="0"/>
          <c:showVal val="0"/>
          <c:showCatName val="0"/>
          <c:showSerName val="0"/>
          <c:showPercent val="0"/>
          <c:showBubbleSize val="0"/>
        </c:dLbls>
        <c:axId val="1516191"/>
        <c:axId val="1507551"/>
      </c:scatterChart>
      <c:valAx>
        <c:axId val="1516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Support</a:t>
                </a:r>
                <a:r>
                  <a:rPr lang="en-US" baseline="0"/>
                  <a:t> ticket</a:t>
                </a:r>
                <a:endParaRPr lang="en-US"/>
              </a:p>
            </c:rich>
          </c:tx>
          <c:layout>
            <c:manualLayout>
              <c:xMode val="edge"/>
              <c:yMode val="edge"/>
              <c:x val="0.44651727909011374"/>
              <c:y val="0.856481481481481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551"/>
        <c:crosses val="autoZero"/>
        <c:crossBetween val="midCat"/>
      </c:valAx>
      <c:valAx>
        <c:axId val="15075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Retention</a:t>
                </a:r>
                <a:r>
                  <a:rPr lang="en-US" baseline="0"/>
                  <a:t> status</a:t>
                </a:r>
                <a:endParaRPr lang="en-US"/>
              </a:p>
            </c:rich>
          </c:tx>
          <c:layout>
            <c:manualLayout>
              <c:xMode val="edge"/>
              <c:yMode val="edge"/>
              <c:x val="7.7637795275590548E-3"/>
              <c:y val="0.3021336395450568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191"/>
        <c:crosses val="autoZero"/>
        <c:crossBetween val="midCat"/>
      </c:valAx>
      <c:spPr>
        <a:noFill/>
        <a:ln>
          <a:noFill/>
        </a:ln>
        <a:effectLst/>
      </c:spPr>
    </c:plotArea>
    <c:legend>
      <c:legendPos val="b"/>
      <c:layout>
        <c:manualLayout>
          <c:xMode val="edge"/>
          <c:yMode val="edge"/>
          <c:x val="0.3086334208223972"/>
          <c:y val="0.92187445319335082"/>
          <c:w val="0.38273293963254595"/>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89C2E"/>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 Lifecycle Dashboard.xlsx]Retention drivers analysis!PivotTable74</c:name>
    <c:fmtId val="6"/>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Monthly</a:t>
            </a:r>
            <a:r>
              <a:rPr lang="en-US" sz="1100" baseline="0"/>
              <a:t> spend distribution by retention status</a:t>
            </a:r>
            <a:endParaRPr lang="en-US" sz="1100"/>
          </a:p>
        </c:rich>
      </c:tx>
      <c:layout>
        <c:manualLayout>
          <c:xMode val="edge"/>
          <c:yMode val="edge"/>
          <c:x val="0.19965266841644794"/>
          <c:y val="4.368932038834951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89C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rgbClr val="189C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rgbClr val="189C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pivotFmt>
    </c:pivotFmts>
    <c:plotArea>
      <c:layout>
        <c:manualLayout>
          <c:layoutTarget val="inner"/>
          <c:xMode val="edge"/>
          <c:yMode val="edge"/>
          <c:x val="0.18127559055118111"/>
          <c:y val="0.2235379558137757"/>
          <c:w val="0.78753958880139974"/>
          <c:h val="0.62271617089530473"/>
        </c:manualLayout>
      </c:layout>
      <c:barChart>
        <c:barDir val="col"/>
        <c:grouping val="clustered"/>
        <c:varyColors val="0"/>
        <c:ser>
          <c:idx val="0"/>
          <c:order val="0"/>
          <c:tx>
            <c:strRef>
              <c:f>'Retention drivers analysis'!$B$3</c:f>
              <c:strCache>
                <c:ptCount val="1"/>
                <c:pt idx="0">
                  <c:v>Total</c:v>
                </c:pt>
              </c:strCache>
            </c:strRef>
          </c:tx>
          <c:spPr>
            <a:solidFill>
              <a:srgbClr val="189C2E"/>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1-0A45-4839-8DF6-4E08866752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'Retention drivers analysis'!$A$4:$A$6</c:f>
              <c:strCache>
                <c:ptCount val="2"/>
                <c:pt idx="0">
                  <c:v>Active</c:v>
                </c:pt>
                <c:pt idx="1">
                  <c:v>Churned</c:v>
                </c:pt>
              </c:strCache>
            </c:strRef>
          </c:cat>
          <c:val>
            <c:numRef>
              <c:f>'Retention drivers analysis'!$B$4:$B$6</c:f>
              <c:numCache>
                <c:formatCode>[&gt;=1000000]"$"#0.0,,"M";[&gt;=1000]#0.0,"k";0</c:formatCode>
                <c:ptCount val="2"/>
                <c:pt idx="0">
                  <c:v>17315000</c:v>
                </c:pt>
                <c:pt idx="1">
                  <c:v>2250000</c:v>
                </c:pt>
              </c:numCache>
            </c:numRef>
          </c:val>
          <c:extLst>
            <c:ext xmlns:c16="http://schemas.microsoft.com/office/drawing/2014/chart" uri="{C3380CC4-5D6E-409C-BE32-E72D297353CC}">
              <c16:uniqueId val="{00000003-0A45-4839-8DF6-4E088667527C}"/>
            </c:ext>
          </c:extLst>
        </c:ser>
        <c:dLbls>
          <c:dLblPos val="outEnd"/>
          <c:showLegendKey val="0"/>
          <c:showVal val="1"/>
          <c:showCatName val="0"/>
          <c:showSerName val="0"/>
          <c:showPercent val="0"/>
          <c:showBubbleSize val="0"/>
        </c:dLbls>
        <c:gapWidth val="219"/>
        <c:overlap val="-27"/>
        <c:axId val="1568369600"/>
        <c:axId val="1568375360"/>
      </c:barChart>
      <c:catAx>
        <c:axId val="1568369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Retention</a:t>
                </a:r>
                <a:r>
                  <a:rPr lang="en-US" baseline="0"/>
                  <a:t> status</a:t>
                </a:r>
                <a:endParaRPr lang="en-US"/>
              </a:p>
            </c:rich>
          </c:tx>
          <c:layout>
            <c:manualLayout>
              <c:xMode val="edge"/>
              <c:yMode val="edge"/>
              <c:x val="0.42228849518810152"/>
              <c:y val="0.8923446219707973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75360"/>
        <c:crosses val="autoZero"/>
        <c:auto val="1"/>
        <c:lblAlgn val="ctr"/>
        <c:lblOffset val="100"/>
        <c:noMultiLvlLbl val="0"/>
      </c:catAx>
      <c:valAx>
        <c:axId val="15683753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Monthly</a:t>
                </a:r>
                <a:r>
                  <a:rPr lang="en-US" baseline="0"/>
                  <a:t> spend</a:t>
                </a:r>
                <a:endParaRPr lang="en-US"/>
              </a:p>
            </c:rich>
          </c:tx>
          <c:layout>
            <c:manualLayout>
              <c:xMode val="edge"/>
              <c:yMode val="edge"/>
              <c:x val="1.6666666666666666E-2"/>
              <c:y val="0.2969394541701704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quot;$&quot;#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6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89C2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 Lifecycle Dashboard.xlsx]Customer health score breakdown!PivotTable18</c:name>
    <c:fmtId val="19"/>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Health</a:t>
            </a:r>
            <a:r>
              <a:rPr lang="en-US" sz="1100" baseline="0"/>
              <a:t> status by customer segment</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solidFill>
              <a:schemeClr val="bg1"/>
            </a:solidFill>
            <a:ln>
              <a:solidFill>
                <a:schemeClr val="accent2">
                  <a:lumMod val="7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solidFill>
              <a:schemeClr val="bg1">
                <a:lumMod val="95000"/>
              </a:schemeClr>
            </a:solidFill>
            <a:ln>
              <a:solidFill>
                <a:schemeClr val="accent2">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89C2E"/>
          </a:solidFill>
          <a:ln>
            <a:noFill/>
          </a:ln>
          <a:effectLst/>
        </c:spPr>
        <c:marker>
          <c:symbol val="none"/>
        </c:marker>
        <c:dLbl>
          <c:idx val="0"/>
          <c:spPr>
            <a:solidFill>
              <a:schemeClr val="bg1">
                <a:lumMod val="95000"/>
              </a:schemeClr>
            </a:solidFill>
            <a:ln>
              <a:solidFill>
                <a:srgbClr val="189C2E"/>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solidFill>
              <a:schemeClr val="bg1"/>
            </a:solidFill>
            <a:ln>
              <a:solidFill>
                <a:schemeClr val="accent2">
                  <a:lumMod val="7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solidFill>
              <a:schemeClr val="bg1">
                <a:lumMod val="95000"/>
              </a:schemeClr>
            </a:solidFill>
            <a:ln>
              <a:solidFill>
                <a:schemeClr val="accent2">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89C2E"/>
          </a:solidFill>
          <a:ln>
            <a:noFill/>
          </a:ln>
          <a:effectLst/>
        </c:spPr>
        <c:marker>
          <c:symbol val="none"/>
        </c:marker>
        <c:dLbl>
          <c:idx val="0"/>
          <c:spPr>
            <a:solidFill>
              <a:schemeClr val="bg1">
                <a:lumMod val="95000"/>
              </a:schemeClr>
            </a:solidFill>
            <a:ln>
              <a:solidFill>
                <a:srgbClr val="189C2E"/>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marker>
          <c:symbol val="none"/>
        </c:marker>
        <c:dLbl>
          <c:idx val="0"/>
          <c:spPr>
            <a:solidFill>
              <a:schemeClr val="bg1"/>
            </a:solidFill>
            <a:ln>
              <a:solidFill>
                <a:schemeClr val="accent2">
                  <a:lumMod val="7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marker>
          <c:symbol val="none"/>
        </c:marker>
        <c:dLbl>
          <c:idx val="0"/>
          <c:spPr>
            <a:solidFill>
              <a:schemeClr val="bg1">
                <a:lumMod val="95000"/>
              </a:schemeClr>
            </a:solidFill>
            <a:ln>
              <a:solidFill>
                <a:schemeClr val="accent2">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89C2E"/>
          </a:solidFill>
          <a:ln>
            <a:noFill/>
          </a:ln>
          <a:effectLst/>
        </c:spPr>
        <c:marker>
          <c:symbol val="none"/>
        </c:marker>
        <c:dLbl>
          <c:idx val="0"/>
          <c:spPr>
            <a:solidFill>
              <a:schemeClr val="bg1">
                <a:lumMod val="95000"/>
              </a:schemeClr>
            </a:solidFill>
            <a:ln>
              <a:solidFill>
                <a:srgbClr val="189C2E"/>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3727034120735"/>
          <c:y val="0.20435261707988983"/>
          <c:w val="0.77510914260717423"/>
          <c:h val="0.56752998850350322"/>
        </c:manualLayout>
      </c:layout>
      <c:barChart>
        <c:barDir val="col"/>
        <c:grouping val="stacked"/>
        <c:varyColors val="0"/>
        <c:ser>
          <c:idx val="0"/>
          <c:order val="0"/>
          <c:tx>
            <c:strRef>
              <c:f>'Customer health score breakdown'!$B$3:$B$4</c:f>
              <c:strCache>
                <c:ptCount val="1"/>
                <c:pt idx="0">
                  <c:v>At-Risk</c:v>
                </c:pt>
              </c:strCache>
            </c:strRef>
          </c:tx>
          <c:spPr>
            <a:solidFill>
              <a:schemeClr val="accent2">
                <a:lumMod val="75000"/>
              </a:schemeClr>
            </a:solidFill>
            <a:ln>
              <a:noFill/>
            </a:ln>
            <a:effectLst/>
          </c:spPr>
          <c:invertIfNegative val="0"/>
          <c:dLbls>
            <c:spPr>
              <a:solidFill>
                <a:schemeClr val="bg1"/>
              </a:solidFill>
              <a:ln>
                <a:solidFill>
                  <a:schemeClr val="accent2">
                    <a:lumMod val="7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health score breakdown'!$A$5:$A$8</c:f>
              <c:strCache>
                <c:ptCount val="3"/>
                <c:pt idx="0">
                  <c:v>Enterprise</c:v>
                </c:pt>
                <c:pt idx="1">
                  <c:v>Mid-Market</c:v>
                </c:pt>
                <c:pt idx="2">
                  <c:v>SMB</c:v>
                </c:pt>
              </c:strCache>
            </c:strRef>
          </c:cat>
          <c:val>
            <c:numRef>
              <c:f>'Customer health score breakdown'!$B$5:$B$8</c:f>
              <c:numCache>
                <c:formatCode>General</c:formatCode>
                <c:ptCount val="3"/>
                <c:pt idx="0">
                  <c:v>140</c:v>
                </c:pt>
                <c:pt idx="1">
                  <c:v>109</c:v>
                </c:pt>
                <c:pt idx="2">
                  <c:v>101</c:v>
                </c:pt>
              </c:numCache>
            </c:numRef>
          </c:val>
          <c:extLst>
            <c:ext xmlns:c16="http://schemas.microsoft.com/office/drawing/2014/chart" uri="{C3380CC4-5D6E-409C-BE32-E72D297353CC}">
              <c16:uniqueId val="{00000000-1E1C-487D-8C89-F9EE6BEFB738}"/>
            </c:ext>
          </c:extLst>
        </c:ser>
        <c:ser>
          <c:idx val="1"/>
          <c:order val="1"/>
          <c:tx>
            <c:strRef>
              <c:f>'Customer health score breakdown'!$C$3:$C$4</c:f>
              <c:strCache>
                <c:ptCount val="1"/>
                <c:pt idx="0">
                  <c:v>Churned</c:v>
                </c:pt>
              </c:strCache>
            </c:strRef>
          </c:tx>
          <c:spPr>
            <a:solidFill>
              <a:schemeClr val="accent2">
                <a:lumMod val="50000"/>
              </a:schemeClr>
            </a:solidFill>
            <a:ln>
              <a:noFill/>
            </a:ln>
            <a:effectLst/>
          </c:spPr>
          <c:invertIfNegative val="0"/>
          <c:dLbls>
            <c:spPr>
              <a:solidFill>
                <a:schemeClr val="bg1">
                  <a:lumMod val="95000"/>
                </a:schemeClr>
              </a:solidFill>
              <a:ln>
                <a:solidFill>
                  <a:schemeClr val="accent2">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health score breakdown'!$A$5:$A$8</c:f>
              <c:strCache>
                <c:ptCount val="3"/>
                <c:pt idx="0">
                  <c:v>Enterprise</c:v>
                </c:pt>
                <c:pt idx="1">
                  <c:v>Mid-Market</c:v>
                </c:pt>
                <c:pt idx="2">
                  <c:v>SMB</c:v>
                </c:pt>
              </c:strCache>
            </c:strRef>
          </c:cat>
          <c:val>
            <c:numRef>
              <c:f>'Customer health score breakdown'!$C$5:$C$8</c:f>
              <c:numCache>
                <c:formatCode>General</c:formatCode>
                <c:ptCount val="3"/>
                <c:pt idx="0">
                  <c:v>5</c:v>
                </c:pt>
                <c:pt idx="1">
                  <c:v>16</c:v>
                </c:pt>
                <c:pt idx="2">
                  <c:v>30</c:v>
                </c:pt>
              </c:numCache>
            </c:numRef>
          </c:val>
          <c:extLst>
            <c:ext xmlns:c16="http://schemas.microsoft.com/office/drawing/2014/chart" uri="{C3380CC4-5D6E-409C-BE32-E72D297353CC}">
              <c16:uniqueId val="{00000004-1E1C-487D-8C89-F9EE6BEFB738}"/>
            </c:ext>
          </c:extLst>
        </c:ser>
        <c:ser>
          <c:idx val="2"/>
          <c:order val="2"/>
          <c:tx>
            <c:strRef>
              <c:f>'Customer health score breakdown'!$D$3:$D$4</c:f>
              <c:strCache>
                <c:ptCount val="1"/>
                <c:pt idx="0">
                  <c:v>Healthy</c:v>
                </c:pt>
              </c:strCache>
            </c:strRef>
          </c:tx>
          <c:spPr>
            <a:solidFill>
              <a:srgbClr val="189C2E"/>
            </a:solidFill>
            <a:ln>
              <a:noFill/>
            </a:ln>
            <a:effectLst/>
          </c:spPr>
          <c:invertIfNegative val="0"/>
          <c:dLbls>
            <c:spPr>
              <a:solidFill>
                <a:schemeClr val="bg1">
                  <a:lumMod val="95000"/>
                </a:schemeClr>
              </a:solidFill>
              <a:ln>
                <a:solidFill>
                  <a:srgbClr val="189C2E"/>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health score breakdown'!$A$5:$A$8</c:f>
              <c:strCache>
                <c:ptCount val="3"/>
                <c:pt idx="0">
                  <c:v>Enterprise</c:v>
                </c:pt>
                <c:pt idx="1">
                  <c:v>Mid-Market</c:v>
                </c:pt>
                <c:pt idx="2">
                  <c:v>SMB</c:v>
                </c:pt>
              </c:strCache>
            </c:strRef>
          </c:cat>
          <c:val>
            <c:numRef>
              <c:f>'Customer health score breakdown'!$D$5:$D$8</c:f>
              <c:numCache>
                <c:formatCode>General</c:formatCode>
                <c:ptCount val="3"/>
                <c:pt idx="0">
                  <c:v>45</c:v>
                </c:pt>
                <c:pt idx="1">
                  <c:v>32</c:v>
                </c:pt>
                <c:pt idx="2">
                  <c:v>22</c:v>
                </c:pt>
              </c:numCache>
            </c:numRef>
          </c:val>
          <c:extLst>
            <c:ext xmlns:c16="http://schemas.microsoft.com/office/drawing/2014/chart" uri="{C3380CC4-5D6E-409C-BE32-E72D297353CC}">
              <c16:uniqueId val="{00000005-1E1C-487D-8C89-F9EE6BEFB738}"/>
            </c:ext>
          </c:extLst>
        </c:ser>
        <c:dLbls>
          <c:dLblPos val="ctr"/>
          <c:showLegendKey val="0"/>
          <c:showVal val="1"/>
          <c:showCatName val="0"/>
          <c:showSerName val="0"/>
          <c:showPercent val="0"/>
          <c:showBubbleSize val="0"/>
        </c:dLbls>
        <c:gapWidth val="150"/>
        <c:overlap val="100"/>
        <c:axId val="1568382080"/>
        <c:axId val="1568382560"/>
      </c:barChart>
      <c:catAx>
        <c:axId val="1568382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segment</a:t>
                </a:r>
                <a:endParaRPr lang="en-US"/>
              </a:p>
            </c:rich>
          </c:tx>
          <c:layout>
            <c:manualLayout>
              <c:xMode val="edge"/>
              <c:yMode val="edge"/>
              <c:x val="0.40210783027121616"/>
              <c:y val="0.8886774690353788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82560"/>
        <c:crosses val="autoZero"/>
        <c:auto val="1"/>
        <c:lblAlgn val="ctr"/>
        <c:lblOffset val="100"/>
        <c:noMultiLvlLbl val="0"/>
      </c:catAx>
      <c:valAx>
        <c:axId val="15683825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Health</a:t>
                </a:r>
                <a:r>
                  <a:rPr lang="en-US" baseline="0"/>
                  <a:t> status</a:t>
                </a:r>
                <a:endParaRPr lang="en-US"/>
              </a:p>
            </c:rich>
          </c:tx>
          <c:layout>
            <c:manualLayout>
              <c:xMode val="edge"/>
              <c:yMode val="edge"/>
              <c:x val="1.3888888888888888E-2"/>
              <c:y val="0.320844667143879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82080"/>
        <c:crosses val="autoZero"/>
        <c:crossBetween val="between"/>
      </c:valAx>
      <c:spPr>
        <a:noFill/>
        <a:ln>
          <a:noFill/>
        </a:ln>
        <a:effectLst/>
      </c:spPr>
    </c:plotArea>
    <c:legend>
      <c:legendPos val="r"/>
      <c:layout>
        <c:manualLayout>
          <c:xMode val="edge"/>
          <c:yMode val="edge"/>
          <c:x val="0.82159295713035874"/>
          <c:y val="0.1128500466367324"/>
          <c:w val="0.13491256215033406"/>
          <c:h val="0.27669949918467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89C2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 Lifecycle Dashboard.xlsx]Time series retention trend!PivotTable19</c:name>
    <c:fmtId val="8"/>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Monthly</a:t>
            </a:r>
            <a:r>
              <a:rPr lang="en-US" sz="1100" baseline="0"/>
              <a:t> retention rate</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circle"/>
          <c:size val="5"/>
          <c:spPr>
            <a:solidFill>
              <a:schemeClr val="accent1"/>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circle"/>
          <c:size val="5"/>
          <c:spPr>
            <a:solidFill>
              <a:schemeClr val="accent1"/>
            </a:solidFill>
            <a:ln w="9525">
              <a:solidFill>
                <a:schemeClr val="accent6">
                  <a:lumMod val="75000"/>
                </a:schemeClr>
              </a:solidFill>
            </a:ln>
            <a:effectLst/>
          </c:spPr>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rgbClr val="FF0000"/>
            </a:solidFill>
            <a:round/>
          </a:ln>
          <a:effectLst/>
        </c:spPr>
        <c:marker>
          <c:symbol val="circle"/>
          <c:size val="5"/>
          <c:spPr>
            <a:solidFill>
              <a:schemeClr val="accent1"/>
            </a:solidFill>
            <a:ln w="9525">
              <a:solidFill>
                <a:schemeClr val="accent6">
                  <a:lumMod val="75000"/>
                </a:schemeClr>
              </a:solidFill>
            </a:ln>
            <a:effectLst/>
          </c:spPr>
        </c:marker>
      </c:pivotFmt>
      <c:pivotFmt>
        <c:idx val="6"/>
        <c:spPr>
          <a:solidFill>
            <a:schemeClr val="accent1"/>
          </a:solidFill>
          <a:ln w="28575" cap="rnd">
            <a:solidFill>
              <a:schemeClr val="accent2"/>
            </a:solidFill>
            <a:round/>
          </a:ln>
          <a:effectLst/>
        </c:spPr>
        <c:marker>
          <c:symbol val="none"/>
        </c:marker>
      </c:pivotFmt>
      <c:pivotFmt>
        <c:idx val="7"/>
        <c:spPr>
          <a:solidFill>
            <a:schemeClr val="accent1"/>
          </a:solidFill>
          <a:ln w="28575" cap="rnd">
            <a:solidFill>
              <a:srgbClr val="FF0000"/>
            </a:solidFill>
            <a:round/>
          </a:ln>
          <a:effectLst/>
        </c:spPr>
        <c:marker>
          <c:symbol val="none"/>
        </c:marker>
      </c:pivotFmt>
      <c:pivotFmt>
        <c:idx val="8"/>
        <c:spPr>
          <a:solidFill>
            <a:schemeClr val="accent1"/>
          </a:solidFill>
          <a:ln w="28575" cap="rnd">
            <a:solidFill>
              <a:srgbClr val="FF0000"/>
            </a:solidFill>
            <a:round/>
          </a:ln>
          <a:effectLst/>
        </c:spPr>
        <c:marker>
          <c:symbol val="none"/>
        </c:marker>
      </c:pivotFmt>
      <c:pivotFmt>
        <c:idx val="9"/>
        <c:spPr>
          <a:solidFill>
            <a:schemeClr val="accent1"/>
          </a:solidFill>
          <a:ln w="28575" cap="rnd">
            <a:solidFill>
              <a:schemeClr val="accent6">
                <a:lumMod val="75000"/>
              </a:schemeClr>
            </a:solidFill>
            <a:round/>
          </a:ln>
          <a:effectLst/>
        </c:spPr>
        <c:marker>
          <c:symbol val="circle"/>
          <c:size val="5"/>
          <c:spPr>
            <a:solidFill>
              <a:schemeClr val="accent1"/>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0000"/>
            </a:solidFill>
            <a:round/>
          </a:ln>
          <a:effectLst/>
        </c:spPr>
        <c:marker>
          <c:symbol val="circle"/>
          <c:size val="5"/>
          <c:spPr>
            <a:solidFill>
              <a:schemeClr val="accent1"/>
            </a:solidFill>
            <a:ln w="9525">
              <a:solidFill>
                <a:srgbClr val="FF0000"/>
              </a:solidFill>
            </a:ln>
            <a:effectLst/>
          </c:spPr>
        </c:marker>
      </c:pivotFmt>
      <c:pivotFmt>
        <c:idx val="11"/>
        <c:spPr>
          <a:solidFill>
            <a:schemeClr val="accent1"/>
          </a:solidFill>
          <a:ln w="28575" cap="rnd">
            <a:solidFill>
              <a:srgbClr val="FF0000"/>
            </a:solidFill>
            <a:round/>
          </a:ln>
          <a:effectLst/>
        </c:spPr>
        <c:marker>
          <c:symbol val="circle"/>
          <c:size val="5"/>
          <c:spPr>
            <a:solidFill>
              <a:schemeClr val="accent1"/>
            </a:solidFill>
            <a:ln w="9525">
              <a:solidFill>
                <a:srgbClr val="FF0000"/>
              </a:solidFill>
            </a:ln>
            <a:effectLst/>
          </c:spPr>
        </c:marker>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FF0000"/>
            </a:solidFill>
            <a:round/>
          </a:ln>
          <a:effectLst/>
        </c:spPr>
        <c:marker>
          <c:symbol val="none"/>
        </c:marker>
      </c:pivotFmt>
      <c:pivotFmt>
        <c:idx val="14"/>
        <c:spPr>
          <a:solidFill>
            <a:schemeClr val="accent1"/>
          </a:solidFill>
          <a:ln w="28575" cap="rnd">
            <a:solidFill>
              <a:schemeClr val="accent2"/>
            </a:solidFill>
            <a:round/>
          </a:ln>
          <a:effectLst/>
        </c:spPr>
        <c:marker>
          <c:symbol val="none"/>
        </c:marker>
      </c:pivotFmt>
      <c:pivotFmt>
        <c:idx val="15"/>
        <c:spPr>
          <a:solidFill>
            <a:schemeClr val="accent1"/>
          </a:solidFill>
          <a:ln w="28575" cap="rnd">
            <a:solidFill>
              <a:srgbClr val="FF0000"/>
            </a:solidFill>
            <a:round/>
          </a:ln>
          <a:effectLst/>
        </c:spPr>
        <c:marker>
          <c:symbol val="none"/>
        </c:marker>
      </c:pivotFmt>
      <c:pivotFmt>
        <c:idx val="16"/>
        <c:spPr>
          <a:ln w="28575" cap="rnd">
            <a:solidFill>
              <a:schemeClr val="accent6">
                <a:lumMod val="75000"/>
              </a:schemeClr>
            </a:solidFill>
            <a:round/>
          </a:ln>
          <a:effectLst/>
        </c:spPr>
        <c:marker>
          <c:symbol val="circle"/>
          <c:size val="5"/>
          <c:spPr>
            <a:solidFill>
              <a:schemeClr val="accent1"/>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FF0000"/>
            </a:solidFill>
            <a:round/>
          </a:ln>
          <a:effectLst/>
        </c:spPr>
        <c:marker>
          <c:symbol val="circle"/>
          <c:size val="5"/>
          <c:spPr>
            <a:solidFill>
              <a:schemeClr val="accent1"/>
            </a:solidFill>
            <a:ln w="9525">
              <a:solidFill>
                <a:srgbClr val="FF0000"/>
              </a:solidFill>
            </a:ln>
            <a:effectLst/>
          </c:spPr>
        </c:marker>
      </c:pivotFmt>
      <c:pivotFmt>
        <c:idx val="18"/>
        <c:spPr>
          <a:ln w="28575" cap="rnd">
            <a:solidFill>
              <a:srgbClr val="FF0000"/>
            </a:solidFill>
            <a:round/>
          </a:ln>
          <a:effectLst/>
        </c:spPr>
        <c:marker>
          <c:symbol val="circle"/>
          <c:size val="5"/>
          <c:spPr>
            <a:solidFill>
              <a:schemeClr val="accent1"/>
            </a:solidFill>
            <a:ln w="9525">
              <a:solidFill>
                <a:srgbClr val="FF0000"/>
              </a:solidFill>
            </a:ln>
            <a:effectLst/>
          </c:spPr>
        </c:marker>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rgbClr val="FF0000"/>
            </a:solidFill>
            <a:round/>
          </a:ln>
          <a:effectLst/>
        </c:spPr>
        <c:marker>
          <c:symbol val="none"/>
        </c:marker>
      </c:pivotFmt>
      <c:pivotFmt>
        <c:idx val="21"/>
        <c:spPr>
          <a:ln w="28575" cap="rnd">
            <a:solidFill>
              <a:schemeClr val="accent2"/>
            </a:solidFill>
            <a:round/>
          </a:ln>
          <a:effectLst/>
        </c:spPr>
        <c:marker>
          <c:symbol val="none"/>
        </c:marker>
      </c:pivotFmt>
      <c:pivotFmt>
        <c:idx val="22"/>
        <c:spPr>
          <a:ln w="28575" cap="rnd">
            <a:solidFill>
              <a:srgbClr val="FF0000"/>
            </a:solidFill>
            <a:round/>
          </a:ln>
          <a:effectLst/>
        </c:spPr>
        <c:marker>
          <c:symbol val="none"/>
        </c:marker>
      </c:pivotFmt>
    </c:pivotFmts>
    <c:plotArea>
      <c:layout>
        <c:manualLayout>
          <c:layoutTarget val="inner"/>
          <c:xMode val="edge"/>
          <c:yMode val="edge"/>
          <c:x val="0.10786063506767536"/>
          <c:y val="0.18560185185185185"/>
          <c:w val="0.83869435438217277"/>
          <c:h val="0.55384988334791485"/>
        </c:manualLayout>
      </c:layout>
      <c:lineChart>
        <c:grouping val="standard"/>
        <c:varyColors val="0"/>
        <c:ser>
          <c:idx val="0"/>
          <c:order val="0"/>
          <c:tx>
            <c:strRef>
              <c:f>'Time series retention trend'!$B$3:$B$4</c:f>
              <c:strCache>
                <c:ptCount val="1"/>
                <c:pt idx="0">
                  <c:v>Active</c:v>
                </c:pt>
              </c:strCache>
            </c:strRef>
          </c:tx>
          <c:spPr>
            <a:ln w="28575" cap="rnd">
              <a:solidFill>
                <a:schemeClr val="accent6">
                  <a:lumMod val="75000"/>
                </a:schemeClr>
              </a:solidFill>
              <a:round/>
            </a:ln>
            <a:effectLst/>
          </c:spPr>
          <c:marker>
            <c:symbol val="circle"/>
            <c:size val="5"/>
            <c:spPr>
              <a:solidFill>
                <a:schemeClr val="accent1"/>
              </a:solidFill>
              <a:ln w="9525">
                <a:solidFill>
                  <a:schemeClr val="accent6">
                    <a:lumMod val="75000"/>
                  </a:schemeClr>
                </a:solidFill>
              </a:ln>
              <a:effectLst/>
            </c:spPr>
          </c:marker>
          <c:dPt>
            <c:idx val="2"/>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1-2C7C-4136-B41B-B1195CA7F20E}"/>
              </c:ext>
            </c:extLst>
          </c:dPt>
          <c:dPt>
            <c:idx val="6"/>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3-2C7C-4136-B41B-B1195CA7F20E}"/>
              </c:ext>
            </c:extLst>
          </c:dPt>
          <c:cat>
            <c:strRef>
              <c:f>'Time series retention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 series retention trend'!$B$5:$B$17</c:f>
              <c:numCache>
                <c:formatCode>General</c:formatCode>
                <c:ptCount val="12"/>
                <c:pt idx="0">
                  <c:v>18</c:v>
                </c:pt>
                <c:pt idx="1">
                  <c:v>24</c:v>
                </c:pt>
                <c:pt idx="2">
                  <c:v>12</c:v>
                </c:pt>
                <c:pt idx="3">
                  <c:v>21</c:v>
                </c:pt>
                <c:pt idx="4">
                  <c:v>12</c:v>
                </c:pt>
                <c:pt idx="5">
                  <c:v>17</c:v>
                </c:pt>
                <c:pt idx="6">
                  <c:v>11</c:v>
                </c:pt>
                <c:pt idx="7">
                  <c:v>22</c:v>
                </c:pt>
                <c:pt idx="8">
                  <c:v>18</c:v>
                </c:pt>
                <c:pt idx="9">
                  <c:v>21</c:v>
                </c:pt>
                <c:pt idx="10">
                  <c:v>22</c:v>
                </c:pt>
                <c:pt idx="11">
                  <c:v>18</c:v>
                </c:pt>
              </c:numCache>
            </c:numRef>
          </c:val>
          <c:smooth val="0"/>
          <c:extLst>
            <c:ext xmlns:c16="http://schemas.microsoft.com/office/drawing/2014/chart" uri="{C3380CC4-5D6E-409C-BE32-E72D297353CC}">
              <c16:uniqueId val="{00000004-2C7C-4136-B41B-B1195CA7F20E}"/>
            </c:ext>
          </c:extLst>
        </c:ser>
        <c:ser>
          <c:idx val="1"/>
          <c:order val="1"/>
          <c:tx>
            <c:strRef>
              <c:f>'Time series retention trend'!$C$3:$C$4</c:f>
              <c:strCache>
                <c:ptCount val="1"/>
                <c:pt idx="0">
                  <c:v>At-Risk</c:v>
                </c:pt>
              </c:strCache>
            </c:strRef>
          </c:tx>
          <c:spPr>
            <a:ln w="28575" cap="rnd">
              <a:solidFill>
                <a:schemeClr val="accent2"/>
              </a:solidFill>
              <a:round/>
            </a:ln>
            <a:effectLst/>
          </c:spPr>
          <c:marker>
            <c:symbol val="none"/>
          </c:marker>
          <c:dPt>
            <c:idx val="3"/>
            <c:marker>
              <c:symbol val="none"/>
            </c:marker>
            <c:bubble3D val="0"/>
            <c:spPr>
              <a:ln w="28575" cap="rnd">
                <a:solidFill>
                  <a:srgbClr val="FF0000"/>
                </a:solidFill>
                <a:round/>
              </a:ln>
              <a:effectLst/>
            </c:spPr>
            <c:extLst>
              <c:ext xmlns:c16="http://schemas.microsoft.com/office/drawing/2014/chart" uri="{C3380CC4-5D6E-409C-BE32-E72D297353CC}">
                <c16:uniqueId val="{00000006-2C7C-4136-B41B-B1195CA7F20E}"/>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08-2C7C-4136-B41B-B1195CA7F20E}"/>
              </c:ext>
            </c:extLst>
          </c:dPt>
          <c:dPt>
            <c:idx val="9"/>
            <c:marker>
              <c:symbol val="none"/>
            </c:marker>
            <c:bubble3D val="0"/>
            <c:spPr>
              <a:ln w="28575" cap="rnd">
                <a:solidFill>
                  <a:srgbClr val="FF0000"/>
                </a:solidFill>
                <a:round/>
              </a:ln>
              <a:effectLst/>
            </c:spPr>
            <c:extLst>
              <c:ext xmlns:c16="http://schemas.microsoft.com/office/drawing/2014/chart" uri="{C3380CC4-5D6E-409C-BE32-E72D297353CC}">
                <c16:uniqueId val="{0000000A-2C7C-4136-B41B-B1195CA7F20E}"/>
              </c:ext>
            </c:extLst>
          </c:dPt>
          <c:cat>
            <c:strRef>
              <c:f>'Time series retention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 series retention trend'!$C$5:$C$17</c:f>
              <c:numCache>
                <c:formatCode>General</c:formatCode>
                <c:ptCount val="12"/>
                <c:pt idx="0">
                  <c:v>23</c:v>
                </c:pt>
                <c:pt idx="1">
                  <c:v>13</c:v>
                </c:pt>
                <c:pt idx="2">
                  <c:v>18</c:v>
                </c:pt>
                <c:pt idx="3">
                  <c:v>24</c:v>
                </c:pt>
                <c:pt idx="4">
                  <c:v>22</c:v>
                </c:pt>
                <c:pt idx="5">
                  <c:v>11</c:v>
                </c:pt>
                <c:pt idx="6">
                  <c:v>17</c:v>
                </c:pt>
                <c:pt idx="7">
                  <c:v>18</c:v>
                </c:pt>
                <c:pt idx="8">
                  <c:v>19</c:v>
                </c:pt>
                <c:pt idx="9">
                  <c:v>27</c:v>
                </c:pt>
                <c:pt idx="10">
                  <c:v>23</c:v>
                </c:pt>
                <c:pt idx="11">
                  <c:v>18</c:v>
                </c:pt>
              </c:numCache>
            </c:numRef>
          </c:val>
          <c:smooth val="0"/>
          <c:extLst>
            <c:ext xmlns:c16="http://schemas.microsoft.com/office/drawing/2014/chart" uri="{C3380CC4-5D6E-409C-BE32-E72D297353CC}">
              <c16:uniqueId val="{0000000B-2C7C-4136-B41B-B1195CA7F20E}"/>
            </c:ext>
          </c:extLst>
        </c:ser>
        <c:dLbls>
          <c:showLegendKey val="0"/>
          <c:showVal val="0"/>
          <c:showCatName val="0"/>
          <c:showSerName val="0"/>
          <c:showPercent val="0"/>
          <c:showBubbleSize val="0"/>
        </c:dLbls>
        <c:marker val="1"/>
        <c:smooth val="0"/>
        <c:axId val="1482282608"/>
        <c:axId val="1482296048"/>
      </c:lineChart>
      <c:catAx>
        <c:axId val="1482282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layout>
            <c:manualLayout>
              <c:xMode val="edge"/>
              <c:yMode val="edge"/>
              <c:x val="0.47436759130598871"/>
              <c:y val="0.832962233887430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96048"/>
        <c:crosses val="autoZero"/>
        <c:auto val="1"/>
        <c:lblAlgn val="ctr"/>
        <c:lblOffset val="100"/>
        <c:noMultiLvlLbl val="0"/>
      </c:catAx>
      <c:valAx>
        <c:axId val="1482296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Retention</a:t>
                </a:r>
                <a:r>
                  <a:rPr lang="en-US" baseline="0"/>
                  <a:t> rate</a:t>
                </a:r>
                <a:endParaRPr lang="en-US"/>
              </a:p>
            </c:rich>
          </c:tx>
          <c:layout>
            <c:manualLayout>
              <c:xMode val="edge"/>
              <c:yMode val="edge"/>
              <c:x val="1.1620606247748445E-2"/>
              <c:y val="0.338985126859142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82608"/>
        <c:crosses val="autoZero"/>
        <c:crossBetween val="between"/>
      </c:valAx>
      <c:spPr>
        <a:noFill/>
        <a:ln>
          <a:noFill/>
        </a:ln>
        <a:effectLst/>
      </c:spPr>
    </c:plotArea>
    <c:legend>
      <c:legendPos val="b"/>
      <c:layout>
        <c:manualLayout>
          <c:xMode val="edge"/>
          <c:yMode val="edge"/>
          <c:x val="0.35702794503628227"/>
          <c:y val="0.92187445319335082"/>
          <c:w val="0.3289298886658775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21</xdr:col>
      <xdr:colOff>454025</xdr:colOff>
      <xdr:row>1</xdr:row>
      <xdr:rowOff>88900</xdr:rowOff>
    </xdr:from>
    <xdr:to>
      <xdr:col>29</xdr:col>
      <xdr:colOff>149225</xdr:colOff>
      <xdr:row>16</xdr:row>
      <xdr:rowOff>69850</xdr:rowOff>
    </xdr:to>
    <xdr:graphicFrame macro="">
      <xdr:nvGraphicFramePr>
        <xdr:cNvPr id="11" name="Chart 10">
          <a:extLst>
            <a:ext uri="{FF2B5EF4-FFF2-40B4-BE49-F238E27FC236}">
              <a16:creationId xmlns:a16="http://schemas.microsoft.com/office/drawing/2014/main" id="{561B2179-7C94-70BC-0E05-D7BBA094B4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536221</xdr:colOff>
      <xdr:row>9</xdr:row>
      <xdr:rowOff>148873</xdr:rowOff>
    </xdr:from>
    <xdr:to>
      <xdr:col>8</xdr:col>
      <xdr:colOff>176390</xdr:colOff>
      <xdr:row>24</xdr:row>
      <xdr:rowOff>140406</xdr:rowOff>
    </xdr:to>
    <xdr:graphicFrame macro="">
      <xdr:nvGraphicFramePr>
        <xdr:cNvPr id="4" name="Chart 3">
          <a:extLst>
            <a:ext uri="{FF2B5EF4-FFF2-40B4-BE49-F238E27FC236}">
              <a16:creationId xmlns:a16="http://schemas.microsoft.com/office/drawing/2014/main" id="{D17C3434-720E-2EED-9911-CBA610429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758471</xdr:colOff>
      <xdr:row>8</xdr:row>
      <xdr:rowOff>112888</xdr:rowOff>
    </xdr:from>
    <xdr:to>
      <xdr:col>7</xdr:col>
      <xdr:colOff>670276</xdr:colOff>
      <xdr:row>20</xdr:row>
      <xdr:rowOff>134055</xdr:rowOff>
    </xdr:to>
    <xdr:graphicFrame macro="">
      <xdr:nvGraphicFramePr>
        <xdr:cNvPr id="4" name="Chart 3">
          <a:extLst>
            <a:ext uri="{FF2B5EF4-FFF2-40B4-BE49-F238E27FC236}">
              <a16:creationId xmlns:a16="http://schemas.microsoft.com/office/drawing/2014/main" id="{D0C7C486-F886-D2D1-6DE2-633E373CC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12700</xdr:colOff>
      <xdr:row>3</xdr:row>
      <xdr:rowOff>38100</xdr:rowOff>
    </xdr:from>
    <xdr:to>
      <xdr:col>13</xdr:col>
      <xdr:colOff>317500</xdr:colOff>
      <xdr:row>15</xdr:row>
      <xdr:rowOff>133350</xdr:rowOff>
    </xdr:to>
    <xdr:graphicFrame macro="">
      <xdr:nvGraphicFramePr>
        <xdr:cNvPr id="3" name="Chart 2">
          <a:extLst>
            <a:ext uri="{FF2B5EF4-FFF2-40B4-BE49-F238E27FC236}">
              <a16:creationId xmlns:a16="http://schemas.microsoft.com/office/drawing/2014/main" id="{321B2FAD-4C32-D6B7-7991-B63C6C7AA6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285750</xdr:colOff>
      <xdr:row>2</xdr:row>
      <xdr:rowOff>146050</xdr:rowOff>
    </xdr:from>
    <xdr:to>
      <xdr:col>16</xdr:col>
      <xdr:colOff>19050</xdr:colOff>
      <xdr:row>17</xdr:row>
      <xdr:rowOff>127000</xdr:rowOff>
    </xdr:to>
    <xdr:graphicFrame macro="">
      <xdr:nvGraphicFramePr>
        <xdr:cNvPr id="2" name="Chart 1">
          <a:extLst>
            <a:ext uri="{FF2B5EF4-FFF2-40B4-BE49-F238E27FC236}">
              <a16:creationId xmlns:a16="http://schemas.microsoft.com/office/drawing/2014/main" id="{01F3C1E8-6CAB-53E1-D21D-BCFA670B4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615950</xdr:colOff>
      <xdr:row>1</xdr:row>
      <xdr:rowOff>95250</xdr:rowOff>
    </xdr:from>
    <xdr:to>
      <xdr:col>8</xdr:col>
      <xdr:colOff>590550</xdr:colOff>
      <xdr:row>15</xdr:row>
      <xdr:rowOff>0</xdr:rowOff>
    </xdr:to>
    <xdr:graphicFrame macro="">
      <xdr:nvGraphicFramePr>
        <xdr:cNvPr id="3" name="Chart 2">
          <a:extLst>
            <a:ext uri="{FF2B5EF4-FFF2-40B4-BE49-F238E27FC236}">
              <a16:creationId xmlns:a16="http://schemas.microsoft.com/office/drawing/2014/main" id="{622407CB-F3F8-3792-287F-F3CFD8B90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317500</xdr:colOff>
      <xdr:row>1</xdr:row>
      <xdr:rowOff>101600</xdr:rowOff>
    </xdr:from>
    <xdr:to>
      <xdr:col>15</xdr:col>
      <xdr:colOff>469900</xdr:colOff>
      <xdr:row>15</xdr:row>
      <xdr:rowOff>38100</xdr:rowOff>
    </xdr:to>
    <xdr:graphicFrame macro="">
      <xdr:nvGraphicFramePr>
        <xdr:cNvPr id="5" name="Chart 4">
          <a:extLst>
            <a:ext uri="{FF2B5EF4-FFF2-40B4-BE49-F238E27FC236}">
              <a16:creationId xmlns:a16="http://schemas.microsoft.com/office/drawing/2014/main" id="{9A3BFDC0-5420-42BC-A6C6-9368C02A3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127000</xdr:colOff>
      <xdr:row>0</xdr:row>
      <xdr:rowOff>119943</xdr:rowOff>
    </xdr:from>
    <xdr:to>
      <xdr:col>25</xdr:col>
      <xdr:colOff>220132</xdr:colOff>
      <xdr:row>37</xdr:row>
      <xdr:rowOff>169333</xdr:rowOff>
    </xdr:to>
    <xdr:sp macro="" textlink="">
      <xdr:nvSpPr>
        <xdr:cNvPr id="4" name="Rectangle: Rounded Corners 3">
          <a:extLst>
            <a:ext uri="{FF2B5EF4-FFF2-40B4-BE49-F238E27FC236}">
              <a16:creationId xmlns:a16="http://schemas.microsoft.com/office/drawing/2014/main" id="{BCF200D9-BC0F-F21E-0A89-F19CCEA545A3}"/>
            </a:ext>
          </a:extLst>
        </xdr:cNvPr>
        <xdr:cNvSpPr/>
      </xdr:nvSpPr>
      <xdr:spPr>
        <a:xfrm>
          <a:off x="127000" y="119943"/>
          <a:ext cx="15277915" cy="6859535"/>
        </a:xfrm>
        <a:prstGeom prst="roundRect">
          <a:avLst>
            <a:gd name="adj" fmla="val 279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508001</xdr:colOff>
      <xdr:row>8</xdr:row>
      <xdr:rowOff>126999</xdr:rowOff>
    </xdr:from>
    <xdr:to>
      <xdr:col>15</xdr:col>
      <xdr:colOff>533401</xdr:colOff>
      <xdr:row>24</xdr:row>
      <xdr:rowOff>42333</xdr:rowOff>
    </xdr:to>
    <xdr:graphicFrame macro="">
      <xdr:nvGraphicFramePr>
        <xdr:cNvPr id="13" name="Chart 12">
          <a:extLst>
            <a:ext uri="{FF2B5EF4-FFF2-40B4-BE49-F238E27FC236}">
              <a16:creationId xmlns:a16="http://schemas.microsoft.com/office/drawing/2014/main" id="{6FE0B4A8-A593-4261-A559-1A03D9E34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165651</xdr:colOff>
      <xdr:row>24</xdr:row>
      <xdr:rowOff>135467</xdr:rowOff>
    </xdr:from>
    <xdr:to>
      <xdr:col>22</xdr:col>
      <xdr:colOff>330199</xdr:colOff>
      <xdr:row>37</xdr:row>
      <xdr:rowOff>76199</xdr:rowOff>
    </xdr:to>
    <xdr:graphicFrame macro="">
      <xdr:nvGraphicFramePr>
        <xdr:cNvPr id="16" name="Chart 15">
          <a:extLst>
            <a:ext uri="{FF2B5EF4-FFF2-40B4-BE49-F238E27FC236}">
              <a16:creationId xmlns:a16="http://schemas.microsoft.com/office/drawing/2014/main" id="{A08C97AF-6CB7-4D82-B6D1-B74421084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37547</xdr:colOff>
      <xdr:row>8</xdr:row>
      <xdr:rowOff>140556</xdr:rowOff>
    </xdr:from>
    <xdr:to>
      <xdr:col>22</xdr:col>
      <xdr:colOff>314739</xdr:colOff>
      <xdr:row>24</xdr:row>
      <xdr:rowOff>36812</xdr:rowOff>
    </xdr:to>
    <xdr:graphicFrame macro="">
      <xdr:nvGraphicFramePr>
        <xdr:cNvPr id="17" name="Chart 16">
          <a:extLst>
            <a:ext uri="{FF2B5EF4-FFF2-40B4-BE49-F238E27FC236}">
              <a16:creationId xmlns:a16="http://schemas.microsoft.com/office/drawing/2014/main" id="{90010CB6-9F57-409C-8932-EF6531633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27239</xdr:colOff>
      <xdr:row>3</xdr:row>
      <xdr:rowOff>147246</xdr:rowOff>
    </xdr:from>
    <xdr:to>
      <xdr:col>11</xdr:col>
      <xdr:colOff>389099</xdr:colOff>
      <xdr:row>8</xdr:row>
      <xdr:rowOff>36811</xdr:rowOff>
    </xdr:to>
    <xdr:sp macro="" textlink="">
      <xdr:nvSpPr>
        <xdr:cNvPr id="21" name="Rectangle: Rounded Corners 20">
          <a:extLst>
            <a:ext uri="{FF2B5EF4-FFF2-40B4-BE49-F238E27FC236}">
              <a16:creationId xmlns:a16="http://schemas.microsoft.com/office/drawing/2014/main" id="{89981AAE-C983-1973-8B6F-69169973977A}"/>
            </a:ext>
          </a:extLst>
        </xdr:cNvPr>
        <xdr:cNvSpPr/>
      </xdr:nvSpPr>
      <xdr:spPr>
        <a:xfrm>
          <a:off x="4278978" y="699420"/>
          <a:ext cx="2791425" cy="80985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50" b="1">
              <a:solidFill>
                <a:srgbClr val="189C2E"/>
              </a:solidFill>
            </a:rPr>
            <a:t>AVERAGE CUSTOMER LIFETIME VALUE</a:t>
          </a:r>
        </a:p>
      </xdr:txBody>
    </xdr:sp>
    <xdr:clientData/>
  </xdr:twoCellAnchor>
  <xdr:twoCellAnchor>
    <xdr:from>
      <xdr:col>7</xdr:col>
      <xdr:colOff>534501</xdr:colOff>
      <xdr:row>5</xdr:row>
      <xdr:rowOff>119638</xdr:rowOff>
    </xdr:from>
    <xdr:to>
      <xdr:col>10</xdr:col>
      <xdr:colOff>517569</xdr:colOff>
      <xdr:row>7</xdr:row>
      <xdr:rowOff>156450</xdr:rowOff>
    </xdr:to>
    <xdr:sp macro="" textlink="LTV">
      <xdr:nvSpPr>
        <xdr:cNvPr id="22" name="Rectangle: Rounded Corners 21">
          <a:extLst>
            <a:ext uri="{FF2B5EF4-FFF2-40B4-BE49-F238E27FC236}">
              <a16:creationId xmlns:a16="http://schemas.microsoft.com/office/drawing/2014/main" id="{C82E37FA-499F-6760-D2C8-F364E81C948C}"/>
            </a:ext>
          </a:extLst>
        </xdr:cNvPr>
        <xdr:cNvSpPr/>
      </xdr:nvSpPr>
      <xdr:spPr>
        <a:xfrm>
          <a:off x="4786240" y="1039928"/>
          <a:ext cx="1805242" cy="404928"/>
        </a:xfrm>
        <a:prstGeom prst="roundRect">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B5BE8FF-9AD4-4B9B-B90C-15922D134D90}" type="TxLink">
            <a:rPr lang="en-US" sz="3200" b="1" i="0" u="none" strike="noStrike">
              <a:solidFill>
                <a:srgbClr val="189C2E"/>
              </a:solidFill>
              <a:latin typeface="Calibri"/>
              <a:ea typeface="Calibri"/>
              <a:cs typeface="Calibri"/>
            </a:rPr>
            <a:pPr algn="ctr"/>
            <a:t>$798,640</a:t>
          </a:fld>
          <a:endParaRPr lang="en-US" sz="3200" b="1">
            <a:solidFill>
              <a:srgbClr val="189C2E"/>
            </a:solidFill>
          </a:endParaRPr>
        </a:p>
      </xdr:txBody>
    </xdr:sp>
    <xdr:clientData/>
  </xdr:twoCellAnchor>
  <xdr:twoCellAnchor>
    <xdr:from>
      <xdr:col>13</xdr:col>
      <xdr:colOff>411922</xdr:colOff>
      <xdr:row>3</xdr:row>
      <xdr:rowOff>143932</xdr:rowOff>
    </xdr:from>
    <xdr:to>
      <xdr:col>18</xdr:col>
      <xdr:colOff>149456</xdr:colOff>
      <xdr:row>8</xdr:row>
      <xdr:rowOff>27608</xdr:rowOff>
    </xdr:to>
    <xdr:sp macro="" textlink="">
      <xdr:nvSpPr>
        <xdr:cNvPr id="23" name="Rectangle: Rounded Corners 22">
          <a:extLst>
            <a:ext uri="{FF2B5EF4-FFF2-40B4-BE49-F238E27FC236}">
              <a16:creationId xmlns:a16="http://schemas.microsoft.com/office/drawing/2014/main" id="{68E18551-0AB6-86DE-8555-CB8BC6FC17DD}"/>
            </a:ext>
          </a:extLst>
        </xdr:cNvPr>
        <xdr:cNvSpPr/>
      </xdr:nvSpPr>
      <xdr:spPr>
        <a:xfrm>
          <a:off x="8308009" y="696106"/>
          <a:ext cx="2774490" cy="80396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50" b="1">
              <a:solidFill>
                <a:srgbClr val="189C2E"/>
              </a:solidFill>
            </a:rPr>
            <a:t>MONTHLY</a:t>
          </a:r>
          <a:r>
            <a:rPr lang="en-US" sz="1050" b="1" baseline="0">
              <a:solidFill>
                <a:srgbClr val="189C2E"/>
              </a:solidFill>
            </a:rPr>
            <a:t> RECURRING REVENUE</a:t>
          </a:r>
          <a:endParaRPr lang="en-US" sz="1050" b="1">
            <a:solidFill>
              <a:srgbClr val="189C2E"/>
            </a:solidFill>
          </a:endParaRPr>
        </a:p>
      </xdr:txBody>
    </xdr:sp>
    <xdr:clientData/>
  </xdr:twoCellAnchor>
  <xdr:twoCellAnchor>
    <xdr:from>
      <xdr:col>14</xdr:col>
      <xdr:colOff>39388</xdr:colOff>
      <xdr:row>5</xdr:row>
      <xdr:rowOff>82826</xdr:rowOff>
    </xdr:from>
    <xdr:to>
      <xdr:col>17</xdr:col>
      <xdr:colOff>547387</xdr:colOff>
      <xdr:row>7</xdr:row>
      <xdr:rowOff>147247</xdr:rowOff>
    </xdr:to>
    <xdr:sp macro="" textlink="MRR">
      <xdr:nvSpPr>
        <xdr:cNvPr id="24" name="Rectangle: Rounded Corners 23">
          <a:extLst>
            <a:ext uri="{FF2B5EF4-FFF2-40B4-BE49-F238E27FC236}">
              <a16:creationId xmlns:a16="http://schemas.microsoft.com/office/drawing/2014/main" id="{B492EC65-624C-CF7F-4CE0-0C465E743AC1}"/>
            </a:ext>
          </a:extLst>
        </xdr:cNvPr>
        <xdr:cNvSpPr/>
      </xdr:nvSpPr>
      <xdr:spPr>
        <a:xfrm>
          <a:off x="8542866" y="1003116"/>
          <a:ext cx="2330173" cy="432537"/>
        </a:xfrm>
        <a:prstGeom prst="roundRect">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2A101F6-1798-41F7-8019-5E47F2267E6B}" type="TxLink">
            <a:rPr lang="en-US" sz="3200" b="1" i="0" u="none" strike="noStrike">
              <a:solidFill>
                <a:srgbClr val="189C2E"/>
              </a:solidFill>
              <a:latin typeface="Calibri"/>
              <a:ea typeface="Calibri"/>
              <a:cs typeface="Calibri"/>
            </a:rPr>
            <a:pPr algn="ctr"/>
            <a:t>$19,565,000</a:t>
          </a:fld>
          <a:endParaRPr lang="en-US" sz="3200" b="1">
            <a:solidFill>
              <a:srgbClr val="189C2E"/>
            </a:solidFill>
          </a:endParaRPr>
        </a:p>
      </xdr:txBody>
    </xdr:sp>
    <xdr:clientData/>
  </xdr:twoCellAnchor>
  <xdr:twoCellAnchor>
    <xdr:from>
      <xdr:col>20</xdr:col>
      <xdr:colOff>355600</xdr:colOff>
      <xdr:row>3</xdr:row>
      <xdr:rowOff>177800</xdr:rowOff>
    </xdr:from>
    <xdr:to>
      <xdr:col>25</xdr:col>
      <xdr:colOff>93135</xdr:colOff>
      <xdr:row>8</xdr:row>
      <xdr:rowOff>8466</xdr:rowOff>
    </xdr:to>
    <xdr:sp macro="" textlink="">
      <xdr:nvSpPr>
        <xdr:cNvPr id="25" name="Rectangle: Rounded Corners 24">
          <a:extLst>
            <a:ext uri="{FF2B5EF4-FFF2-40B4-BE49-F238E27FC236}">
              <a16:creationId xmlns:a16="http://schemas.microsoft.com/office/drawing/2014/main" id="{739478FF-9939-D05B-7030-8A3BC72E3B97}"/>
            </a:ext>
          </a:extLst>
        </xdr:cNvPr>
        <xdr:cNvSpPr/>
      </xdr:nvSpPr>
      <xdr:spPr>
        <a:xfrm>
          <a:off x="12547600" y="736600"/>
          <a:ext cx="2785535" cy="76199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50" b="1">
              <a:solidFill>
                <a:srgbClr val="189C2E"/>
              </a:solidFill>
            </a:rPr>
            <a:t>CHURN RATE</a:t>
          </a:r>
        </a:p>
      </xdr:txBody>
    </xdr:sp>
    <xdr:clientData/>
  </xdr:twoCellAnchor>
  <xdr:twoCellAnchor>
    <xdr:from>
      <xdr:col>21</xdr:col>
      <xdr:colOff>544078</xdr:colOff>
      <xdr:row>5</xdr:row>
      <xdr:rowOff>121479</xdr:rowOff>
    </xdr:from>
    <xdr:to>
      <xdr:col>23</xdr:col>
      <xdr:colOff>493277</xdr:colOff>
      <xdr:row>7</xdr:row>
      <xdr:rowOff>129945</xdr:rowOff>
    </xdr:to>
    <xdr:sp macro="" textlink="Churn">
      <xdr:nvSpPr>
        <xdr:cNvPr id="26" name="Rectangle: Rounded Corners 25">
          <a:extLst>
            <a:ext uri="{FF2B5EF4-FFF2-40B4-BE49-F238E27FC236}">
              <a16:creationId xmlns:a16="http://schemas.microsoft.com/office/drawing/2014/main" id="{735F10B6-2C4C-E723-A092-18E9B949082E}"/>
            </a:ext>
          </a:extLst>
        </xdr:cNvPr>
        <xdr:cNvSpPr/>
      </xdr:nvSpPr>
      <xdr:spPr>
        <a:xfrm>
          <a:off x="13299295" y="1041769"/>
          <a:ext cx="1163982" cy="376582"/>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0E3D5E7-D623-4FE9-AD40-016427A9737F}" type="TxLink">
            <a:rPr lang="en-US" sz="3200" b="1" i="0" u="none" strike="noStrike">
              <a:solidFill>
                <a:srgbClr val="189C2E"/>
              </a:solidFill>
              <a:latin typeface="Calibri"/>
              <a:ea typeface="Calibri"/>
              <a:cs typeface="Calibri"/>
            </a:rPr>
            <a:pPr algn="ctr"/>
            <a:t>51</a:t>
          </a:fld>
          <a:endParaRPr lang="en-US" sz="3200" b="1">
            <a:solidFill>
              <a:srgbClr val="189C2E"/>
            </a:solidFill>
          </a:endParaRPr>
        </a:p>
      </xdr:txBody>
    </xdr:sp>
    <xdr:clientData/>
  </xdr:twoCellAnchor>
  <xdr:twoCellAnchor>
    <xdr:from>
      <xdr:col>0</xdr:col>
      <xdr:colOff>244798</xdr:colOff>
      <xdr:row>3</xdr:row>
      <xdr:rowOff>145406</xdr:rowOff>
    </xdr:from>
    <xdr:to>
      <xdr:col>5</xdr:col>
      <xdr:colOff>1472</xdr:colOff>
      <xdr:row>8</xdr:row>
      <xdr:rowOff>26873</xdr:rowOff>
    </xdr:to>
    <xdr:sp macro="" textlink="">
      <xdr:nvSpPr>
        <xdr:cNvPr id="27" name="Rectangle: Rounded Corners 26">
          <a:extLst>
            <a:ext uri="{FF2B5EF4-FFF2-40B4-BE49-F238E27FC236}">
              <a16:creationId xmlns:a16="http://schemas.microsoft.com/office/drawing/2014/main" id="{E1EC350B-4550-70B7-0B1C-C97434F4873E}"/>
            </a:ext>
          </a:extLst>
        </xdr:cNvPr>
        <xdr:cNvSpPr/>
      </xdr:nvSpPr>
      <xdr:spPr>
        <a:xfrm>
          <a:off x="244798" y="697580"/>
          <a:ext cx="2793631" cy="80175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50" b="1">
              <a:solidFill>
                <a:srgbClr val="189C2E"/>
              </a:solidFill>
            </a:rPr>
            <a:t>TOTAL ACTIVE CUSTOMER</a:t>
          </a:r>
        </a:p>
      </xdr:txBody>
    </xdr:sp>
    <xdr:clientData/>
  </xdr:twoCellAnchor>
  <xdr:twoCellAnchor>
    <xdr:from>
      <xdr:col>1</xdr:col>
      <xdr:colOff>318053</xdr:colOff>
      <xdr:row>5</xdr:row>
      <xdr:rowOff>101232</xdr:rowOff>
    </xdr:from>
    <xdr:to>
      <xdr:col>3</xdr:col>
      <xdr:colOff>512786</xdr:colOff>
      <xdr:row>8</xdr:row>
      <xdr:rowOff>0</xdr:rowOff>
    </xdr:to>
    <xdr:sp macro="" textlink="TAC">
      <xdr:nvSpPr>
        <xdr:cNvPr id="28" name="Rectangle: Rounded Corners 27">
          <a:extLst>
            <a:ext uri="{FF2B5EF4-FFF2-40B4-BE49-F238E27FC236}">
              <a16:creationId xmlns:a16="http://schemas.microsoft.com/office/drawing/2014/main" id="{8E2D5976-0697-8CF3-C222-FE35D4088BD3}"/>
            </a:ext>
          </a:extLst>
        </xdr:cNvPr>
        <xdr:cNvSpPr/>
      </xdr:nvSpPr>
      <xdr:spPr>
        <a:xfrm>
          <a:off x="925444" y="1021522"/>
          <a:ext cx="1409516" cy="450942"/>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6053F69-FFA5-4792-BFBF-A5905CF1A51B}" type="TxLink">
            <a:rPr lang="en-US" sz="3200" b="1" i="0" u="none" strike="noStrike">
              <a:solidFill>
                <a:srgbClr val="189C2E"/>
              </a:solidFill>
              <a:latin typeface="Calibri"/>
              <a:ea typeface="Calibri"/>
              <a:cs typeface="Calibri"/>
            </a:rPr>
            <a:pPr algn="ctr"/>
            <a:t>449</a:t>
          </a:fld>
          <a:endParaRPr lang="en-US" sz="3200" b="1">
            <a:solidFill>
              <a:srgbClr val="189C2E"/>
            </a:solidFill>
          </a:endParaRPr>
        </a:p>
      </xdr:txBody>
    </xdr:sp>
    <xdr:clientData/>
  </xdr:twoCellAnchor>
  <xdr:twoCellAnchor editAs="oneCell">
    <xdr:from>
      <xdr:col>22</xdr:col>
      <xdr:colOff>469072</xdr:colOff>
      <xdr:row>8</xdr:row>
      <xdr:rowOff>154976</xdr:rowOff>
    </xdr:from>
    <xdr:to>
      <xdr:col>25</xdr:col>
      <xdr:colOff>73255</xdr:colOff>
      <xdr:row>28</xdr:row>
      <xdr:rowOff>36812</xdr:rowOff>
    </xdr:to>
    <mc:AlternateContent xmlns:mc="http://schemas.openxmlformats.org/markup-compatibility/2006">
      <mc:Choice xmlns:a14="http://schemas.microsoft.com/office/drawing/2010/main" Requires="a14">
        <xdr:graphicFrame macro="">
          <xdr:nvGraphicFramePr>
            <xdr:cNvPr id="52" name="Months (Subscription_Start_Date)">
              <a:extLst>
                <a:ext uri="{FF2B5EF4-FFF2-40B4-BE49-F238E27FC236}">
                  <a16:creationId xmlns:a16="http://schemas.microsoft.com/office/drawing/2014/main" id="{A5C0FF76-5BEB-FF47-38D9-D76F34C26DE0}"/>
                </a:ext>
              </a:extLst>
            </xdr:cNvPr>
            <xdr:cNvGraphicFramePr/>
          </xdr:nvGraphicFramePr>
          <xdr:xfrm>
            <a:off x="0" y="0"/>
            <a:ext cx="0" cy="0"/>
          </xdr:xfrm>
          <a:graphic>
            <a:graphicData uri="http://schemas.microsoft.com/office/drawing/2010/slicer">
              <sle:slicer xmlns:sle="http://schemas.microsoft.com/office/drawing/2010/slicer" name="Months (Subscription_Start_Date)"/>
            </a:graphicData>
          </a:graphic>
        </xdr:graphicFrame>
      </mc:Choice>
      <mc:Fallback>
        <xdr:sp macro="" textlink="">
          <xdr:nvSpPr>
            <xdr:cNvPr id="0" name=""/>
            <xdr:cNvSpPr>
              <a:spLocks noTextEdit="1"/>
            </xdr:cNvSpPr>
          </xdr:nvSpPr>
          <xdr:spPr>
            <a:xfrm>
              <a:off x="13831681" y="1627440"/>
              <a:ext cx="1426357" cy="35629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467506</xdr:colOff>
      <xdr:row>28</xdr:row>
      <xdr:rowOff>62120</xdr:rowOff>
    </xdr:from>
    <xdr:to>
      <xdr:col>25</xdr:col>
      <xdr:colOff>78040</xdr:colOff>
      <xdr:row>37</xdr:row>
      <xdr:rowOff>82826</xdr:rowOff>
    </xdr:to>
    <mc:AlternateContent xmlns:mc="http://schemas.openxmlformats.org/markup-compatibility/2006">
      <mc:Choice xmlns:a14="http://schemas.microsoft.com/office/drawing/2010/main" Requires="a14">
        <xdr:graphicFrame macro="">
          <xdr:nvGraphicFramePr>
            <xdr:cNvPr id="53" name="Quarters (Subscription_Start_Date)">
              <a:extLst>
                <a:ext uri="{FF2B5EF4-FFF2-40B4-BE49-F238E27FC236}">
                  <a16:creationId xmlns:a16="http://schemas.microsoft.com/office/drawing/2014/main" id="{6B9BEB37-CC8F-04B3-9BE6-633AA3EB8FFD}"/>
                </a:ext>
              </a:extLst>
            </xdr:cNvPr>
            <xdr:cNvGraphicFramePr/>
          </xdr:nvGraphicFramePr>
          <xdr:xfrm>
            <a:off x="0" y="0"/>
            <a:ext cx="0" cy="0"/>
          </xdr:xfrm>
          <a:graphic>
            <a:graphicData uri="http://schemas.microsoft.com/office/drawing/2010/slicer">
              <sle:slicer xmlns:sle="http://schemas.microsoft.com/office/drawing/2010/slicer" name="Quarters (Subscription_Start_Date)"/>
            </a:graphicData>
          </a:graphic>
        </xdr:graphicFrame>
      </mc:Choice>
      <mc:Fallback>
        <xdr:sp macro="" textlink="">
          <xdr:nvSpPr>
            <xdr:cNvPr id="0" name=""/>
            <xdr:cNvSpPr>
              <a:spLocks noTextEdit="1"/>
            </xdr:cNvSpPr>
          </xdr:nvSpPr>
          <xdr:spPr>
            <a:xfrm>
              <a:off x="13830115" y="5215743"/>
              <a:ext cx="1432708" cy="16772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257681</xdr:colOff>
      <xdr:row>24</xdr:row>
      <xdr:rowOff>93133</xdr:rowOff>
    </xdr:from>
    <xdr:to>
      <xdr:col>7</xdr:col>
      <xdr:colOff>381000</xdr:colOff>
      <xdr:row>37</xdr:row>
      <xdr:rowOff>59267</xdr:rowOff>
    </xdr:to>
    <xdr:graphicFrame macro="">
      <xdr:nvGraphicFramePr>
        <xdr:cNvPr id="54" name="Chart 53">
          <a:extLst>
            <a:ext uri="{FF2B5EF4-FFF2-40B4-BE49-F238E27FC236}">
              <a16:creationId xmlns:a16="http://schemas.microsoft.com/office/drawing/2014/main" id="{8D9C6EDB-EAF7-4712-A706-A6ED34672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474133</xdr:colOff>
      <xdr:row>24</xdr:row>
      <xdr:rowOff>128409</xdr:rowOff>
    </xdr:from>
    <xdr:to>
      <xdr:col>15</xdr:col>
      <xdr:colOff>60674</xdr:colOff>
      <xdr:row>37</xdr:row>
      <xdr:rowOff>59266</xdr:rowOff>
    </xdr:to>
    <xdr:graphicFrame macro="">
      <xdr:nvGraphicFramePr>
        <xdr:cNvPr id="57" name="Chart 56">
          <a:extLst>
            <a:ext uri="{FF2B5EF4-FFF2-40B4-BE49-F238E27FC236}">
              <a16:creationId xmlns:a16="http://schemas.microsoft.com/office/drawing/2014/main" id="{EE2DB5CC-AB56-41F2-A3A8-ABE2C64C6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276087</xdr:colOff>
      <xdr:row>1</xdr:row>
      <xdr:rowOff>27609</xdr:rowOff>
    </xdr:from>
    <xdr:to>
      <xdr:col>25</xdr:col>
      <xdr:colOff>101232</xdr:colOff>
      <xdr:row>3</xdr:row>
      <xdr:rowOff>46014</xdr:rowOff>
    </xdr:to>
    <xdr:sp macro="" textlink="">
      <xdr:nvSpPr>
        <xdr:cNvPr id="58" name="Rectangle: Rounded Corners 57">
          <a:extLst>
            <a:ext uri="{FF2B5EF4-FFF2-40B4-BE49-F238E27FC236}">
              <a16:creationId xmlns:a16="http://schemas.microsoft.com/office/drawing/2014/main" id="{DB916218-2312-36E6-8736-6D75AF9EAEB9}"/>
            </a:ext>
          </a:extLst>
        </xdr:cNvPr>
        <xdr:cNvSpPr/>
      </xdr:nvSpPr>
      <xdr:spPr>
        <a:xfrm>
          <a:off x="276087" y="211667"/>
          <a:ext cx="15009928" cy="386521"/>
        </a:xfrm>
        <a:prstGeom prst="roundRect">
          <a:avLst>
            <a:gd name="adj" fmla="val 23810"/>
          </a:avLst>
        </a:prstGeom>
        <a:solidFill>
          <a:schemeClr val="bg1"/>
        </a:solidFill>
        <a:ln>
          <a:solidFill>
            <a:srgbClr val="189C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189C2E"/>
              </a:solidFill>
            </a:rPr>
            <a:t>CUSTOMER LIFECYCLE DASHBOARD</a:t>
          </a:r>
        </a:p>
      </xdr:txBody>
    </xdr:sp>
    <xdr:clientData/>
  </xdr:twoCellAnchor>
  <xdr:twoCellAnchor>
    <xdr:from>
      <xdr:col>0</xdr:col>
      <xdr:colOff>257681</xdr:colOff>
      <xdr:row>8</xdr:row>
      <xdr:rowOff>147246</xdr:rowOff>
    </xdr:from>
    <xdr:to>
      <xdr:col>9</xdr:col>
      <xdr:colOff>423333</xdr:colOff>
      <xdr:row>23</xdr:row>
      <xdr:rowOff>166694</xdr:rowOff>
    </xdr:to>
    <xdr:graphicFrame macro="">
      <xdr:nvGraphicFramePr>
        <xdr:cNvPr id="59" name="Chart 58">
          <a:extLst>
            <a:ext uri="{FF2B5EF4-FFF2-40B4-BE49-F238E27FC236}">
              <a16:creationId xmlns:a16="http://schemas.microsoft.com/office/drawing/2014/main" id="{C7984820-F121-45D0-B7FD-D53F4A808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9.429035879628" createdVersion="8" refreshedVersion="8" minRefreshableVersion="3" recordCount="500" xr:uid="{8BADC4A2-4703-43F9-AC9C-3ECAAD3F508D}">
  <cacheSource type="worksheet">
    <worksheetSource name="Table1"/>
  </cacheSource>
  <cacheFields count="23">
    <cacheField name="Customer_ID" numFmtId="0">
      <sharedItems count="500">
        <s v="CUST01000"/>
        <s v="CUST01001"/>
        <s v="CUST01002"/>
        <s v="CUST01003"/>
        <s v="CUST01004"/>
        <s v="CUST01005"/>
        <s v="CUST01006"/>
        <s v="CUST01007"/>
        <s v="CUST01008"/>
        <s v="CUST01009"/>
        <s v="CUST01010"/>
        <s v="CUST01011"/>
        <s v="CUST01012"/>
        <s v="CUST01013"/>
        <s v="CUST01014"/>
        <s v="CUST01015"/>
        <s v="CUST01016"/>
        <s v="CUST01017"/>
        <s v="CUST01018"/>
        <s v="CUST01019"/>
        <s v="CUST01020"/>
        <s v="CUST01021"/>
        <s v="CUST01022"/>
        <s v="CUST01023"/>
        <s v="CUST01024"/>
        <s v="CUST01025"/>
        <s v="CUST01026"/>
        <s v="CUST01027"/>
        <s v="CUST01028"/>
        <s v="CUST01029"/>
        <s v="CUST01030"/>
        <s v="CUST01031"/>
        <s v="CUST01032"/>
        <s v="CUST01033"/>
        <s v="CUST01034"/>
        <s v="CUST01035"/>
        <s v="CUST01036"/>
        <s v="CUST01037"/>
        <s v="CUST01038"/>
        <s v="CUST01039"/>
        <s v="CUST01040"/>
        <s v="CUST01041"/>
        <s v="CUST01042"/>
        <s v="CUST01043"/>
        <s v="CUST01044"/>
        <s v="CUST01045"/>
        <s v="CUST01046"/>
        <s v="CUST01047"/>
        <s v="CUST01048"/>
        <s v="CUST01049"/>
        <s v="CUST01050"/>
        <s v="CUST01051"/>
        <s v="CUST01052"/>
        <s v="CUST01053"/>
        <s v="CUST01054"/>
        <s v="CUST01055"/>
        <s v="CUST01056"/>
        <s v="CUST01057"/>
        <s v="CUST01058"/>
        <s v="CUST01059"/>
        <s v="CUST01060"/>
        <s v="CUST01061"/>
        <s v="CUST01062"/>
        <s v="CUST01063"/>
        <s v="CUST01064"/>
        <s v="CUST01065"/>
        <s v="CUST01066"/>
        <s v="CUST01067"/>
        <s v="CUST01068"/>
        <s v="CUST01069"/>
        <s v="CUST01070"/>
        <s v="CUST01071"/>
        <s v="CUST01072"/>
        <s v="CUST01073"/>
        <s v="CUST01074"/>
        <s v="CUST01075"/>
        <s v="CUST01076"/>
        <s v="CUST01077"/>
        <s v="CUST01078"/>
        <s v="CUST01079"/>
        <s v="CUST01080"/>
        <s v="CUST01081"/>
        <s v="CUST01082"/>
        <s v="CUST01083"/>
        <s v="CUST01084"/>
        <s v="CUST01085"/>
        <s v="CUST01086"/>
        <s v="CUST01087"/>
        <s v="CUST01088"/>
        <s v="CUST01089"/>
        <s v="CUST01090"/>
        <s v="CUST01091"/>
        <s v="CUST01092"/>
        <s v="CUST01093"/>
        <s v="CUST01094"/>
        <s v="CUST01095"/>
        <s v="CUST01096"/>
        <s v="CUST01097"/>
        <s v="CUST01098"/>
        <s v="CUST01099"/>
        <s v="CUST01100"/>
        <s v="CUST01101"/>
        <s v="CUST01102"/>
        <s v="CUST01103"/>
        <s v="CUST01104"/>
        <s v="CUST01105"/>
        <s v="CUST01106"/>
        <s v="CUST01107"/>
        <s v="CUST01108"/>
        <s v="CUST01109"/>
        <s v="CUST01110"/>
        <s v="CUST01111"/>
        <s v="CUST01112"/>
        <s v="CUST01113"/>
        <s v="CUST01114"/>
        <s v="CUST01115"/>
        <s v="CUST01116"/>
        <s v="CUST01117"/>
        <s v="CUST01118"/>
        <s v="CUST01119"/>
        <s v="CUST01120"/>
        <s v="CUST01121"/>
        <s v="CUST01122"/>
        <s v="CUST01123"/>
        <s v="CUST01124"/>
        <s v="CUST01125"/>
        <s v="CUST01126"/>
        <s v="CUST01127"/>
        <s v="CUST01128"/>
        <s v="CUST01129"/>
        <s v="CUST01130"/>
        <s v="CUST01131"/>
        <s v="CUST01132"/>
        <s v="CUST01133"/>
        <s v="CUST01134"/>
        <s v="CUST01135"/>
        <s v="CUST01136"/>
        <s v="CUST01137"/>
        <s v="CUST01138"/>
        <s v="CUST01139"/>
        <s v="CUST01140"/>
        <s v="CUST01141"/>
        <s v="CUST01142"/>
        <s v="CUST01143"/>
        <s v="CUST01144"/>
        <s v="CUST01145"/>
        <s v="CUST01146"/>
        <s v="CUST01147"/>
        <s v="CUST01148"/>
        <s v="CUST01149"/>
        <s v="CUST01150"/>
        <s v="CUST01151"/>
        <s v="CUST01152"/>
        <s v="CUST01153"/>
        <s v="CUST01154"/>
        <s v="CUST01155"/>
        <s v="CUST01156"/>
        <s v="CUST01157"/>
        <s v="CUST01158"/>
        <s v="CUST01159"/>
        <s v="CUST01160"/>
        <s v="CUST01161"/>
        <s v="CUST01162"/>
        <s v="CUST01163"/>
        <s v="CUST01164"/>
        <s v="CUST01165"/>
        <s v="CUST01166"/>
        <s v="CUST01167"/>
        <s v="CUST01168"/>
        <s v="CUST01169"/>
        <s v="CUST01170"/>
        <s v="CUST01171"/>
        <s v="CUST01172"/>
        <s v="CUST01173"/>
        <s v="CUST01174"/>
        <s v="CUST01175"/>
        <s v="CUST01176"/>
        <s v="CUST01177"/>
        <s v="CUST01178"/>
        <s v="CUST01179"/>
        <s v="CUST01180"/>
        <s v="CUST01181"/>
        <s v="CUST01182"/>
        <s v="CUST01183"/>
        <s v="CUST01184"/>
        <s v="CUST01185"/>
        <s v="CUST01186"/>
        <s v="CUST01187"/>
        <s v="CUST01188"/>
        <s v="CUST01189"/>
        <s v="CUST01190"/>
        <s v="CUST01191"/>
        <s v="CUST01192"/>
        <s v="CUST01193"/>
        <s v="CUST01194"/>
        <s v="CUST01195"/>
        <s v="CUST01196"/>
        <s v="CUST01197"/>
        <s v="CUST01198"/>
        <s v="CUST01199"/>
        <s v="CUST01200"/>
        <s v="CUST01201"/>
        <s v="CUST01202"/>
        <s v="CUST01203"/>
        <s v="CUST01204"/>
        <s v="CUST01205"/>
        <s v="CUST01206"/>
        <s v="CUST01207"/>
        <s v="CUST01208"/>
        <s v="CUST01209"/>
        <s v="CUST01210"/>
        <s v="CUST01211"/>
        <s v="CUST01212"/>
        <s v="CUST01213"/>
        <s v="CUST01214"/>
        <s v="CUST01215"/>
        <s v="CUST01216"/>
        <s v="CUST01217"/>
        <s v="CUST01218"/>
        <s v="CUST01219"/>
        <s v="CUST01220"/>
        <s v="CUST01221"/>
        <s v="CUST01222"/>
        <s v="CUST01223"/>
        <s v="CUST01224"/>
        <s v="CUST01225"/>
        <s v="CUST01226"/>
        <s v="CUST01227"/>
        <s v="CUST01228"/>
        <s v="CUST01229"/>
        <s v="CUST01230"/>
        <s v="CUST01231"/>
        <s v="CUST01232"/>
        <s v="CUST01233"/>
        <s v="CUST01234"/>
        <s v="CUST01235"/>
        <s v="CUST01236"/>
        <s v="CUST01237"/>
        <s v="CUST01238"/>
        <s v="CUST01239"/>
        <s v="CUST01240"/>
        <s v="CUST01241"/>
        <s v="CUST01242"/>
        <s v="CUST01243"/>
        <s v="CUST01244"/>
        <s v="CUST01245"/>
        <s v="CUST01246"/>
        <s v="CUST01247"/>
        <s v="CUST01248"/>
        <s v="CUST01249"/>
        <s v="CUST01250"/>
        <s v="CUST01251"/>
        <s v="CUST01252"/>
        <s v="CUST01253"/>
        <s v="CUST01254"/>
        <s v="CUST01255"/>
        <s v="CUST01256"/>
        <s v="CUST01257"/>
        <s v="CUST01258"/>
        <s v="CUST01259"/>
        <s v="CUST01260"/>
        <s v="CUST01261"/>
        <s v="CUST01262"/>
        <s v="CUST01263"/>
        <s v="CUST01264"/>
        <s v="CUST01265"/>
        <s v="CUST01266"/>
        <s v="CUST01267"/>
        <s v="CUST01268"/>
        <s v="CUST01269"/>
        <s v="CUST01270"/>
        <s v="CUST01271"/>
        <s v="CUST01272"/>
        <s v="CUST01273"/>
        <s v="CUST01274"/>
        <s v="CUST01275"/>
        <s v="CUST01276"/>
        <s v="CUST01277"/>
        <s v="CUST01278"/>
        <s v="CUST01279"/>
        <s v="CUST01280"/>
        <s v="CUST01281"/>
        <s v="CUST01282"/>
        <s v="CUST01283"/>
        <s v="CUST01284"/>
        <s v="CUST01285"/>
        <s v="CUST01286"/>
        <s v="CUST01287"/>
        <s v="CUST01288"/>
        <s v="CUST01289"/>
        <s v="CUST01290"/>
        <s v="CUST01291"/>
        <s v="CUST01292"/>
        <s v="CUST01293"/>
        <s v="CUST01294"/>
        <s v="CUST01295"/>
        <s v="CUST01296"/>
        <s v="CUST01297"/>
        <s v="CUST01298"/>
        <s v="CUST01299"/>
        <s v="CUST01300"/>
        <s v="CUST01301"/>
        <s v="CUST01302"/>
        <s v="CUST01303"/>
        <s v="CUST01304"/>
        <s v="CUST01305"/>
        <s v="CUST01306"/>
        <s v="CUST01307"/>
        <s v="CUST01308"/>
        <s v="CUST01309"/>
        <s v="CUST01310"/>
        <s v="CUST01311"/>
        <s v="CUST01312"/>
        <s v="CUST01313"/>
        <s v="CUST01314"/>
        <s v="CUST01315"/>
        <s v="CUST01316"/>
        <s v="CUST01317"/>
        <s v="CUST01318"/>
        <s v="CUST01319"/>
        <s v="CUST01320"/>
        <s v="CUST01321"/>
        <s v="CUST01322"/>
        <s v="CUST01323"/>
        <s v="CUST01324"/>
        <s v="CUST01325"/>
        <s v="CUST01326"/>
        <s v="CUST01327"/>
        <s v="CUST01328"/>
        <s v="CUST01329"/>
        <s v="CUST01330"/>
        <s v="CUST01331"/>
        <s v="CUST01332"/>
        <s v="CUST01333"/>
        <s v="CUST01334"/>
        <s v="CUST01335"/>
        <s v="CUST01336"/>
        <s v="CUST01337"/>
        <s v="CUST01338"/>
        <s v="CUST01339"/>
        <s v="CUST01340"/>
        <s v="CUST01341"/>
        <s v="CUST01342"/>
        <s v="CUST01343"/>
        <s v="CUST01344"/>
        <s v="CUST01345"/>
        <s v="CUST01346"/>
        <s v="CUST01347"/>
        <s v="CUST01348"/>
        <s v="CUST01349"/>
        <s v="CUST01350"/>
        <s v="CUST01351"/>
        <s v="CUST01352"/>
        <s v="CUST01353"/>
        <s v="CUST01354"/>
        <s v="CUST01355"/>
        <s v="CUST01356"/>
        <s v="CUST01357"/>
        <s v="CUST01358"/>
        <s v="CUST01359"/>
        <s v="CUST01360"/>
        <s v="CUST01361"/>
        <s v="CUST01362"/>
        <s v="CUST01363"/>
        <s v="CUST01364"/>
        <s v="CUST01365"/>
        <s v="CUST01366"/>
        <s v="CUST01367"/>
        <s v="CUST01368"/>
        <s v="CUST01369"/>
        <s v="CUST01370"/>
        <s v="CUST01371"/>
        <s v="CUST01372"/>
        <s v="CUST01373"/>
        <s v="CUST01374"/>
        <s v="CUST01375"/>
        <s v="CUST01376"/>
        <s v="CUST01377"/>
        <s v="CUST01378"/>
        <s v="CUST01379"/>
        <s v="CUST01380"/>
        <s v="CUST01381"/>
        <s v="CUST01382"/>
        <s v="CUST01383"/>
        <s v="CUST01384"/>
        <s v="CUST01385"/>
        <s v="CUST01386"/>
        <s v="CUST01387"/>
        <s v="CUST01388"/>
        <s v="CUST01389"/>
        <s v="CUST01390"/>
        <s v="CUST01391"/>
        <s v="CUST01392"/>
        <s v="CUST01393"/>
        <s v="CUST01394"/>
        <s v="CUST01395"/>
        <s v="CUST01396"/>
        <s v="CUST01397"/>
        <s v="CUST01398"/>
        <s v="CUST01399"/>
        <s v="CUST01400"/>
        <s v="CUST01401"/>
        <s v="CUST01402"/>
        <s v="CUST01403"/>
        <s v="CUST01404"/>
        <s v="CUST01405"/>
        <s v="CUST01406"/>
        <s v="CUST01407"/>
        <s v="CUST01408"/>
        <s v="CUST01409"/>
        <s v="CUST01410"/>
        <s v="CUST01411"/>
        <s v="CUST01412"/>
        <s v="CUST01413"/>
        <s v="CUST01414"/>
        <s v="CUST01415"/>
        <s v="CUST01416"/>
        <s v="CUST01417"/>
        <s v="CUST01418"/>
        <s v="CUST01419"/>
        <s v="CUST01420"/>
        <s v="CUST01421"/>
        <s v="CUST01422"/>
        <s v="CUST01423"/>
        <s v="CUST01424"/>
        <s v="CUST01425"/>
        <s v="CUST01426"/>
        <s v="CUST01427"/>
        <s v="CUST01428"/>
        <s v="CUST01429"/>
        <s v="CUST01430"/>
        <s v="CUST01431"/>
        <s v="CUST01432"/>
        <s v="CUST01433"/>
        <s v="CUST01434"/>
        <s v="CUST01435"/>
        <s v="CUST01436"/>
        <s v="CUST01437"/>
        <s v="CUST01438"/>
        <s v="CUST01439"/>
        <s v="CUST01440"/>
        <s v="CUST01441"/>
        <s v="CUST01442"/>
        <s v="CUST01443"/>
        <s v="CUST01444"/>
        <s v="CUST01445"/>
        <s v="CUST01446"/>
        <s v="CUST01447"/>
        <s v="CUST01448"/>
        <s v="CUST01449"/>
        <s v="CUST01450"/>
        <s v="CUST01451"/>
        <s v="CUST01452"/>
        <s v="CUST01453"/>
        <s v="CUST01454"/>
        <s v="CUST01455"/>
        <s v="CUST01456"/>
        <s v="CUST01457"/>
        <s v="CUST01458"/>
        <s v="CUST01459"/>
        <s v="CUST01460"/>
        <s v="CUST01461"/>
        <s v="CUST01462"/>
        <s v="CUST01463"/>
        <s v="CUST01464"/>
        <s v="CUST01465"/>
        <s v="CUST01466"/>
        <s v="CUST01467"/>
        <s v="CUST01468"/>
        <s v="CUST01469"/>
        <s v="CUST01470"/>
        <s v="CUST01471"/>
        <s v="CUST01472"/>
        <s v="CUST01473"/>
        <s v="CUST01474"/>
        <s v="CUST01475"/>
        <s v="CUST01476"/>
        <s v="CUST01477"/>
        <s v="CUST01478"/>
        <s v="CUST01479"/>
        <s v="CUST01480"/>
        <s v="CUST01481"/>
        <s v="CUST01482"/>
        <s v="CUST01483"/>
        <s v="CUST01484"/>
        <s v="CUST01485"/>
        <s v="CUST01486"/>
        <s v="CUST01487"/>
        <s v="CUST01488"/>
        <s v="CUST01489"/>
        <s v="CUST01490"/>
        <s v="CUST01491"/>
        <s v="CUST01492"/>
        <s v="CUST01493"/>
        <s v="CUST01494"/>
        <s v="CUST01495"/>
        <s v="CUST01496"/>
        <s v="CUST01497"/>
        <s v="CUST01498"/>
        <s v="CUST01499"/>
      </sharedItems>
    </cacheField>
    <cacheField name="Product_Line" numFmtId="0">
      <sharedItems count="5">
        <s v="Enterprise Software"/>
        <s v="AI/ML"/>
        <s v="Security"/>
        <s v="Cloud Services"/>
        <s v="Analytics"/>
      </sharedItems>
    </cacheField>
    <cacheField name="Subscription_Start_Date" numFmtId="14">
      <sharedItems containsSemiMixedTypes="0" containsNonDate="0" containsDate="1" containsString="0" minDate="2023-01-01T00:00:00" maxDate="2024-12-30T00:00:00" count="353">
        <d v="2023-10-09T00:00:00"/>
        <d v="2024-08-27T00:00:00"/>
        <d v="2023-01-28T00:00:00"/>
        <d v="2023-06-13T00:00:00"/>
        <d v="2023-04-05T00:00:00"/>
        <d v="2024-04-15T00:00:00"/>
        <d v="2024-08-14T00:00:00"/>
        <d v="2023-08-27T00:00:00"/>
        <d v="2024-01-15T00:00:00"/>
        <d v="2023-09-08T00:00:00"/>
        <d v="2024-12-02T00:00:00"/>
        <d v="2023-03-09T00:00:00"/>
        <d v="2024-04-14T00:00:00"/>
        <d v="2024-08-21T00:00:00"/>
        <d v="2023-04-04T00:00:00"/>
        <d v="2023-03-07T00:00:00"/>
        <d v="2023-04-28T00:00:00"/>
        <d v="2024-04-09T00:00:00"/>
        <d v="2024-10-02T00:00:00"/>
        <d v="2024-06-27T00:00:00"/>
        <d v="2023-09-03T00:00:00"/>
        <d v="2024-06-29T00:00:00"/>
        <d v="2024-09-13T00:00:00"/>
        <d v="2023-11-16T00:00:00"/>
        <d v="2023-08-19T00:00:00"/>
        <d v="2023-01-08T00:00:00"/>
        <d v="2024-06-10T00:00:00"/>
        <d v="2024-04-29T00:00:00"/>
        <d v="2024-03-17T00:00:00"/>
        <d v="2024-02-17T00:00:00"/>
        <d v="2023-05-24T00:00:00"/>
        <d v="2023-04-11T00:00:00"/>
        <d v="2024-02-21T00:00:00"/>
        <d v="2024-02-04T00:00:00"/>
        <d v="2024-05-13T00:00:00"/>
        <d v="2023-11-18T00:00:00"/>
        <d v="2023-03-24T00:00:00"/>
        <d v="2023-05-03T00:00:00"/>
        <d v="2024-03-05T00:00:00"/>
        <d v="2023-09-29T00:00:00"/>
        <d v="2023-05-16T00:00:00"/>
        <d v="2024-07-10T00:00:00"/>
        <d v="2023-09-28T00:00:00"/>
        <d v="2023-08-04T00:00:00"/>
        <d v="2023-09-26T00:00:00"/>
        <d v="2023-04-25T00:00:00"/>
        <d v="2023-06-01T00:00:00"/>
        <d v="2024-11-29T00:00:00"/>
        <d v="2023-06-08T00:00:00"/>
        <d v="2023-12-07T00:00:00"/>
        <d v="2023-02-09T00:00:00"/>
        <d v="2023-08-17T00:00:00"/>
        <d v="2023-12-26T00:00:00"/>
        <d v="2023-07-02T00:00:00"/>
        <d v="2024-12-26T00:00:00"/>
        <d v="2023-06-28T00:00:00"/>
        <d v="2023-04-06T00:00:00"/>
        <d v="2023-02-17T00:00:00"/>
        <d v="2024-10-06T00:00:00"/>
        <d v="2024-12-05T00:00:00"/>
        <d v="2023-02-21T00:00:00"/>
        <d v="2024-09-01T00:00:00"/>
        <d v="2024-04-01T00:00:00"/>
        <d v="2023-10-11T00:00:00"/>
        <d v="2023-10-20T00:00:00"/>
        <d v="2023-08-25T00:00:00"/>
        <d v="2024-07-09T00:00:00"/>
        <d v="2023-01-21T00:00:00"/>
        <d v="2023-01-30T00:00:00"/>
        <d v="2023-07-06T00:00:00"/>
        <d v="2024-01-24T00:00:00"/>
        <d v="2024-07-06T00:00:00"/>
        <d v="2023-09-11T00:00:00"/>
        <d v="2024-11-16T00:00:00"/>
        <d v="2024-09-12T00:00:00"/>
        <d v="2024-12-08T00:00:00"/>
        <d v="2024-09-06T00:00:00"/>
        <d v="2024-06-02T00:00:00"/>
        <d v="2024-10-12T00:00:00"/>
        <d v="2023-10-04T00:00:00"/>
        <d v="2023-11-27T00:00:00"/>
        <d v="2024-09-16T00:00:00"/>
        <d v="2023-08-06T00:00:00"/>
        <d v="2023-01-11T00:00:00"/>
        <d v="2024-07-22T00:00:00"/>
        <d v="2023-08-15T00:00:00"/>
        <d v="2024-07-20T00:00:00"/>
        <d v="2023-11-10T00:00:00"/>
        <d v="2023-07-09T00:00:00"/>
        <d v="2023-10-17T00:00:00"/>
        <d v="2023-01-15T00:00:00"/>
        <d v="2024-12-15T00:00:00"/>
        <d v="2024-05-05T00:00:00"/>
        <d v="2024-02-15T00:00:00"/>
        <d v="2023-09-12T00:00:00"/>
        <d v="2024-01-25T00:00:00"/>
        <d v="2024-09-27T00:00:00"/>
        <d v="2023-03-25T00:00:00"/>
        <d v="2024-04-06T00:00:00"/>
        <d v="2024-08-26T00:00:00"/>
        <d v="2023-06-02T00:00:00"/>
        <d v="2024-08-05T00:00:00"/>
        <d v="2023-01-22T00:00:00"/>
        <d v="2024-06-15T00:00:00"/>
        <d v="2024-04-26T00:00:00"/>
        <d v="2024-02-26T00:00:00"/>
        <d v="2023-04-01T00:00:00"/>
        <d v="2024-11-04T00:00:00"/>
        <d v="2024-09-29T00:00:00"/>
        <d v="2023-10-22T00:00:00"/>
        <d v="2024-12-27T00:00:00"/>
        <d v="2024-04-17T00:00:00"/>
        <d v="2023-10-07T00:00:00"/>
        <d v="2024-01-28T00:00:00"/>
        <d v="2024-06-03T00:00:00"/>
        <d v="2024-11-06T00:00:00"/>
        <d v="2024-07-19T00:00:00"/>
        <d v="2024-01-26T00:00:00"/>
        <d v="2023-12-06T00:00:00"/>
        <d v="2023-05-28T00:00:00"/>
        <d v="2024-12-10T00:00:00"/>
        <d v="2024-10-03T00:00:00"/>
        <d v="2024-10-08T00:00:00"/>
        <d v="2024-10-10T00:00:00"/>
        <d v="2024-09-26T00:00:00"/>
        <d v="2023-09-18T00:00:00"/>
        <d v="2023-03-17T00:00:00"/>
        <d v="2023-09-14T00:00:00"/>
        <d v="2023-01-09T00:00:00"/>
        <d v="2023-04-10T00:00:00"/>
        <d v="2024-01-09T00:00:00"/>
        <d v="2023-07-25T00:00:00"/>
        <d v="2024-05-08T00:00:00"/>
        <d v="2023-08-20T00:00:00"/>
        <d v="2024-04-20T00:00:00"/>
        <d v="2023-11-08T00:00:00"/>
        <d v="2024-11-01T00:00:00"/>
        <d v="2024-10-22T00:00:00"/>
        <d v="2024-11-09T00:00:00"/>
        <d v="2024-08-01T00:00:00"/>
        <d v="2024-09-02T00:00:00"/>
        <d v="2024-11-07T00:00:00"/>
        <d v="2023-01-17T00:00:00"/>
        <d v="2024-08-22T00:00:00"/>
        <d v="2024-06-01T00:00:00"/>
        <d v="2023-08-09T00:00:00"/>
        <d v="2023-04-08T00:00:00"/>
        <d v="2024-07-23T00:00:00"/>
        <d v="2023-02-22T00:00:00"/>
        <d v="2023-10-13T00:00:00"/>
        <d v="2024-10-20T00:00:00"/>
        <d v="2023-12-16T00:00:00"/>
        <d v="2023-02-23T00:00:00"/>
        <d v="2024-03-16T00:00:00"/>
        <d v="2024-02-09T00:00:00"/>
        <d v="2023-09-19T00:00:00"/>
        <d v="2023-05-13T00:00:00"/>
        <d v="2024-02-11T00:00:00"/>
        <d v="2024-08-12T00:00:00"/>
        <d v="2023-11-29T00:00:00"/>
        <d v="2024-03-22T00:00:00"/>
        <d v="2023-12-08T00:00:00"/>
        <d v="2023-07-18T00:00:00"/>
        <d v="2023-04-16T00:00:00"/>
        <d v="2024-10-05T00:00:00"/>
        <d v="2024-10-04T00:00:00"/>
        <d v="2024-08-28T00:00:00"/>
        <d v="2023-02-28T00:00:00"/>
        <d v="2024-09-11T00:00:00"/>
        <d v="2023-03-28T00:00:00"/>
        <d v="2024-06-20T00:00:00"/>
        <d v="2023-12-13T00:00:00"/>
        <d v="2024-11-25T00:00:00"/>
        <d v="2024-11-10T00:00:00"/>
        <d v="2024-11-17T00:00:00"/>
        <d v="2023-11-13T00:00:00"/>
        <d v="2023-05-21T00:00:00"/>
        <d v="2024-06-23T00:00:00"/>
        <d v="2023-06-16T00:00:00"/>
        <d v="2023-09-01T00:00:00"/>
        <d v="2024-04-25T00:00:00"/>
        <d v="2023-10-16T00:00:00"/>
        <d v="2023-10-19T00:00:00"/>
        <d v="2024-02-10T00:00:00"/>
        <d v="2023-11-23T00:00:00"/>
        <d v="2024-12-13T00:00:00"/>
        <d v="2023-09-20T00:00:00"/>
        <d v="2023-04-24T00:00:00"/>
        <d v="2024-10-16T00:00:00"/>
        <d v="2023-12-28T00:00:00"/>
        <d v="2024-01-05T00:00:00"/>
        <d v="2023-03-11T00:00:00"/>
        <d v="2023-02-15T00:00:00"/>
        <d v="2023-10-28T00:00:00"/>
        <d v="2023-12-14T00:00:00"/>
        <d v="2024-03-10T00:00:00"/>
        <d v="2023-12-02T00:00:00"/>
        <d v="2024-12-07T00:00:00"/>
        <d v="2024-06-09T00:00:00"/>
        <d v="2023-05-10T00:00:00"/>
        <d v="2023-06-07T00:00:00"/>
        <d v="2023-01-27T00:00:00"/>
        <d v="2023-09-24T00:00:00"/>
        <d v="2023-05-06T00:00:00"/>
        <d v="2023-10-25T00:00:00"/>
        <d v="2023-05-05T00:00:00"/>
        <d v="2024-07-21T00:00:00"/>
        <d v="2023-05-12T00:00:00"/>
        <d v="2024-06-14T00:00:00"/>
        <d v="2023-05-09T00:00:00"/>
        <d v="2024-03-02T00:00:00"/>
        <d v="2023-11-06T00:00:00"/>
        <d v="2024-03-26T00:00:00"/>
        <d v="2024-07-29T00:00:00"/>
        <d v="2023-05-25T00:00:00"/>
        <d v="2024-04-23T00:00:00"/>
        <d v="2024-04-13T00:00:00"/>
        <d v="2024-05-21T00:00:00"/>
        <d v="2023-05-18T00:00:00"/>
        <d v="2024-08-06T00:00:00"/>
        <d v="2024-09-08T00:00:00"/>
        <d v="2024-09-23T00:00:00"/>
        <d v="2024-05-16T00:00:00"/>
        <d v="2023-04-23T00:00:00"/>
        <d v="2024-08-15T00:00:00"/>
        <d v="2024-12-18T00:00:00"/>
        <d v="2024-07-28T00:00:00"/>
        <d v="2024-12-22T00:00:00"/>
        <d v="2023-02-13T00:00:00"/>
        <d v="2024-09-22T00:00:00"/>
        <d v="2024-10-15T00:00:00"/>
        <d v="2024-11-28T00:00:00"/>
        <d v="2024-10-28T00:00:00"/>
        <d v="2024-10-29T00:00:00"/>
        <d v="2024-05-22T00:00:00"/>
        <d v="2023-04-20T00:00:00"/>
        <d v="2024-05-20T00:00:00"/>
        <d v="2023-12-05T00:00:00"/>
        <d v="2023-12-12T00:00:00"/>
        <d v="2024-06-11T00:00:00"/>
        <d v="2024-11-14T00:00:00"/>
        <d v="2023-11-15T00:00:00"/>
        <d v="2024-05-04T00:00:00"/>
        <d v="2024-11-11T00:00:00"/>
        <d v="2024-06-24T00:00:00"/>
        <d v="2023-07-27T00:00:00"/>
        <d v="2024-11-27T00:00:00"/>
        <d v="2023-11-12T00:00:00"/>
        <d v="2023-03-16T00:00:00"/>
        <d v="2023-02-02T00:00:00"/>
        <d v="2024-01-27T00:00:00"/>
        <d v="2024-10-31T00:00:00"/>
        <d v="2024-06-28T00:00:00"/>
        <d v="2023-07-13T00:00:00"/>
        <d v="2023-09-04T00:00:00"/>
        <d v="2024-12-21T00:00:00"/>
        <d v="2023-08-11T00:00:00"/>
        <d v="2024-02-28T00:00:00"/>
        <d v="2024-11-26T00:00:00"/>
        <d v="2023-07-15T00:00:00"/>
        <d v="2024-08-24T00:00:00"/>
        <d v="2023-08-05T00:00:00"/>
        <d v="2023-07-29T00:00:00"/>
        <d v="2024-04-22T00:00:00"/>
        <d v="2023-02-16T00:00:00"/>
        <d v="2024-08-16T00:00:00"/>
        <d v="2024-05-15T00:00:00"/>
        <d v="2023-02-04T00:00:00"/>
        <d v="2024-10-07T00:00:00"/>
        <d v="2023-03-03T00:00:00"/>
        <d v="2023-07-16T00:00:00"/>
        <d v="2024-02-20T00:00:00"/>
        <d v="2024-10-27T00:00:00"/>
        <d v="2023-02-27T00:00:00"/>
        <d v="2023-10-05T00:00:00"/>
        <d v="2023-11-19T00:00:00"/>
        <d v="2023-11-03T00:00:00"/>
        <d v="2024-01-29T00:00:00"/>
        <d v="2023-08-22T00:00:00"/>
        <d v="2023-10-02T00:00:00"/>
        <d v="2023-01-06T00:00:00"/>
        <d v="2023-03-31T00:00:00"/>
        <d v="2023-10-26T00:00:00"/>
        <d v="2023-03-06T00:00:00"/>
        <d v="2023-09-15T00:00:00"/>
        <d v="2023-05-19T00:00:00"/>
        <d v="2023-12-09T00:00:00"/>
        <d v="2023-09-06T00:00:00"/>
        <d v="2024-08-29T00:00:00"/>
        <d v="2023-08-03T00:00:00"/>
        <d v="2024-04-04T00:00:00"/>
        <d v="2024-03-04T00:00:00"/>
        <d v="2024-08-25T00:00:00"/>
        <d v="2024-03-01T00:00:00"/>
        <d v="2023-12-18T00:00:00"/>
        <d v="2024-03-24T00:00:00"/>
        <d v="2024-04-05T00:00:00"/>
        <d v="2023-11-30T00:00:00"/>
        <d v="2023-11-17T00:00:00"/>
        <d v="2024-09-24T00:00:00"/>
        <d v="2023-05-01T00:00:00"/>
        <d v="2024-02-02T00:00:00"/>
        <d v="2023-07-11T00:00:00"/>
        <d v="2023-05-20T00:00:00"/>
        <d v="2023-08-14T00:00:00"/>
        <d v="2024-08-02T00:00:00"/>
        <d v="2023-08-12T00:00:00"/>
        <d v="2023-12-23T00:00:00"/>
        <d v="2023-03-02T00:00:00"/>
        <d v="2023-10-27T00:00:00"/>
        <d v="2024-11-23T00:00:00"/>
        <d v="2024-04-07T00:00:00"/>
        <d v="2024-01-13T00:00:00"/>
        <d v="2024-03-15T00:00:00"/>
        <d v="2023-04-12T00:00:00"/>
        <d v="2023-01-01T00:00:00"/>
        <d v="2023-10-08T00:00:00"/>
        <d v="2023-08-07T00:00:00"/>
        <d v="2023-08-23T00:00:00"/>
        <d v="2023-04-26T00:00:00"/>
        <d v="2024-02-01T00:00:00"/>
        <d v="2024-02-12T00:00:00"/>
        <d v="2024-07-03T00:00:00"/>
        <d v="2023-07-28T00:00:00"/>
        <d v="2023-01-12T00:00:00"/>
        <d v="2024-01-16T00:00:00"/>
        <d v="2023-10-06T00:00:00"/>
        <d v="2024-06-07T00:00:00"/>
        <d v="2023-01-13T00:00:00"/>
        <d v="2023-11-24T00:00:00"/>
        <d v="2024-07-13T00:00:00"/>
        <d v="2024-07-08T00:00:00"/>
        <d v="2023-11-11T00:00:00"/>
        <d v="2024-12-29T00:00:00"/>
        <d v="2024-03-21T00:00:00"/>
        <d v="2023-04-07T00:00:00"/>
        <d v="2023-07-22T00:00:00"/>
        <d v="2023-01-23T00:00:00"/>
        <d v="2023-01-31T00:00:00"/>
        <d v="2023-10-14T00:00:00"/>
        <d v="2024-10-24T00:00:00"/>
        <d v="2024-05-29T00:00:00"/>
        <d v="2023-08-31T00:00:00"/>
        <d v="2024-07-31T00:00:00"/>
        <d v="2023-02-08T00:00:00"/>
        <d v="2024-08-09T00:00:00"/>
        <d v="2023-12-22T00:00:00"/>
        <d v="2023-01-02T00:00:00"/>
        <d v="2024-03-20T00:00:00"/>
        <d v="2024-02-07T00:00:00"/>
        <d v="2024-04-21T00:00:00"/>
        <d v="2024-11-15T00:00:00"/>
        <d v="2024-06-19T00:00:00"/>
      </sharedItems>
      <fieldGroup par="21"/>
    </cacheField>
    <cacheField name="Subscription_End_Date" numFmtId="0">
      <sharedItems containsNonDate="0" containsDate="1" containsString="0" containsBlank="1" minDate="2023-06-23T00:00:00" maxDate="2026-11-13T00:00:00" count="50">
        <m/>
        <d v="2024-10-30T00:00:00"/>
        <d v="2024-10-03T00:00:00"/>
        <d v="2025-02-02T00:00:00"/>
        <d v="2025-05-05T00:00:00"/>
        <d v="2024-11-14T00:00:00"/>
        <d v="2025-04-11T00:00:00"/>
        <d v="2025-01-20T00:00:00"/>
        <d v="2024-03-31T00:00:00"/>
        <d v="2025-04-23T00:00:00"/>
        <d v="2024-08-27T00:00:00"/>
        <d v="2025-07-29T00:00:00"/>
        <d v="2024-12-15T00:00:00"/>
        <d v="2025-02-05T00:00:00"/>
        <d v="2023-10-18T00:00:00"/>
        <d v="2026-04-16T00:00:00"/>
        <d v="2025-02-27T00:00:00"/>
        <d v="2024-06-19T00:00:00"/>
        <d v="2026-02-28T00:00:00"/>
        <d v="2025-12-03T00:00:00"/>
        <d v="2025-07-02T00:00:00"/>
        <d v="2025-07-26T00:00:00"/>
        <d v="2024-03-05T00:00:00"/>
        <d v="2025-04-06T00:00:00"/>
        <d v="2025-02-08T00:00:00"/>
        <d v="2025-05-02T00:00:00"/>
        <d v="2024-11-07T00:00:00"/>
        <d v="2024-04-01T00:00:00"/>
        <d v="2024-09-03T00:00:00"/>
        <d v="2025-09-14T00:00:00"/>
        <d v="2025-09-20T00:00:00"/>
        <d v="2024-01-19T00:00:00"/>
        <d v="2024-07-18T00:00:00"/>
        <d v="2025-11-18T00:00:00"/>
        <d v="2024-05-13T00:00:00"/>
        <d v="2024-08-10T00:00:00"/>
        <d v="2026-01-22T00:00:00"/>
        <d v="2026-06-10T00:00:00"/>
        <d v="2026-11-12T00:00:00"/>
        <d v="2023-06-23T00:00:00"/>
        <d v="2024-02-01T00:00:00"/>
        <d v="2025-06-05T00:00:00"/>
        <d v="2024-04-08T00:00:00"/>
        <d v="2024-09-14T00:00:00"/>
        <d v="2025-03-10T00:00:00"/>
        <d v="2023-11-03T00:00:00"/>
        <d v="2024-11-21T00:00:00"/>
        <d v="2024-04-24T00:00:00"/>
        <d v="2024-07-31T00:00:00"/>
        <d v="2026-01-29T00:00:00"/>
      </sharedItems>
    </cacheField>
    <cacheField name="Customer_Segment" numFmtId="0">
      <sharedItems count="3">
        <s v="Enterprise"/>
        <s v="SMB"/>
        <s v="Mid-Market"/>
      </sharedItems>
    </cacheField>
    <cacheField name="Monthly_Spend" numFmtId="164">
      <sharedItems containsSemiMixedTypes="0" containsString="0" containsNumber="1" containsInteger="1" minValue="5000" maxValue="100000" count="5">
        <n v="5000"/>
        <n v="10000"/>
        <n v="20000"/>
        <n v="100000"/>
        <n v="50000"/>
      </sharedItems>
    </cacheField>
    <cacheField name="Support_Tickets" numFmtId="0">
      <sharedItems containsSemiMixedTypes="0" containsString="0" containsNumber="1" containsInteger="1" minValue="0" maxValue="50" count="51">
        <n v="43"/>
        <n v="13"/>
        <n v="28"/>
        <n v="9"/>
        <n v="38"/>
        <n v="35"/>
        <n v="42"/>
        <n v="29"/>
        <n v="40"/>
        <n v="2"/>
        <n v="41"/>
        <n v="47"/>
        <n v="14"/>
        <n v="16"/>
        <n v="7"/>
        <n v="48"/>
        <n v="23"/>
        <n v="1"/>
        <n v="5"/>
        <n v="33"/>
        <n v="4"/>
        <n v="34"/>
        <n v="12"/>
        <n v="46"/>
        <n v="15"/>
        <n v="3"/>
        <n v="27"/>
        <n v="20"/>
        <n v="19"/>
        <n v="32"/>
        <n v="0"/>
        <n v="45"/>
        <n v="49"/>
        <n v="11"/>
        <n v="17"/>
        <n v="21"/>
        <n v="6"/>
        <n v="36"/>
        <n v="26"/>
        <n v="18"/>
        <n v="25"/>
        <n v="8"/>
        <n v="44"/>
        <n v="31"/>
        <n v="37"/>
        <n v="30"/>
        <n v="10"/>
        <n v="22"/>
        <n v="24"/>
        <n v="39"/>
        <n v="50"/>
      </sharedItems>
    </cacheField>
    <cacheField name="Login_Frequency" numFmtId="0">
      <sharedItems containsSemiMixedTypes="0" containsString="0" containsNumber="1" containsInteger="1" minValue="1" maxValue="100" count="99">
        <n v="95"/>
        <n v="30"/>
        <n v="76"/>
        <n v="28"/>
        <n v="34"/>
        <n v="38"/>
        <n v="82"/>
        <n v="89"/>
        <n v="41"/>
        <n v="64"/>
        <n v="72"/>
        <n v="18"/>
        <n v="21"/>
        <n v="71"/>
        <n v="23"/>
        <n v="98"/>
        <n v="15"/>
        <n v="94"/>
        <n v="22"/>
        <n v="58"/>
        <n v="5"/>
        <n v="17"/>
        <n v="13"/>
        <n v="7"/>
        <n v="25"/>
        <n v="10"/>
        <n v="97"/>
        <n v="90"/>
        <n v="75"/>
        <n v="87"/>
        <n v="6"/>
        <n v="86"/>
        <n v="37"/>
        <n v="85"/>
        <n v="35"/>
        <n v="63"/>
        <n v="43"/>
        <n v="55"/>
        <n v="48"/>
        <n v="53"/>
        <n v="45"/>
        <n v="36"/>
        <n v="4"/>
        <n v="77"/>
        <n v="9"/>
        <n v="40"/>
        <n v="1"/>
        <n v="57"/>
        <n v="66"/>
        <n v="26"/>
        <n v="32"/>
        <n v="60"/>
        <n v="65"/>
        <n v="11"/>
        <n v="54"/>
        <n v="50"/>
        <n v="46"/>
        <n v="59"/>
        <n v="61"/>
        <n v="31"/>
        <n v="33"/>
        <n v="14"/>
        <n v="99"/>
        <n v="42"/>
        <n v="93"/>
        <n v="3"/>
        <n v="16"/>
        <n v="47"/>
        <n v="74"/>
        <n v="62"/>
        <n v="73"/>
        <n v="80"/>
        <n v="70"/>
        <n v="56"/>
        <n v="52"/>
        <n v="81"/>
        <n v="12"/>
        <n v="39"/>
        <n v="96"/>
        <n v="69"/>
        <n v="83"/>
        <n v="92"/>
        <n v="68"/>
        <n v="84"/>
        <n v="20"/>
        <n v="49"/>
        <n v="91"/>
        <n v="78"/>
        <n v="88"/>
        <n v="100"/>
        <n v="67"/>
        <n v="79"/>
        <n v="2"/>
        <n v="24"/>
        <n v="29"/>
        <n v="8"/>
        <n v="51"/>
        <n v="19"/>
        <n v="44"/>
      </sharedItems>
    </cacheField>
    <cacheField name="Status" numFmtId="0">
      <sharedItems count="3">
        <s v="Active"/>
        <s v="At-Risk"/>
        <s v="Churned"/>
      </sharedItems>
    </cacheField>
    <cacheField name="Is_Churned" numFmtId="0">
      <sharedItems containsSemiMixedTypes="0" containsString="0" containsNumber="1" containsInteger="1" minValue="0" maxValue="1" count="2">
        <n v="0"/>
        <n v="1"/>
      </sharedItems>
    </cacheField>
    <cacheField name="Norm. Login" numFmtId="0">
      <sharedItems containsSemiMixedTypes="0" containsString="0" containsNumber="1" minValue="0" maxValue="1" count="99">
        <n v="0.9494949494949495"/>
        <n v="0.29292929292929293"/>
        <n v="0.75757575757575757"/>
        <n v="0.27272727272727271"/>
        <n v="0.33333333333333331"/>
        <n v="0.37373737373737376"/>
        <n v="0.81818181818181823"/>
        <n v="0.88888888888888884"/>
        <n v="0.40404040404040403"/>
        <n v="0.63636363636363635"/>
        <n v="0.71717171717171713"/>
        <n v="0.17171717171717171"/>
        <n v="0.20202020202020202"/>
        <n v="0.70707070707070707"/>
        <n v="0.22222222222222221"/>
        <n v="0.97979797979797978"/>
        <n v="0.14141414141414141"/>
        <n v="0.93939393939393945"/>
        <n v="0.21212121212121213"/>
        <n v="0.5757575757575758"/>
        <n v="4.0404040404040407E-2"/>
        <n v="0.16161616161616163"/>
        <n v="0.12121212121212122"/>
        <n v="6.0606060606060608E-2"/>
        <n v="0.24242424242424243"/>
        <n v="9.0909090909090912E-2"/>
        <n v="0.96969696969696972"/>
        <n v="0.89898989898989901"/>
        <n v="0.74747474747474751"/>
        <n v="0.86868686868686873"/>
        <n v="5.0505050505050504E-2"/>
        <n v="0.85858585858585856"/>
        <n v="0.36363636363636365"/>
        <n v="0.84848484848484851"/>
        <n v="0.34343434343434343"/>
        <n v="0.6262626262626263"/>
        <n v="0.42424242424242425"/>
        <n v="0.54545454545454541"/>
        <n v="0.47474747474747475"/>
        <n v="0.5252525252525253"/>
        <n v="0.44444444444444442"/>
        <n v="0.35353535353535354"/>
        <n v="3.0303030303030304E-2"/>
        <n v="0.76767676767676762"/>
        <n v="8.0808080808080815E-2"/>
        <n v="0.39393939393939392"/>
        <n v="0"/>
        <n v="0.56565656565656564"/>
        <n v="0.65656565656565657"/>
        <n v="0.25252525252525254"/>
        <n v="0.31313131313131315"/>
        <n v="0.59595959595959591"/>
        <n v="0.64646464646464652"/>
        <n v="0.10101010101010101"/>
        <n v="0.53535353535353536"/>
        <n v="0.49494949494949497"/>
        <n v="0.45454545454545453"/>
        <n v="0.58585858585858586"/>
        <n v="0.60606060606060608"/>
        <n v="0.30303030303030304"/>
        <n v="0.32323232323232326"/>
        <n v="0.13131313131313133"/>
        <n v="0.98989898989898994"/>
        <n v="0.41414141414141414"/>
        <n v="0.92929292929292928"/>
        <n v="2.0202020202020204E-2"/>
        <n v="0.15151515151515152"/>
        <n v="0.46464646464646464"/>
        <n v="0.73737373737373735"/>
        <n v="0.61616161616161613"/>
        <n v="0.72727272727272729"/>
        <n v="0.79797979797979801"/>
        <n v="0.69696969696969702"/>
        <n v="0.55555555555555558"/>
        <n v="0.51515151515151514"/>
        <n v="0.80808080808080807"/>
        <n v="0.1111111111111111"/>
        <n v="0.38383838383838381"/>
        <n v="0.95959595959595956"/>
        <n v="0.68686868686868685"/>
        <n v="0.82828282828282829"/>
        <n v="0.91919191919191923"/>
        <n v="0.6767676767676768"/>
        <n v="0.83838383838383834"/>
        <n v="0.19191919191919191"/>
        <n v="0.48484848484848486"/>
        <n v="0.90909090909090906"/>
        <n v="0.77777777777777779"/>
        <n v="0.87878787878787878"/>
        <n v="1"/>
        <n v="0.66666666666666663"/>
        <n v="0.78787878787878785"/>
        <n v="1.0101010101010102E-2"/>
        <n v="0.23232323232323232"/>
        <n v="0.28282828282828282"/>
        <n v="7.0707070707070704E-2"/>
        <n v="0.50505050505050508"/>
        <n v="0.18181818181818182"/>
        <n v="0.43434343434343436"/>
      </sharedItems>
    </cacheField>
    <cacheField name="Norm. Support" numFmtId="0">
      <sharedItems containsSemiMixedTypes="0" containsString="0" containsNumber="1" minValue="0" maxValue="1" count="51">
        <n v="0.14000000000000001"/>
        <n v="0.74"/>
        <n v="0.43999999999999995"/>
        <n v="0.82000000000000006"/>
        <n v="0.24"/>
        <n v="0.30000000000000004"/>
        <n v="0.16000000000000003"/>
        <n v="0.42000000000000004"/>
        <n v="0.19999999999999996"/>
        <n v="0.96"/>
        <n v="0.18000000000000005"/>
        <n v="6.0000000000000053E-2"/>
        <n v="0.72"/>
        <n v="0.67999999999999994"/>
        <n v="0.86"/>
        <n v="4.0000000000000036E-2"/>
        <n v="0.54"/>
        <n v="0.98"/>
        <n v="0.9"/>
        <n v="0.33999999999999997"/>
        <n v="0.92"/>
        <n v="0.31999999999999995"/>
        <n v="0.76"/>
        <n v="7.999999999999996E-2"/>
        <n v="0.7"/>
        <n v="0.94"/>
        <n v="0.45999999999999996"/>
        <n v="0.6"/>
        <n v="0.62"/>
        <n v="0.36"/>
        <n v="1"/>
        <n v="9.9999999999999978E-2"/>
        <n v="2.0000000000000018E-2"/>
        <n v="0.78"/>
        <n v="0.65999999999999992"/>
        <n v="0.58000000000000007"/>
        <n v="0.88"/>
        <n v="0.28000000000000003"/>
        <n v="0.48"/>
        <n v="0.64"/>
        <n v="0.5"/>
        <n v="0.84"/>
        <n v="0.12"/>
        <n v="0.38"/>
        <n v="0.26"/>
        <n v="0.4"/>
        <n v="0.8"/>
        <n v="0.56000000000000005"/>
        <n v="0.52"/>
        <n v="0.21999999999999997"/>
        <n v="0"/>
      </sharedItems>
    </cacheField>
    <cacheField name="Norm. Spend" numFmtId="0">
      <sharedItems containsSemiMixedTypes="0" containsString="0" containsNumber="1" minValue="0" maxValue="1" count="5">
        <n v="0"/>
        <n v="5.2631578947368418E-2"/>
        <n v="0.15789473684210525"/>
        <n v="1"/>
        <n v="0.47368421052631576"/>
      </sharedItems>
    </cacheField>
    <cacheField name="Health Score" numFmtId="0">
      <sharedItems containsSemiMixedTypes="0" containsString="0" containsNumber="1" minValue="1.606060606060607E-2" maxValue="0.94393939393939397" count="484">
        <n v="0.25989898989898991"/>
        <n v="0.42858585858585857"/>
        <n v="0.37151515151515146"/>
        <n v="0.46454545454545459"/>
        <n v="0.18666666666666665"/>
        <n v="0.22474747474747478"/>
        <n v="0.13858585858585859"/>
        <n v="0.37363636363636366"/>
        <n v="0.28363636363636369"/>
        <n v="0.57777777777777772"/>
        <n v="0.56080808080808076"/>
        <n v="0.21727272727272731"/>
        <n v="0.47343434343434343"/>
        <n v="0.39434343434343433"/>
        <n v="0.14040404040404039"/>
        <n v="0.48141414141414141"/>
        <n v="0.50474747474747472"/>
        <n v="0.36444444444444446"/>
        <n v="0.46595959595959602"/>
        <n v="0.51828282828282823"/>
        <n v="0.93787878787878798"/>
        <n v="0.19242424242424244"/>
        <n v="0.20787878787878791"/>
        <n v="0.28515151515151516"/>
        <n v="0.2085858585858586"/>
        <n v="0.4680808080808081"/>
        <n v="0.19232323232323231"/>
        <n v="0.40424242424242424"/>
        <n v="5.2121212121212103E-2"/>
        <n v="0.42848484848484847"/>
        <n v="0.36818181818181817"/>
        <n v="0.94393939393939397"/>
        <n v="0.51242424242424245"/>
        <n v="0.40979797979797983"/>
        <n v="0.91949494949494948"/>
        <n v="0.2104040404040404"/>
        <n v="0.63373737373737371"/>
        <n v="0.13010101010101011"/>
        <n v="0.54171717171717171"/>
        <n v="0.49393939393939396"/>
        <n v="0.21454545454545451"/>
        <n v="0.34272727272727277"/>
        <n v="0.47969696969696973"/>
        <n v="0.47868686868686872"/>
        <n v="0.30525252525252522"/>
        <n v="0.58484848484848484"/>
        <n v="0.45909090909090905"/>
        <n v="0.57494949494949488"/>
        <n v="0.28010101010101013"/>
        <n v="0.15343434343434345"/>
        <n v="0.49505050505050507"/>
        <n v="0.37040404040404035"/>
        <n v="0.29888888888888893"/>
        <n v="0.6607070707070708"/>
        <n v="0.29606060606060608"/>
        <n v="0.59353535353535358"/>
        <n v="0.18848484848484851"/>
        <n v="0.24616161616161614"/>
        <n v="0.25878787878787879"/>
        <n v="0.4117171717171717"/>
        <n v="0.15000000000000002"/>
        <n v="0.33313131313131311"/>
        <n v="0.45131313131313133"/>
        <n v="0.41050505050505048"/>
        <n v="2.8181818181818193E-2"/>
        <n v="0.31262626262626264"/>
        <n v="0.70444444444444443"/>
        <n v="0.53919191919191922"/>
        <n v="0.1692929292929293"/>
        <n v="0.53393939393939394"/>
        <n v="0.4431313131313131"/>
        <n v="0.18020202020202017"/>
        <n v="0.56707070707070706"/>
        <n v="0.33898989898989901"/>
        <n v="0.59090909090909094"/>
        <n v="0.42868686868686867"/>
        <n v="0.24232323232323236"/>
        <n v="0.1990909090909091"/>
        <n v="0.78717171717171719"/>
        <n v="0.57121212121212128"/>
        <n v="0.40616161616161617"/>
        <n v="0.47060606060606064"/>
        <n v="0.12464646464646466"/>
        <n v="0.33626262626262626"/>
        <n v="0.1005050505050505"/>
        <n v="0.25797979797979798"/>
        <n v="0.26909090909090905"/>
        <n v="0.21626262626262627"/>
        <n v="0.27444444444444444"/>
        <n v="0.41787878787878785"/>
        <n v="0.28262626262626261"/>
        <n v="0.27282828282828286"/>
        <n v="0.48353535353535348"/>
        <n v="0.53585858585858581"/>
        <n v="0.22404040404040401"/>
        <n v="0.22949494949494953"/>
        <n v="0.38090909090909097"/>
        <n v="0.33030303030303032"/>
        <n v="0.49151515151515152"/>
        <n v="0.4529292929292929"/>
        <n v="0.49212121212121213"/>
        <n v="0.64747474747474754"/>
        <n v="0.46323232323232322"/>
        <n v="0.55545454545454553"/>
        <n v="0.27959595959595962"/>
        <n v="0.23909090909090908"/>
        <n v="0.45454545454545453"/>
        <n v="0.80040404040404045"/>
        <n v="0.53858585858585861"/>
        <n v="0.12858585858585858"/>
        <n v="0.56939393939393934"/>
        <n v="0.38777777777777778"/>
        <n v="0.60353535353535359"/>
        <n v="0.53373737373737373"/>
        <n v="0.67595959595959598"/>
        <n v="0.24111111111111111"/>
        <n v="0.10626262626262628"/>
        <n v="0.16141414141414143"/>
        <n v="0.11303030303030304"/>
        <n v="0.51848484848484844"/>
        <n v="0.43868686868686868"/>
        <n v="0.65161616161616165"/>
        <n v="0.26222222222222219"/>
        <n v="0.12474747474747475"/>
        <n v="0.46717171717171713"/>
        <n v="0.52797979797979799"/>
        <n v="0.11676767676767674"/>
        <n v="0.28323232323232322"/>
        <n v="0.34848484848484851"/>
        <n v="0.49191919191919192"/>
        <n v="0.51232323232323229"/>
        <n v="0.28717171717171719"/>
        <n v="0.26666666666666666"/>
        <n v="0.20737373737373738"/>
        <n v="0.63959595959595961"/>
        <n v="5.2222222222222253E-2"/>
        <n v="0.57777777777777783"/>
        <n v="0.37494949494949498"/>
        <n v="0.41020202020202023"/>
        <n v="0.46858585858585861"/>
        <n v="0.49373737373737375"/>
        <n v="0.47363636363636363"/>
        <n v="0.38323232323232326"/>
        <n v="0.65969696969696967"/>
        <n v="0.15727272727272731"/>
        <n v="0.17464646464646466"/>
        <n v="0.11313131313131314"/>
        <n v="0.24868686868686868"/>
        <n v="0.54919191919191923"/>
        <n v="0.29222222222222222"/>
        <n v="0.26191919191919194"/>
        <n v="0.52565656565656571"/>
        <n v="0.46434343434343434"/>
        <n v="0.48737373737373735"/>
        <n v="0.21787878787878792"/>
        <n v="0.61070707070707075"/>
        <n v="0.29424242424242425"/>
        <n v="0.41030303030303028"/>
        <n v="8.4848484848484854E-2"/>
        <n v="0.52464646464646458"/>
        <n v="0.34060606060606063"/>
        <n v="0.13707070707070712"/>
        <n v="0.15626262626262627"/>
        <n v="0.4271717171717172"/>
        <n v="0.37383838383838386"/>
        <n v="0.4907070707070707"/>
        <n v="0.25535353535353533"/>
        <n v="0.25767676767676773"/>
        <n v="0.40717171717171718"/>
        <n v="0.30838383838383843"/>
        <n v="0.63191919191919199"/>
        <n v="0.33090909090909093"/>
        <n v="0.58747474747474748"/>
        <n v="0.4234343434343435"/>
        <n v="0.16959595959595963"/>
        <n v="0.4586868686868687"/>
        <n v="0.48303030303030303"/>
        <n v="0.46696969696969698"/>
        <n v="0.15545454545454548"/>
        <n v="0.15131313131313134"/>
        <n v="0.15878787878787881"/>
        <n v="0.44676767676767676"/>
        <n v="0.38191919191919194"/>
        <n v="0.32171717171717173"/>
        <n v="0.60717171717171714"/>
        <n v="0.34828282828282831"/>
        <n v="0.56111111111111112"/>
        <n v="0.50191919191919188"/>
        <n v="0.12828282828282828"/>
        <n v="0.20565656565656565"/>
        <n v="0.15838383838383838"/>
        <n v="0.25363636363636366"/>
        <n v="0.31313131313131315"/>
        <n v="0.72919191919191917"/>
        <n v="0.11222222222222225"/>
        <n v="0.30767676767676766"/>
        <n v="0.24626262626262624"/>
        <n v="0.53181818181818175"/>
        <n v="0.54484848484848492"/>
        <n v="0.49484848484848487"/>
        <n v="0.56979797979797975"/>
        <n v="0.24696969696969701"/>
        <n v="0.27292929292929291"/>
        <n v="0.13525252525252526"/>
        <n v="0.37797979797979797"/>
        <n v="0.8735353535353535"/>
        <n v="0.58505050505050504"/>
        <n v="0.49737373737373736"/>
        <n v="0.21747474747474749"/>
        <n v="0.53555555555555556"/>
        <n v="0.62383838383838386"/>
        <n v="0.3513131313131313"/>
        <n v="0.28606060606060607"/>
        <n v="0.54494949494949496"/>
        <n v="0.42808080808080806"/>
        <n v="0.10999999999999999"/>
        <n v="0.19555555555555554"/>
        <n v="0.44212121212121214"/>
        <n v="0.55727272727272725"/>
        <n v="0.42909090909090908"/>
        <n v="0.25171717171717173"/>
        <n v="0.60929292929292922"/>
        <n v="0.33464646464646469"/>
        <n v="0.22393939393939399"/>
        <n v="0.18575757575757579"/>
        <n v="0.25"/>
        <n v="0.37878787878787878"/>
        <n v="0.41090909090909089"/>
        <n v="0.44191919191919193"/>
        <n v="0.40333333333333332"/>
        <n v="0.40282828282828287"/>
        <n v="0.30383838383838385"/>
        <n v="0.13090909090909089"/>
        <n v="0.24363636363636368"/>
        <n v="0.56555555555555559"/>
        <n v="0.40545454545454551"/>
        <n v="0.41595959595959597"/>
        <n v="0.16070707070707074"/>
        <n v="0.40343434343434348"/>
        <n v="0.49777777777777776"/>
        <n v="0.57383838383838381"/>
        <n v="6.6161616161616157E-2"/>
        <n v="9.2929292929292931E-2"/>
        <n v="0.12727272727272729"/>
        <n v="0.57757575757575763"/>
        <n v="0.43797979797979802"/>
        <n v="0.63919191919191909"/>
        <n v="0.35929292929292933"/>
        <n v="0.48181818181818181"/>
        <n v="0.5436363636363637"/>
        <n v="0.13242424242424244"/>
        <n v="0.73545454545454547"/>
        <n v="0.80767676767676766"/>
        <n v="0.23939393939393938"/>
        <n v="0.22818181818181821"/>
        <n v="0.44555555555555559"/>
        <n v="0.61595959595959593"/>
        <n v="0.79868686868686867"/>
        <n v="0.21707070707070708"/>
        <n v="6.0404040404040425E-2"/>
        <n v="0.51222222222222225"/>
        <n v="0.29212121212121217"/>
        <n v="0.16202020202020201"/>
        <n v="0.33818181818181819"/>
        <n v="0.2275757575757576"/>
        <n v="0.46393939393939398"/>
        <n v="0.51434343434343432"/>
        <n v="0.19080808080808082"/>
        <n v="0.41929292929292938"/>
        <n v="0.58494949494949489"/>
        <n v="0.24121212121212121"/>
        <n v="0.24242424242424243"/>
        <n v="0.13262626262626265"/>
        <n v="0.70707070707070707"/>
        <n v="8.4343434343434331E-2"/>
        <n v="0.34080808080808084"/>
        <n v="0.23323232323232324"/>
        <n v="8.2727272727272746E-2"/>
        <n v="0.33585858585858586"/>
        <n v="0.47797979797979806"/>
        <n v="0.38767676767676762"/>
        <n v="0.12868686868686868"/>
        <n v="0.64171717171717169"/>
        <n v="0.47383838383838389"/>
        <n v="0.50505050505050508"/>
        <n v="0.48565656565656568"/>
        <n v="0.28444444444444444"/>
        <n v="0.57676767676767682"/>
        <n v="0.37565656565656569"/>
        <n v="0.27868686868686871"/>
        <n v="9.6464646464646447E-2"/>
        <n v="0.27363636363636368"/>
        <n v="0.42434343434343436"/>
        <n v="0.71393939393939387"/>
        <n v="0.18292929292929294"/>
        <n v="0.42575757575757578"/>
        <n v="0.16656565656565656"/>
        <n v="0.20141414141414141"/>
        <n v="2.0202020202020204E-2"/>
        <n v="0.44414141414141411"/>
        <n v="0.43333333333333335"/>
        <n v="0.29515151515151516"/>
        <n v="0.61343434343434344"/>
        <n v="0.69191919191919193"/>
        <n v="0.47414141414141409"/>
        <n v="0.17565656565656568"/>
        <n v="0.62575757575757573"/>
        <n v="0.26101010101010103"/>
        <n v="0.38373737373737377"/>
        <n v="0.18707070707070711"/>
        <n v="0.59515151515151521"/>
        <n v="0.36313131313131314"/>
        <n v="0.25474747474747472"/>
        <n v="0.34636363636363637"/>
        <n v="0.31989898989898991"/>
        <n v="0.4456565656565657"/>
        <n v="0.40696969696969698"/>
        <n v="8.6363636363636365E-2"/>
        <n v="0.20434343434343433"/>
        <n v="0.43010101010101009"/>
        <n v="0.45484848484848484"/>
        <n v="0.52979797979797982"/>
        <n v="0.5"/>
        <n v="0.43292929292929289"/>
        <n v="0.76494949494949493"/>
        <n v="0.55666666666666664"/>
        <n v="0.46484848484848484"/>
        <n v="0.2657575757575758"/>
        <n v="0.58787878787878789"/>
        <n v="0.32565656565656564"/>
        <n v="2.0000000000000018E-2"/>
        <n v="0.49929292929292934"/>
        <n v="0.49"/>
        <n v="0.53272727272727272"/>
        <n v="0.57535353535353539"/>
        <n v="0.43101010101010095"/>
        <n v="0.48575757575757578"/>
        <n v="0.35696969696969699"/>
        <n v="0.30111111111111111"/>
        <n v="0.54777777777777781"/>
        <n v="0.60545454545454547"/>
        <n v="0.90393939393939404"/>
        <n v="0.43373737373737375"/>
        <n v="0.37191919191919193"/>
        <n v="0.31797979797979803"/>
        <n v="0.16868686868686866"/>
        <n v="0.56575757575757579"/>
        <n v="0.83383838383838382"/>
        <n v="0.39292929292929291"/>
        <n v="8.8686868686868703E-2"/>
        <n v="0.28131313131313135"/>
        <n v="0.20282828282828283"/>
        <n v="0.49747474747474746"/>
        <n v="0.37868686868686868"/>
        <n v="0.43323232323232325"/>
        <n v="0.16050505050505048"/>
        <n v="0.20696969696969697"/>
        <n v="0.45555555555555555"/>
        <n v="0.50989898989898985"/>
        <n v="0.29828282828282832"/>
        <n v="0.67787878787878786"/>
        <n v="0.10505050505050506"/>
        <n v="0.15909090909090906"/>
        <n v="0.38737373737373737"/>
        <n v="0.24757575757575762"/>
        <n v="0.11111111111111112"/>
        <n v="0.37101010101010101"/>
        <n v="0.61323232323232324"/>
        <n v="7.6363636363636356E-2"/>
        <n v="0.28888888888888892"/>
        <n v="0.53676767676767678"/>
        <n v="0.41242424242424242"/>
        <n v="0.34919191919191916"/>
        <n v="0.67989898989898989"/>
        <n v="0.10454545454545452"/>
        <n v="0.57737373737373732"/>
        <n v="0.20525252525252527"/>
        <n v="0.51888888888888884"/>
        <n v="0.1502020202020202"/>
        <n v="0.44777777777777783"/>
        <n v="0.36909090909090908"/>
        <n v="0.5252525252525253"/>
        <n v="0.56090909090909091"/>
        <n v="0.3476767676767677"/>
        <n v="0.42020202020202024"/>
        <n v="0.23272727272727273"/>
        <n v="0.20828282828282829"/>
        <n v="3.0101010101010121E-2"/>
        <n v="0.31808080808080808"/>
        <n v="0.63"/>
        <n v="0.14434343434343433"/>
        <n v="0.2024242424242424"/>
        <n v="9.4242424242424253E-2"/>
        <n v="0.38636363636363635"/>
        <n v="0.67191919191919192"/>
        <n v="0.13"/>
        <n v="0.13737373737373737"/>
        <n v="0.37272727272727274"/>
        <n v="0.565959595959596"/>
        <n v="0.47040404040404038"/>
        <n v="9.2323232323232335E-2"/>
        <n v="0.49333333333333329"/>
        <n v="0.39494949494949494"/>
        <n v="0.59535353535353541"/>
        <n v="9.4545454545454516E-2"/>
        <n v="0.47434343434343434"/>
        <n v="3.4343434343434343E-2"/>
        <n v="0.60585858585858587"/>
        <n v="0.80333333333333334"/>
        <n v="6.0606060606060608E-2"/>
        <n v="0.59292929292929297"/>
        <n v="0.33575757575757575"/>
        <n v="0.69454545454545458"/>
        <n v="0.16303030303030303"/>
        <n v="0.52878787878787881"/>
        <n v="0.40101010101010104"/>
        <n v="0.1711111111111111"/>
        <n v="0.36757575757575761"/>
        <n v="0.68181818181818188"/>
        <n v="0.65585858585858592"/>
        <n v="1.606060606060607E-2"/>
        <n v="0.11818181818181817"/>
        <n v="0.49494949494949497"/>
        <n v="0.16131313131313135"/>
        <n v="0.29838383838383842"/>
        <n v="0.36262626262626263"/>
        <n v="0.30030303030303029"/>
        <n v="0.56616161616161609"/>
        <n v="0.32050505050505051"/>
        <n v="0.42151515151515151"/>
        <n v="0.60505050505050506"/>
        <n v="0.695959595959596"/>
        <n v="0.66525252525252521"/>
        <n v="0.27505050505050505"/>
        <n v="0.61151515151515157"/>
        <n v="0.38666666666666666"/>
        <n v="0.28868686868686866"/>
        <n v="0.48242424242424242"/>
        <n v="0.29878787878787877"/>
        <n v="0.83454545454545448"/>
        <n v="0.19212121212121211"/>
        <n v="0.641919191919192"/>
        <n v="0.51414141414141412"/>
        <n v="0.2815151515151515"/>
        <n v="0.44222222222222218"/>
        <n v="0.25111111111111112"/>
        <n v="0.33454545454545459"/>
        <n v="0.26959595959595961"/>
        <n v="0.21414141414141416"/>
        <n v="0.51161616161616164"/>
        <n v="0.2852525252525252"/>
        <n v="0.57080808080808076"/>
        <n v="0.3353535353535354"/>
        <n v="0.14060606060606062"/>
        <n v="0.35090909090909095"/>
        <n v="0.67181818181818187"/>
        <n v="0.53878787878787882"/>
        <n v="0.66404040404040399"/>
        <n v="0.3382828282828283"/>
        <n v="0.52686868686868693"/>
        <n v="0.17080808080808085"/>
        <n v="0.23151515151515153"/>
        <n v="0.57787878787878788"/>
        <n v="0.20080808080808082"/>
        <n v="0.48191919191919197"/>
        <n v="0.2217171717171717"/>
        <n v="0.3446464646464647"/>
        <n v="0.80505050505050502"/>
        <n v="0.14747474747474748"/>
        <n v="5.8181818181818168E-2"/>
        <n v="0.39767676767676763"/>
        <n v="0.7184848484848485"/>
        <n v="0.37060606060606061"/>
        <n v="0.56292929292929295"/>
        <n v="0.44606060606060605"/>
        <n v="0.50878787878787879"/>
        <n v="0.22939393939393943"/>
        <n v="0.23010101010101008"/>
        <n v="0.50838383838383838"/>
        <n v="0.50141414141414142"/>
        <n v="0.47121212121212119"/>
        <n v="0.27333333333333332"/>
        <n v="0.75454545454545463"/>
        <n v="0.13636363636363635"/>
      </sharedItems>
    </cacheField>
    <cacheField name="Health Status" numFmtId="0">
      <sharedItems count="3">
        <s v="At-Risk"/>
        <s v="Churned"/>
        <s v="Healthy"/>
      </sharedItems>
    </cacheField>
    <cacheField name="Retention Status" numFmtId="0">
      <sharedItems containsSemiMixedTypes="0" containsString="0" containsNumber="1" containsInteger="1" minValue="0" maxValue="1" count="2">
        <n v="1"/>
        <n v="0"/>
      </sharedItems>
    </cacheField>
    <cacheField name="Status2" numFmtId="0">
      <sharedItems count="2">
        <s v="Active"/>
        <s v="Churned"/>
      </sharedItems>
    </cacheField>
    <cacheField name="Customer Lifetime(Months)" numFmtId="0">
      <sharedItems containsSemiMixedTypes="0" containsString="0" containsNumber="1" containsInteger="1" minValue="1" maxValue="33" count="32">
        <n v="24"/>
        <n v="14"/>
        <n v="33"/>
        <n v="28"/>
        <n v="30"/>
        <n v="18"/>
        <n v="26"/>
        <n v="21"/>
        <n v="13"/>
        <n v="10"/>
        <n v="31"/>
        <n v="5"/>
        <n v="9"/>
        <n v="12"/>
        <n v="16"/>
        <n v="20"/>
        <n v="23"/>
        <n v="19"/>
        <n v="29"/>
        <n v="25"/>
        <n v="15"/>
        <n v="11"/>
        <n v="22"/>
        <n v="32"/>
        <n v="7"/>
        <n v="27"/>
        <n v="4"/>
        <n v="17"/>
        <n v="6"/>
        <n v="1"/>
        <n v="3"/>
        <n v="8"/>
      </sharedItems>
    </cacheField>
    <cacheField name="Customer LTV" numFmtId="0">
      <sharedItems containsSemiMixedTypes="0" containsString="0" containsNumber="1" containsInteger="1" minValue="15000" maxValue="3300000" count="98">
        <n v="120000"/>
        <n v="70000"/>
        <n v="330000"/>
        <n v="560000"/>
        <n v="600000"/>
        <n v="90000"/>
        <n v="520000"/>
        <n v="105000"/>
        <n v="260000"/>
        <n v="100000"/>
        <n v="310000"/>
        <n v="50000"/>
        <n v="280000"/>
        <n v="300000"/>
        <n v="3100000"/>
        <n v="900000"/>
        <n v="800000"/>
        <n v="1300000"/>
        <n v="1150000"/>
        <n v="2600000"/>
        <n v="160000"/>
        <n v="950000"/>
        <n v="200000"/>
        <n v="1450000"/>
        <n v="95000"/>
        <n v="1000000"/>
        <n v="400000"/>
        <n v="2300000"/>
        <n v="2900000"/>
        <n v="380000"/>
        <n v="1250000"/>
        <n v="290000"/>
        <n v="1500000"/>
        <n v="2500000"/>
        <n v="150000"/>
        <n v="3000000"/>
        <n v="220000"/>
        <n v="320000"/>
        <n v="350000"/>
        <n v="2200000"/>
        <n v="135000"/>
        <n v="460000"/>
        <n v="1400000"/>
        <n v="3200000"/>
        <n v="1600000"/>
        <n v="240000"/>
        <n v="480000"/>
        <n v="1650000"/>
        <n v="165000"/>
        <n v="420000"/>
        <n v="550000"/>
        <n v="130000"/>
        <n v="1200000"/>
        <n v="65000"/>
        <n v="750000"/>
        <n v="230000"/>
        <n v="340000"/>
        <n v="660000"/>
        <n v="85000"/>
        <n v="40000"/>
        <n v="360000"/>
        <n v="700000"/>
        <n v="140000"/>
        <n v="115000"/>
        <n v="3300000"/>
        <n v="1050000"/>
        <n v="110000"/>
        <n v="145000"/>
        <n v="640000"/>
        <n v="250000"/>
        <n v="2700000"/>
        <n v="500000"/>
        <n v="1800000"/>
        <n v="1700000"/>
        <n v="210000"/>
        <n v="55000"/>
        <n v="155000"/>
        <n v="80000"/>
        <n v="75000"/>
        <n v="2400000"/>
        <n v="60000"/>
        <n v="440000"/>
        <n v="1900000"/>
        <n v="125000"/>
        <n v="540000"/>
        <n v="1100000"/>
        <n v="580000"/>
        <n v="2100000"/>
        <n v="190000"/>
        <n v="450000"/>
        <n v="850000"/>
        <n v="270000"/>
        <n v="2000000"/>
        <n v="1550000"/>
        <n v="2800000"/>
        <n v="15000"/>
        <n v="180000"/>
        <n v="170000"/>
      </sharedItems>
    </cacheField>
    <cacheField name="Months (Subscription_Start_Date)" numFmtId="0" databaseField="0">
      <fieldGroup base="2">
        <rangePr groupBy="months" startDate="2023-01-01T00:00:00" endDate="2024-12-30T00:00:00"/>
        <groupItems count="14">
          <s v="&lt;1/1/2023"/>
          <s v="Jan"/>
          <s v="Feb"/>
          <s v="Mar"/>
          <s v="Apr"/>
          <s v="May"/>
          <s v="Jun"/>
          <s v="Jul"/>
          <s v="Aug"/>
          <s v="Sep"/>
          <s v="Oct"/>
          <s v="Nov"/>
          <s v="Dec"/>
          <s v="&gt;12/30/2024"/>
        </groupItems>
      </fieldGroup>
    </cacheField>
    <cacheField name="Quarters (Subscription_Start_Date)" numFmtId="0" databaseField="0">
      <fieldGroup base="2">
        <rangePr groupBy="quarters" startDate="2023-01-01T00:00:00" endDate="2024-12-30T00:00:00"/>
        <groupItems count="6">
          <s v="&lt;1/1/2023"/>
          <s v="Qtr1"/>
          <s v="Qtr2"/>
          <s v="Qtr3"/>
          <s v="Qtr4"/>
          <s v="&gt;12/30/2024"/>
        </groupItems>
      </fieldGroup>
    </cacheField>
    <cacheField name="Years (Subscription_Start_Date)" numFmtId="0" databaseField="0">
      <fieldGroup base="2">
        <rangePr groupBy="years" startDate="2023-01-01T00:00:00" endDate="2024-12-30T00:00:00"/>
        <groupItems count="4">
          <s v="&lt;1/1/2023"/>
          <s v="2023"/>
          <s v="2024"/>
          <s v="&gt;12/30/2024"/>
        </groupItems>
      </fieldGroup>
    </cacheField>
    <cacheField name="Churn rate" numFmtId="0" formula="Is_Churned /Customer_Segment" databaseField="0"/>
  </cacheFields>
  <extLst>
    <ext xmlns:x14="http://schemas.microsoft.com/office/spreadsheetml/2009/9/main" uri="{725AE2AE-9491-48be-B2B4-4EB974FC3084}">
      <x14:pivotCacheDefinition pivotCacheId="5696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x v="0"/>
    <x v="0"/>
    <x v="0"/>
    <x v="0"/>
    <x v="0"/>
    <x v="0"/>
    <x v="0"/>
    <x v="0"/>
    <x v="0"/>
    <x v="0"/>
    <x v="0"/>
    <x v="0"/>
    <x v="0"/>
  </r>
  <r>
    <x v="1"/>
    <x v="1"/>
    <x v="1"/>
    <x v="0"/>
    <x v="0"/>
    <x v="0"/>
    <x v="1"/>
    <x v="1"/>
    <x v="0"/>
    <x v="0"/>
    <x v="1"/>
    <x v="1"/>
    <x v="0"/>
    <x v="1"/>
    <x v="0"/>
    <x v="0"/>
    <x v="0"/>
    <x v="1"/>
    <x v="1"/>
  </r>
  <r>
    <x v="2"/>
    <x v="1"/>
    <x v="2"/>
    <x v="0"/>
    <x v="1"/>
    <x v="1"/>
    <x v="2"/>
    <x v="2"/>
    <x v="1"/>
    <x v="0"/>
    <x v="2"/>
    <x v="2"/>
    <x v="1"/>
    <x v="2"/>
    <x v="0"/>
    <x v="0"/>
    <x v="0"/>
    <x v="2"/>
    <x v="2"/>
  </r>
  <r>
    <x v="3"/>
    <x v="2"/>
    <x v="3"/>
    <x v="0"/>
    <x v="0"/>
    <x v="2"/>
    <x v="3"/>
    <x v="3"/>
    <x v="1"/>
    <x v="0"/>
    <x v="3"/>
    <x v="3"/>
    <x v="2"/>
    <x v="3"/>
    <x v="0"/>
    <x v="0"/>
    <x v="0"/>
    <x v="3"/>
    <x v="3"/>
  </r>
  <r>
    <x v="4"/>
    <x v="2"/>
    <x v="4"/>
    <x v="0"/>
    <x v="0"/>
    <x v="2"/>
    <x v="4"/>
    <x v="4"/>
    <x v="1"/>
    <x v="0"/>
    <x v="4"/>
    <x v="4"/>
    <x v="2"/>
    <x v="4"/>
    <x v="0"/>
    <x v="0"/>
    <x v="0"/>
    <x v="4"/>
    <x v="4"/>
  </r>
  <r>
    <x v="5"/>
    <x v="0"/>
    <x v="5"/>
    <x v="0"/>
    <x v="1"/>
    <x v="0"/>
    <x v="5"/>
    <x v="5"/>
    <x v="1"/>
    <x v="0"/>
    <x v="5"/>
    <x v="5"/>
    <x v="0"/>
    <x v="5"/>
    <x v="0"/>
    <x v="0"/>
    <x v="0"/>
    <x v="5"/>
    <x v="5"/>
  </r>
  <r>
    <x v="6"/>
    <x v="1"/>
    <x v="6"/>
    <x v="0"/>
    <x v="2"/>
    <x v="0"/>
    <x v="6"/>
    <x v="1"/>
    <x v="0"/>
    <x v="0"/>
    <x v="1"/>
    <x v="6"/>
    <x v="0"/>
    <x v="6"/>
    <x v="0"/>
    <x v="0"/>
    <x v="0"/>
    <x v="1"/>
    <x v="1"/>
  </r>
  <r>
    <x v="7"/>
    <x v="2"/>
    <x v="7"/>
    <x v="0"/>
    <x v="0"/>
    <x v="2"/>
    <x v="7"/>
    <x v="6"/>
    <x v="1"/>
    <x v="0"/>
    <x v="6"/>
    <x v="7"/>
    <x v="2"/>
    <x v="7"/>
    <x v="0"/>
    <x v="0"/>
    <x v="0"/>
    <x v="6"/>
    <x v="6"/>
  </r>
  <r>
    <x v="8"/>
    <x v="2"/>
    <x v="8"/>
    <x v="0"/>
    <x v="0"/>
    <x v="0"/>
    <x v="4"/>
    <x v="6"/>
    <x v="1"/>
    <x v="0"/>
    <x v="6"/>
    <x v="4"/>
    <x v="0"/>
    <x v="8"/>
    <x v="0"/>
    <x v="0"/>
    <x v="0"/>
    <x v="7"/>
    <x v="7"/>
  </r>
  <r>
    <x v="9"/>
    <x v="3"/>
    <x v="9"/>
    <x v="1"/>
    <x v="1"/>
    <x v="2"/>
    <x v="8"/>
    <x v="7"/>
    <x v="2"/>
    <x v="1"/>
    <x v="7"/>
    <x v="8"/>
    <x v="2"/>
    <x v="9"/>
    <x v="1"/>
    <x v="1"/>
    <x v="1"/>
    <x v="8"/>
    <x v="8"/>
  </r>
  <r>
    <x v="10"/>
    <x v="1"/>
    <x v="10"/>
    <x v="0"/>
    <x v="0"/>
    <x v="1"/>
    <x v="9"/>
    <x v="8"/>
    <x v="0"/>
    <x v="0"/>
    <x v="8"/>
    <x v="9"/>
    <x v="1"/>
    <x v="10"/>
    <x v="0"/>
    <x v="0"/>
    <x v="0"/>
    <x v="9"/>
    <x v="9"/>
  </r>
  <r>
    <x v="11"/>
    <x v="4"/>
    <x v="11"/>
    <x v="0"/>
    <x v="2"/>
    <x v="1"/>
    <x v="10"/>
    <x v="9"/>
    <x v="1"/>
    <x v="0"/>
    <x v="9"/>
    <x v="10"/>
    <x v="1"/>
    <x v="11"/>
    <x v="0"/>
    <x v="0"/>
    <x v="0"/>
    <x v="10"/>
    <x v="10"/>
  </r>
  <r>
    <x v="12"/>
    <x v="4"/>
    <x v="12"/>
    <x v="2"/>
    <x v="1"/>
    <x v="1"/>
    <x v="11"/>
    <x v="10"/>
    <x v="2"/>
    <x v="1"/>
    <x v="10"/>
    <x v="11"/>
    <x v="1"/>
    <x v="12"/>
    <x v="1"/>
    <x v="1"/>
    <x v="1"/>
    <x v="11"/>
    <x v="11"/>
  </r>
  <r>
    <x v="13"/>
    <x v="1"/>
    <x v="13"/>
    <x v="0"/>
    <x v="2"/>
    <x v="2"/>
    <x v="12"/>
    <x v="11"/>
    <x v="1"/>
    <x v="0"/>
    <x v="11"/>
    <x v="12"/>
    <x v="2"/>
    <x v="13"/>
    <x v="0"/>
    <x v="0"/>
    <x v="0"/>
    <x v="1"/>
    <x v="12"/>
  </r>
  <r>
    <x v="14"/>
    <x v="1"/>
    <x v="14"/>
    <x v="0"/>
    <x v="2"/>
    <x v="1"/>
    <x v="8"/>
    <x v="12"/>
    <x v="0"/>
    <x v="0"/>
    <x v="12"/>
    <x v="8"/>
    <x v="1"/>
    <x v="14"/>
    <x v="0"/>
    <x v="0"/>
    <x v="0"/>
    <x v="4"/>
    <x v="13"/>
  </r>
  <r>
    <x v="15"/>
    <x v="4"/>
    <x v="15"/>
    <x v="0"/>
    <x v="1"/>
    <x v="3"/>
    <x v="13"/>
    <x v="13"/>
    <x v="1"/>
    <x v="0"/>
    <x v="13"/>
    <x v="13"/>
    <x v="3"/>
    <x v="15"/>
    <x v="2"/>
    <x v="0"/>
    <x v="0"/>
    <x v="10"/>
    <x v="14"/>
  </r>
  <r>
    <x v="16"/>
    <x v="0"/>
    <x v="16"/>
    <x v="0"/>
    <x v="1"/>
    <x v="2"/>
    <x v="14"/>
    <x v="5"/>
    <x v="1"/>
    <x v="0"/>
    <x v="5"/>
    <x v="14"/>
    <x v="2"/>
    <x v="16"/>
    <x v="0"/>
    <x v="0"/>
    <x v="0"/>
    <x v="4"/>
    <x v="4"/>
  </r>
  <r>
    <x v="17"/>
    <x v="4"/>
    <x v="17"/>
    <x v="3"/>
    <x v="0"/>
    <x v="3"/>
    <x v="15"/>
    <x v="14"/>
    <x v="2"/>
    <x v="1"/>
    <x v="14"/>
    <x v="15"/>
    <x v="3"/>
    <x v="17"/>
    <x v="1"/>
    <x v="1"/>
    <x v="1"/>
    <x v="12"/>
    <x v="15"/>
  </r>
  <r>
    <x v="18"/>
    <x v="1"/>
    <x v="18"/>
    <x v="0"/>
    <x v="0"/>
    <x v="1"/>
    <x v="16"/>
    <x v="15"/>
    <x v="0"/>
    <x v="0"/>
    <x v="15"/>
    <x v="16"/>
    <x v="1"/>
    <x v="18"/>
    <x v="0"/>
    <x v="0"/>
    <x v="0"/>
    <x v="13"/>
    <x v="0"/>
  </r>
  <r>
    <x v="19"/>
    <x v="3"/>
    <x v="19"/>
    <x v="0"/>
    <x v="1"/>
    <x v="4"/>
    <x v="17"/>
    <x v="16"/>
    <x v="1"/>
    <x v="0"/>
    <x v="16"/>
    <x v="17"/>
    <x v="4"/>
    <x v="19"/>
    <x v="0"/>
    <x v="0"/>
    <x v="0"/>
    <x v="14"/>
    <x v="16"/>
  </r>
  <r>
    <x v="20"/>
    <x v="2"/>
    <x v="20"/>
    <x v="4"/>
    <x v="2"/>
    <x v="0"/>
    <x v="18"/>
    <x v="17"/>
    <x v="2"/>
    <x v="1"/>
    <x v="17"/>
    <x v="18"/>
    <x v="0"/>
    <x v="20"/>
    <x v="1"/>
    <x v="1"/>
    <x v="1"/>
    <x v="15"/>
    <x v="9"/>
  </r>
  <r>
    <x v="21"/>
    <x v="4"/>
    <x v="21"/>
    <x v="0"/>
    <x v="0"/>
    <x v="4"/>
    <x v="5"/>
    <x v="18"/>
    <x v="0"/>
    <x v="0"/>
    <x v="18"/>
    <x v="5"/>
    <x v="4"/>
    <x v="21"/>
    <x v="0"/>
    <x v="0"/>
    <x v="0"/>
    <x v="14"/>
    <x v="16"/>
  </r>
  <r>
    <x v="22"/>
    <x v="2"/>
    <x v="22"/>
    <x v="0"/>
    <x v="1"/>
    <x v="3"/>
    <x v="15"/>
    <x v="17"/>
    <x v="0"/>
    <x v="0"/>
    <x v="17"/>
    <x v="15"/>
    <x v="3"/>
    <x v="22"/>
    <x v="2"/>
    <x v="0"/>
    <x v="0"/>
    <x v="8"/>
    <x v="17"/>
  </r>
  <r>
    <x v="23"/>
    <x v="3"/>
    <x v="23"/>
    <x v="0"/>
    <x v="1"/>
    <x v="4"/>
    <x v="19"/>
    <x v="19"/>
    <x v="1"/>
    <x v="0"/>
    <x v="19"/>
    <x v="19"/>
    <x v="4"/>
    <x v="23"/>
    <x v="0"/>
    <x v="0"/>
    <x v="0"/>
    <x v="16"/>
    <x v="18"/>
  </r>
  <r>
    <x v="24"/>
    <x v="0"/>
    <x v="24"/>
    <x v="0"/>
    <x v="0"/>
    <x v="3"/>
    <x v="5"/>
    <x v="1"/>
    <x v="0"/>
    <x v="0"/>
    <x v="1"/>
    <x v="5"/>
    <x v="3"/>
    <x v="24"/>
    <x v="2"/>
    <x v="0"/>
    <x v="0"/>
    <x v="6"/>
    <x v="19"/>
  </r>
  <r>
    <x v="25"/>
    <x v="1"/>
    <x v="25"/>
    <x v="0"/>
    <x v="0"/>
    <x v="1"/>
    <x v="20"/>
    <x v="20"/>
    <x v="0"/>
    <x v="0"/>
    <x v="20"/>
    <x v="20"/>
    <x v="1"/>
    <x v="25"/>
    <x v="0"/>
    <x v="0"/>
    <x v="0"/>
    <x v="2"/>
    <x v="2"/>
  </r>
  <r>
    <x v="26"/>
    <x v="2"/>
    <x v="26"/>
    <x v="0"/>
    <x v="0"/>
    <x v="1"/>
    <x v="21"/>
    <x v="21"/>
    <x v="1"/>
    <x v="0"/>
    <x v="21"/>
    <x v="21"/>
    <x v="1"/>
    <x v="26"/>
    <x v="0"/>
    <x v="0"/>
    <x v="0"/>
    <x v="14"/>
    <x v="20"/>
  </r>
  <r>
    <x v="27"/>
    <x v="1"/>
    <x v="27"/>
    <x v="0"/>
    <x v="1"/>
    <x v="4"/>
    <x v="22"/>
    <x v="22"/>
    <x v="1"/>
    <x v="0"/>
    <x v="22"/>
    <x v="22"/>
    <x v="4"/>
    <x v="27"/>
    <x v="0"/>
    <x v="0"/>
    <x v="0"/>
    <x v="5"/>
    <x v="15"/>
  </r>
  <r>
    <x v="28"/>
    <x v="0"/>
    <x v="28"/>
    <x v="0"/>
    <x v="1"/>
    <x v="4"/>
    <x v="23"/>
    <x v="23"/>
    <x v="1"/>
    <x v="0"/>
    <x v="23"/>
    <x v="23"/>
    <x v="4"/>
    <x v="28"/>
    <x v="0"/>
    <x v="0"/>
    <x v="0"/>
    <x v="17"/>
    <x v="21"/>
  </r>
  <r>
    <x v="29"/>
    <x v="0"/>
    <x v="29"/>
    <x v="0"/>
    <x v="0"/>
    <x v="1"/>
    <x v="22"/>
    <x v="24"/>
    <x v="0"/>
    <x v="0"/>
    <x v="24"/>
    <x v="22"/>
    <x v="1"/>
    <x v="29"/>
    <x v="0"/>
    <x v="0"/>
    <x v="0"/>
    <x v="15"/>
    <x v="22"/>
  </r>
  <r>
    <x v="30"/>
    <x v="1"/>
    <x v="30"/>
    <x v="0"/>
    <x v="2"/>
    <x v="4"/>
    <x v="24"/>
    <x v="25"/>
    <x v="1"/>
    <x v="0"/>
    <x v="25"/>
    <x v="24"/>
    <x v="4"/>
    <x v="30"/>
    <x v="0"/>
    <x v="0"/>
    <x v="0"/>
    <x v="18"/>
    <x v="23"/>
  </r>
  <r>
    <x v="31"/>
    <x v="4"/>
    <x v="31"/>
    <x v="5"/>
    <x v="1"/>
    <x v="0"/>
    <x v="18"/>
    <x v="26"/>
    <x v="2"/>
    <x v="1"/>
    <x v="26"/>
    <x v="18"/>
    <x v="0"/>
    <x v="31"/>
    <x v="1"/>
    <x v="1"/>
    <x v="1"/>
    <x v="17"/>
    <x v="24"/>
  </r>
  <r>
    <x v="32"/>
    <x v="3"/>
    <x v="32"/>
    <x v="0"/>
    <x v="0"/>
    <x v="4"/>
    <x v="25"/>
    <x v="18"/>
    <x v="0"/>
    <x v="0"/>
    <x v="18"/>
    <x v="25"/>
    <x v="4"/>
    <x v="32"/>
    <x v="0"/>
    <x v="0"/>
    <x v="0"/>
    <x v="15"/>
    <x v="25"/>
  </r>
  <r>
    <x v="33"/>
    <x v="4"/>
    <x v="33"/>
    <x v="0"/>
    <x v="0"/>
    <x v="2"/>
    <x v="26"/>
    <x v="27"/>
    <x v="1"/>
    <x v="0"/>
    <x v="27"/>
    <x v="26"/>
    <x v="2"/>
    <x v="33"/>
    <x v="0"/>
    <x v="0"/>
    <x v="0"/>
    <x v="15"/>
    <x v="26"/>
  </r>
  <r>
    <x v="34"/>
    <x v="1"/>
    <x v="34"/>
    <x v="6"/>
    <x v="1"/>
    <x v="1"/>
    <x v="25"/>
    <x v="28"/>
    <x v="2"/>
    <x v="1"/>
    <x v="28"/>
    <x v="25"/>
    <x v="1"/>
    <x v="34"/>
    <x v="1"/>
    <x v="1"/>
    <x v="1"/>
    <x v="9"/>
    <x v="9"/>
  </r>
  <r>
    <x v="35"/>
    <x v="1"/>
    <x v="35"/>
    <x v="0"/>
    <x v="0"/>
    <x v="3"/>
    <x v="19"/>
    <x v="12"/>
    <x v="1"/>
    <x v="0"/>
    <x v="12"/>
    <x v="19"/>
    <x v="3"/>
    <x v="35"/>
    <x v="2"/>
    <x v="0"/>
    <x v="0"/>
    <x v="16"/>
    <x v="27"/>
  </r>
  <r>
    <x v="36"/>
    <x v="0"/>
    <x v="36"/>
    <x v="0"/>
    <x v="1"/>
    <x v="3"/>
    <x v="20"/>
    <x v="29"/>
    <x v="0"/>
    <x v="0"/>
    <x v="29"/>
    <x v="20"/>
    <x v="3"/>
    <x v="36"/>
    <x v="2"/>
    <x v="0"/>
    <x v="0"/>
    <x v="10"/>
    <x v="14"/>
  </r>
  <r>
    <x v="37"/>
    <x v="3"/>
    <x v="37"/>
    <x v="0"/>
    <x v="2"/>
    <x v="3"/>
    <x v="4"/>
    <x v="30"/>
    <x v="0"/>
    <x v="0"/>
    <x v="30"/>
    <x v="4"/>
    <x v="3"/>
    <x v="37"/>
    <x v="2"/>
    <x v="0"/>
    <x v="0"/>
    <x v="18"/>
    <x v="28"/>
  </r>
  <r>
    <x v="38"/>
    <x v="1"/>
    <x v="38"/>
    <x v="0"/>
    <x v="0"/>
    <x v="2"/>
    <x v="1"/>
    <x v="31"/>
    <x v="1"/>
    <x v="0"/>
    <x v="31"/>
    <x v="1"/>
    <x v="2"/>
    <x v="38"/>
    <x v="0"/>
    <x v="0"/>
    <x v="0"/>
    <x v="17"/>
    <x v="29"/>
  </r>
  <r>
    <x v="39"/>
    <x v="2"/>
    <x v="39"/>
    <x v="0"/>
    <x v="0"/>
    <x v="4"/>
    <x v="27"/>
    <x v="26"/>
    <x v="1"/>
    <x v="0"/>
    <x v="26"/>
    <x v="27"/>
    <x v="4"/>
    <x v="39"/>
    <x v="0"/>
    <x v="0"/>
    <x v="0"/>
    <x v="19"/>
    <x v="30"/>
  </r>
  <r>
    <x v="40"/>
    <x v="0"/>
    <x v="12"/>
    <x v="0"/>
    <x v="0"/>
    <x v="0"/>
    <x v="21"/>
    <x v="3"/>
    <x v="0"/>
    <x v="0"/>
    <x v="3"/>
    <x v="21"/>
    <x v="0"/>
    <x v="40"/>
    <x v="0"/>
    <x v="0"/>
    <x v="0"/>
    <x v="5"/>
    <x v="5"/>
  </r>
  <r>
    <x v="41"/>
    <x v="1"/>
    <x v="40"/>
    <x v="0"/>
    <x v="2"/>
    <x v="1"/>
    <x v="16"/>
    <x v="32"/>
    <x v="0"/>
    <x v="0"/>
    <x v="32"/>
    <x v="16"/>
    <x v="1"/>
    <x v="41"/>
    <x v="0"/>
    <x v="0"/>
    <x v="0"/>
    <x v="18"/>
    <x v="31"/>
  </r>
  <r>
    <x v="42"/>
    <x v="3"/>
    <x v="41"/>
    <x v="0"/>
    <x v="2"/>
    <x v="3"/>
    <x v="28"/>
    <x v="33"/>
    <x v="0"/>
    <x v="0"/>
    <x v="33"/>
    <x v="28"/>
    <x v="3"/>
    <x v="42"/>
    <x v="2"/>
    <x v="0"/>
    <x v="0"/>
    <x v="20"/>
    <x v="32"/>
  </r>
  <r>
    <x v="43"/>
    <x v="0"/>
    <x v="42"/>
    <x v="0"/>
    <x v="0"/>
    <x v="3"/>
    <x v="3"/>
    <x v="34"/>
    <x v="0"/>
    <x v="0"/>
    <x v="34"/>
    <x v="3"/>
    <x v="3"/>
    <x v="43"/>
    <x v="2"/>
    <x v="0"/>
    <x v="0"/>
    <x v="19"/>
    <x v="33"/>
  </r>
  <r>
    <x v="44"/>
    <x v="2"/>
    <x v="43"/>
    <x v="0"/>
    <x v="1"/>
    <x v="2"/>
    <x v="29"/>
    <x v="35"/>
    <x v="0"/>
    <x v="0"/>
    <x v="35"/>
    <x v="29"/>
    <x v="2"/>
    <x v="44"/>
    <x v="0"/>
    <x v="0"/>
    <x v="0"/>
    <x v="6"/>
    <x v="6"/>
  </r>
  <r>
    <x v="45"/>
    <x v="2"/>
    <x v="4"/>
    <x v="0"/>
    <x v="0"/>
    <x v="0"/>
    <x v="30"/>
    <x v="36"/>
    <x v="1"/>
    <x v="0"/>
    <x v="36"/>
    <x v="30"/>
    <x v="0"/>
    <x v="45"/>
    <x v="0"/>
    <x v="0"/>
    <x v="0"/>
    <x v="4"/>
    <x v="34"/>
  </r>
  <r>
    <x v="46"/>
    <x v="3"/>
    <x v="44"/>
    <x v="7"/>
    <x v="1"/>
    <x v="3"/>
    <x v="31"/>
    <x v="37"/>
    <x v="2"/>
    <x v="1"/>
    <x v="37"/>
    <x v="31"/>
    <x v="3"/>
    <x v="46"/>
    <x v="1"/>
    <x v="1"/>
    <x v="1"/>
    <x v="20"/>
    <x v="32"/>
  </r>
  <r>
    <x v="47"/>
    <x v="1"/>
    <x v="45"/>
    <x v="0"/>
    <x v="0"/>
    <x v="3"/>
    <x v="9"/>
    <x v="38"/>
    <x v="0"/>
    <x v="0"/>
    <x v="38"/>
    <x v="9"/>
    <x v="3"/>
    <x v="47"/>
    <x v="2"/>
    <x v="0"/>
    <x v="0"/>
    <x v="4"/>
    <x v="35"/>
  </r>
  <r>
    <x v="48"/>
    <x v="1"/>
    <x v="46"/>
    <x v="0"/>
    <x v="1"/>
    <x v="2"/>
    <x v="16"/>
    <x v="30"/>
    <x v="0"/>
    <x v="0"/>
    <x v="30"/>
    <x v="16"/>
    <x v="2"/>
    <x v="48"/>
    <x v="0"/>
    <x v="0"/>
    <x v="0"/>
    <x v="3"/>
    <x v="3"/>
  </r>
  <r>
    <x v="49"/>
    <x v="2"/>
    <x v="47"/>
    <x v="0"/>
    <x v="0"/>
    <x v="2"/>
    <x v="32"/>
    <x v="10"/>
    <x v="0"/>
    <x v="0"/>
    <x v="10"/>
    <x v="32"/>
    <x v="2"/>
    <x v="49"/>
    <x v="0"/>
    <x v="0"/>
    <x v="0"/>
    <x v="21"/>
    <x v="36"/>
  </r>
  <r>
    <x v="50"/>
    <x v="4"/>
    <x v="48"/>
    <x v="0"/>
    <x v="1"/>
    <x v="1"/>
    <x v="33"/>
    <x v="39"/>
    <x v="0"/>
    <x v="0"/>
    <x v="39"/>
    <x v="33"/>
    <x v="1"/>
    <x v="50"/>
    <x v="0"/>
    <x v="0"/>
    <x v="0"/>
    <x v="3"/>
    <x v="12"/>
  </r>
  <r>
    <x v="51"/>
    <x v="0"/>
    <x v="49"/>
    <x v="0"/>
    <x v="0"/>
    <x v="1"/>
    <x v="34"/>
    <x v="12"/>
    <x v="1"/>
    <x v="0"/>
    <x v="12"/>
    <x v="34"/>
    <x v="1"/>
    <x v="51"/>
    <x v="0"/>
    <x v="0"/>
    <x v="0"/>
    <x v="22"/>
    <x v="36"/>
  </r>
  <r>
    <x v="52"/>
    <x v="0"/>
    <x v="50"/>
    <x v="0"/>
    <x v="2"/>
    <x v="1"/>
    <x v="7"/>
    <x v="40"/>
    <x v="0"/>
    <x v="0"/>
    <x v="40"/>
    <x v="7"/>
    <x v="1"/>
    <x v="52"/>
    <x v="0"/>
    <x v="0"/>
    <x v="0"/>
    <x v="23"/>
    <x v="37"/>
  </r>
  <r>
    <x v="53"/>
    <x v="2"/>
    <x v="51"/>
    <x v="8"/>
    <x v="0"/>
    <x v="4"/>
    <x v="35"/>
    <x v="41"/>
    <x v="2"/>
    <x v="1"/>
    <x v="41"/>
    <x v="35"/>
    <x v="4"/>
    <x v="53"/>
    <x v="1"/>
    <x v="1"/>
    <x v="1"/>
    <x v="24"/>
    <x v="38"/>
  </r>
  <r>
    <x v="54"/>
    <x v="0"/>
    <x v="52"/>
    <x v="0"/>
    <x v="2"/>
    <x v="3"/>
    <x v="35"/>
    <x v="42"/>
    <x v="1"/>
    <x v="0"/>
    <x v="42"/>
    <x v="35"/>
    <x v="3"/>
    <x v="54"/>
    <x v="2"/>
    <x v="0"/>
    <x v="0"/>
    <x v="22"/>
    <x v="39"/>
  </r>
  <r>
    <x v="55"/>
    <x v="0"/>
    <x v="53"/>
    <x v="0"/>
    <x v="2"/>
    <x v="0"/>
    <x v="36"/>
    <x v="43"/>
    <x v="1"/>
    <x v="0"/>
    <x v="43"/>
    <x v="36"/>
    <x v="0"/>
    <x v="55"/>
    <x v="0"/>
    <x v="0"/>
    <x v="0"/>
    <x v="25"/>
    <x v="40"/>
  </r>
  <r>
    <x v="56"/>
    <x v="4"/>
    <x v="35"/>
    <x v="0"/>
    <x v="2"/>
    <x v="4"/>
    <x v="37"/>
    <x v="24"/>
    <x v="0"/>
    <x v="0"/>
    <x v="24"/>
    <x v="37"/>
    <x v="4"/>
    <x v="56"/>
    <x v="0"/>
    <x v="0"/>
    <x v="0"/>
    <x v="16"/>
    <x v="18"/>
  </r>
  <r>
    <x v="57"/>
    <x v="2"/>
    <x v="54"/>
    <x v="0"/>
    <x v="0"/>
    <x v="2"/>
    <x v="26"/>
    <x v="44"/>
    <x v="0"/>
    <x v="0"/>
    <x v="44"/>
    <x v="26"/>
    <x v="2"/>
    <x v="57"/>
    <x v="0"/>
    <x v="0"/>
    <x v="0"/>
    <x v="9"/>
    <x v="22"/>
  </r>
  <r>
    <x v="58"/>
    <x v="2"/>
    <x v="35"/>
    <x v="0"/>
    <x v="1"/>
    <x v="2"/>
    <x v="29"/>
    <x v="45"/>
    <x v="0"/>
    <x v="0"/>
    <x v="45"/>
    <x v="29"/>
    <x v="2"/>
    <x v="58"/>
    <x v="0"/>
    <x v="0"/>
    <x v="0"/>
    <x v="16"/>
    <x v="41"/>
  </r>
  <r>
    <x v="59"/>
    <x v="4"/>
    <x v="29"/>
    <x v="0"/>
    <x v="2"/>
    <x v="1"/>
    <x v="38"/>
    <x v="31"/>
    <x v="0"/>
    <x v="0"/>
    <x v="31"/>
    <x v="38"/>
    <x v="1"/>
    <x v="59"/>
    <x v="0"/>
    <x v="0"/>
    <x v="0"/>
    <x v="15"/>
    <x v="22"/>
  </r>
  <r>
    <x v="60"/>
    <x v="4"/>
    <x v="55"/>
    <x v="0"/>
    <x v="1"/>
    <x v="4"/>
    <x v="5"/>
    <x v="46"/>
    <x v="1"/>
    <x v="0"/>
    <x v="46"/>
    <x v="5"/>
    <x v="4"/>
    <x v="60"/>
    <x v="0"/>
    <x v="0"/>
    <x v="0"/>
    <x v="3"/>
    <x v="42"/>
  </r>
  <r>
    <x v="61"/>
    <x v="2"/>
    <x v="43"/>
    <x v="0"/>
    <x v="2"/>
    <x v="4"/>
    <x v="2"/>
    <x v="47"/>
    <x v="1"/>
    <x v="0"/>
    <x v="47"/>
    <x v="2"/>
    <x v="4"/>
    <x v="61"/>
    <x v="0"/>
    <x v="0"/>
    <x v="0"/>
    <x v="6"/>
    <x v="17"/>
  </r>
  <r>
    <x v="62"/>
    <x v="3"/>
    <x v="27"/>
    <x v="0"/>
    <x v="1"/>
    <x v="0"/>
    <x v="39"/>
    <x v="48"/>
    <x v="0"/>
    <x v="0"/>
    <x v="48"/>
    <x v="39"/>
    <x v="0"/>
    <x v="62"/>
    <x v="0"/>
    <x v="0"/>
    <x v="0"/>
    <x v="5"/>
    <x v="5"/>
  </r>
  <r>
    <x v="63"/>
    <x v="1"/>
    <x v="56"/>
    <x v="0"/>
    <x v="2"/>
    <x v="2"/>
    <x v="12"/>
    <x v="49"/>
    <x v="0"/>
    <x v="0"/>
    <x v="49"/>
    <x v="12"/>
    <x v="2"/>
    <x v="63"/>
    <x v="0"/>
    <x v="0"/>
    <x v="0"/>
    <x v="4"/>
    <x v="4"/>
  </r>
  <r>
    <x v="64"/>
    <x v="3"/>
    <x v="57"/>
    <x v="0"/>
    <x v="0"/>
    <x v="3"/>
    <x v="32"/>
    <x v="25"/>
    <x v="1"/>
    <x v="0"/>
    <x v="25"/>
    <x v="32"/>
    <x v="3"/>
    <x v="64"/>
    <x v="2"/>
    <x v="0"/>
    <x v="0"/>
    <x v="23"/>
    <x v="43"/>
  </r>
  <r>
    <x v="65"/>
    <x v="4"/>
    <x v="58"/>
    <x v="0"/>
    <x v="2"/>
    <x v="4"/>
    <x v="40"/>
    <x v="50"/>
    <x v="1"/>
    <x v="0"/>
    <x v="50"/>
    <x v="40"/>
    <x v="4"/>
    <x v="65"/>
    <x v="0"/>
    <x v="0"/>
    <x v="0"/>
    <x v="13"/>
    <x v="4"/>
  </r>
  <r>
    <x v="66"/>
    <x v="3"/>
    <x v="59"/>
    <x v="9"/>
    <x v="1"/>
    <x v="4"/>
    <x v="12"/>
    <x v="14"/>
    <x v="2"/>
    <x v="1"/>
    <x v="14"/>
    <x v="12"/>
    <x v="4"/>
    <x v="66"/>
    <x v="1"/>
    <x v="1"/>
    <x v="1"/>
    <x v="26"/>
    <x v="22"/>
  </r>
  <r>
    <x v="67"/>
    <x v="1"/>
    <x v="60"/>
    <x v="0"/>
    <x v="2"/>
    <x v="4"/>
    <x v="41"/>
    <x v="51"/>
    <x v="0"/>
    <x v="0"/>
    <x v="51"/>
    <x v="41"/>
    <x v="4"/>
    <x v="67"/>
    <x v="0"/>
    <x v="0"/>
    <x v="0"/>
    <x v="23"/>
    <x v="44"/>
  </r>
  <r>
    <x v="68"/>
    <x v="1"/>
    <x v="61"/>
    <x v="0"/>
    <x v="1"/>
    <x v="3"/>
    <x v="23"/>
    <x v="52"/>
    <x v="1"/>
    <x v="0"/>
    <x v="52"/>
    <x v="23"/>
    <x v="3"/>
    <x v="68"/>
    <x v="2"/>
    <x v="0"/>
    <x v="0"/>
    <x v="8"/>
    <x v="17"/>
  </r>
  <r>
    <x v="69"/>
    <x v="4"/>
    <x v="62"/>
    <x v="0"/>
    <x v="1"/>
    <x v="4"/>
    <x v="13"/>
    <x v="26"/>
    <x v="1"/>
    <x v="0"/>
    <x v="26"/>
    <x v="13"/>
    <x v="4"/>
    <x v="69"/>
    <x v="0"/>
    <x v="0"/>
    <x v="0"/>
    <x v="5"/>
    <x v="15"/>
  </r>
  <r>
    <x v="70"/>
    <x v="3"/>
    <x v="63"/>
    <x v="0"/>
    <x v="1"/>
    <x v="1"/>
    <x v="34"/>
    <x v="47"/>
    <x v="1"/>
    <x v="0"/>
    <x v="47"/>
    <x v="34"/>
    <x v="1"/>
    <x v="70"/>
    <x v="0"/>
    <x v="0"/>
    <x v="0"/>
    <x v="0"/>
    <x v="45"/>
  </r>
  <r>
    <x v="71"/>
    <x v="0"/>
    <x v="64"/>
    <x v="0"/>
    <x v="1"/>
    <x v="2"/>
    <x v="21"/>
    <x v="53"/>
    <x v="1"/>
    <x v="0"/>
    <x v="53"/>
    <x v="21"/>
    <x v="2"/>
    <x v="71"/>
    <x v="0"/>
    <x v="0"/>
    <x v="0"/>
    <x v="0"/>
    <x v="46"/>
  </r>
  <r>
    <x v="72"/>
    <x v="3"/>
    <x v="65"/>
    <x v="0"/>
    <x v="0"/>
    <x v="1"/>
    <x v="20"/>
    <x v="54"/>
    <x v="0"/>
    <x v="0"/>
    <x v="54"/>
    <x v="20"/>
    <x v="1"/>
    <x v="72"/>
    <x v="0"/>
    <x v="0"/>
    <x v="0"/>
    <x v="6"/>
    <x v="8"/>
  </r>
  <r>
    <x v="73"/>
    <x v="4"/>
    <x v="66"/>
    <x v="0"/>
    <x v="2"/>
    <x v="1"/>
    <x v="38"/>
    <x v="55"/>
    <x v="0"/>
    <x v="0"/>
    <x v="55"/>
    <x v="38"/>
    <x v="1"/>
    <x v="73"/>
    <x v="0"/>
    <x v="0"/>
    <x v="0"/>
    <x v="20"/>
    <x v="34"/>
  </r>
  <r>
    <x v="74"/>
    <x v="1"/>
    <x v="67"/>
    <x v="0"/>
    <x v="1"/>
    <x v="4"/>
    <x v="30"/>
    <x v="56"/>
    <x v="1"/>
    <x v="0"/>
    <x v="56"/>
    <x v="30"/>
    <x v="4"/>
    <x v="74"/>
    <x v="0"/>
    <x v="0"/>
    <x v="0"/>
    <x v="2"/>
    <x v="47"/>
  </r>
  <r>
    <x v="75"/>
    <x v="2"/>
    <x v="38"/>
    <x v="0"/>
    <x v="2"/>
    <x v="4"/>
    <x v="12"/>
    <x v="34"/>
    <x v="0"/>
    <x v="0"/>
    <x v="34"/>
    <x v="12"/>
    <x v="4"/>
    <x v="75"/>
    <x v="0"/>
    <x v="0"/>
    <x v="0"/>
    <x v="17"/>
    <x v="21"/>
  </r>
  <r>
    <x v="76"/>
    <x v="4"/>
    <x v="68"/>
    <x v="0"/>
    <x v="2"/>
    <x v="1"/>
    <x v="7"/>
    <x v="21"/>
    <x v="1"/>
    <x v="0"/>
    <x v="21"/>
    <x v="7"/>
    <x v="1"/>
    <x v="76"/>
    <x v="0"/>
    <x v="0"/>
    <x v="0"/>
    <x v="23"/>
    <x v="37"/>
  </r>
  <r>
    <x v="77"/>
    <x v="1"/>
    <x v="2"/>
    <x v="0"/>
    <x v="1"/>
    <x v="0"/>
    <x v="10"/>
    <x v="37"/>
    <x v="0"/>
    <x v="0"/>
    <x v="37"/>
    <x v="10"/>
    <x v="0"/>
    <x v="77"/>
    <x v="0"/>
    <x v="0"/>
    <x v="0"/>
    <x v="2"/>
    <x v="48"/>
  </r>
  <r>
    <x v="78"/>
    <x v="3"/>
    <x v="69"/>
    <x v="10"/>
    <x v="2"/>
    <x v="2"/>
    <x v="1"/>
    <x v="57"/>
    <x v="2"/>
    <x v="1"/>
    <x v="57"/>
    <x v="1"/>
    <x v="2"/>
    <x v="78"/>
    <x v="1"/>
    <x v="1"/>
    <x v="1"/>
    <x v="8"/>
    <x v="8"/>
  </r>
  <r>
    <x v="79"/>
    <x v="2"/>
    <x v="70"/>
    <x v="0"/>
    <x v="2"/>
    <x v="2"/>
    <x v="18"/>
    <x v="58"/>
    <x v="1"/>
    <x v="0"/>
    <x v="58"/>
    <x v="18"/>
    <x v="2"/>
    <x v="79"/>
    <x v="0"/>
    <x v="0"/>
    <x v="0"/>
    <x v="7"/>
    <x v="49"/>
  </r>
  <r>
    <x v="80"/>
    <x v="0"/>
    <x v="71"/>
    <x v="11"/>
    <x v="1"/>
    <x v="1"/>
    <x v="10"/>
    <x v="44"/>
    <x v="2"/>
    <x v="1"/>
    <x v="44"/>
    <x v="10"/>
    <x v="1"/>
    <x v="80"/>
    <x v="1"/>
    <x v="1"/>
    <x v="1"/>
    <x v="13"/>
    <x v="0"/>
  </r>
  <r>
    <x v="81"/>
    <x v="0"/>
    <x v="72"/>
    <x v="0"/>
    <x v="0"/>
    <x v="3"/>
    <x v="3"/>
    <x v="59"/>
    <x v="0"/>
    <x v="0"/>
    <x v="59"/>
    <x v="3"/>
    <x v="3"/>
    <x v="81"/>
    <x v="2"/>
    <x v="0"/>
    <x v="0"/>
    <x v="19"/>
    <x v="33"/>
  </r>
  <r>
    <x v="82"/>
    <x v="3"/>
    <x v="73"/>
    <x v="0"/>
    <x v="2"/>
    <x v="4"/>
    <x v="42"/>
    <x v="60"/>
    <x v="0"/>
    <x v="0"/>
    <x v="60"/>
    <x v="42"/>
    <x v="4"/>
    <x v="82"/>
    <x v="0"/>
    <x v="0"/>
    <x v="0"/>
    <x v="21"/>
    <x v="50"/>
  </r>
  <r>
    <x v="83"/>
    <x v="2"/>
    <x v="74"/>
    <x v="0"/>
    <x v="0"/>
    <x v="1"/>
    <x v="28"/>
    <x v="61"/>
    <x v="0"/>
    <x v="0"/>
    <x v="61"/>
    <x v="28"/>
    <x v="1"/>
    <x v="83"/>
    <x v="0"/>
    <x v="0"/>
    <x v="0"/>
    <x v="8"/>
    <x v="51"/>
  </r>
  <r>
    <x v="84"/>
    <x v="1"/>
    <x v="23"/>
    <x v="0"/>
    <x v="0"/>
    <x v="4"/>
    <x v="31"/>
    <x v="49"/>
    <x v="1"/>
    <x v="0"/>
    <x v="49"/>
    <x v="31"/>
    <x v="4"/>
    <x v="84"/>
    <x v="0"/>
    <x v="0"/>
    <x v="0"/>
    <x v="16"/>
    <x v="18"/>
  </r>
  <r>
    <x v="85"/>
    <x v="0"/>
    <x v="75"/>
    <x v="0"/>
    <x v="1"/>
    <x v="0"/>
    <x v="42"/>
    <x v="62"/>
    <x v="0"/>
    <x v="0"/>
    <x v="62"/>
    <x v="42"/>
    <x v="0"/>
    <x v="85"/>
    <x v="0"/>
    <x v="0"/>
    <x v="0"/>
    <x v="9"/>
    <x v="11"/>
  </r>
  <r>
    <x v="86"/>
    <x v="2"/>
    <x v="76"/>
    <x v="0"/>
    <x v="1"/>
    <x v="2"/>
    <x v="21"/>
    <x v="37"/>
    <x v="0"/>
    <x v="0"/>
    <x v="37"/>
    <x v="21"/>
    <x v="2"/>
    <x v="86"/>
    <x v="0"/>
    <x v="0"/>
    <x v="0"/>
    <x v="8"/>
    <x v="8"/>
  </r>
  <r>
    <x v="87"/>
    <x v="2"/>
    <x v="77"/>
    <x v="0"/>
    <x v="0"/>
    <x v="4"/>
    <x v="43"/>
    <x v="61"/>
    <x v="0"/>
    <x v="0"/>
    <x v="61"/>
    <x v="43"/>
    <x v="4"/>
    <x v="87"/>
    <x v="0"/>
    <x v="0"/>
    <x v="0"/>
    <x v="14"/>
    <x v="16"/>
  </r>
  <r>
    <x v="88"/>
    <x v="4"/>
    <x v="78"/>
    <x v="0"/>
    <x v="2"/>
    <x v="1"/>
    <x v="26"/>
    <x v="14"/>
    <x v="1"/>
    <x v="0"/>
    <x v="14"/>
    <x v="26"/>
    <x v="1"/>
    <x v="88"/>
    <x v="0"/>
    <x v="0"/>
    <x v="0"/>
    <x v="13"/>
    <x v="0"/>
  </r>
  <r>
    <x v="89"/>
    <x v="1"/>
    <x v="79"/>
    <x v="0"/>
    <x v="1"/>
    <x v="4"/>
    <x v="26"/>
    <x v="17"/>
    <x v="1"/>
    <x v="0"/>
    <x v="17"/>
    <x v="26"/>
    <x v="4"/>
    <x v="89"/>
    <x v="0"/>
    <x v="0"/>
    <x v="0"/>
    <x v="0"/>
    <x v="52"/>
  </r>
  <r>
    <x v="90"/>
    <x v="1"/>
    <x v="80"/>
    <x v="0"/>
    <x v="2"/>
    <x v="2"/>
    <x v="2"/>
    <x v="50"/>
    <x v="0"/>
    <x v="0"/>
    <x v="50"/>
    <x v="2"/>
    <x v="2"/>
    <x v="90"/>
    <x v="0"/>
    <x v="0"/>
    <x v="0"/>
    <x v="16"/>
    <x v="41"/>
  </r>
  <r>
    <x v="91"/>
    <x v="4"/>
    <x v="81"/>
    <x v="0"/>
    <x v="1"/>
    <x v="0"/>
    <x v="43"/>
    <x v="63"/>
    <x v="1"/>
    <x v="0"/>
    <x v="63"/>
    <x v="43"/>
    <x v="0"/>
    <x v="91"/>
    <x v="0"/>
    <x v="0"/>
    <x v="0"/>
    <x v="8"/>
    <x v="53"/>
  </r>
  <r>
    <x v="92"/>
    <x v="3"/>
    <x v="82"/>
    <x v="0"/>
    <x v="2"/>
    <x v="2"/>
    <x v="34"/>
    <x v="43"/>
    <x v="1"/>
    <x v="0"/>
    <x v="43"/>
    <x v="34"/>
    <x v="2"/>
    <x v="92"/>
    <x v="0"/>
    <x v="0"/>
    <x v="0"/>
    <x v="6"/>
    <x v="6"/>
  </r>
  <r>
    <x v="93"/>
    <x v="2"/>
    <x v="83"/>
    <x v="0"/>
    <x v="1"/>
    <x v="0"/>
    <x v="24"/>
    <x v="64"/>
    <x v="0"/>
    <x v="0"/>
    <x v="64"/>
    <x v="24"/>
    <x v="0"/>
    <x v="93"/>
    <x v="0"/>
    <x v="0"/>
    <x v="0"/>
    <x v="2"/>
    <x v="48"/>
  </r>
  <r>
    <x v="94"/>
    <x v="4"/>
    <x v="84"/>
    <x v="0"/>
    <x v="2"/>
    <x v="4"/>
    <x v="2"/>
    <x v="65"/>
    <x v="1"/>
    <x v="0"/>
    <x v="65"/>
    <x v="2"/>
    <x v="4"/>
    <x v="94"/>
    <x v="0"/>
    <x v="0"/>
    <x v="0"/>
    <x v="20"/>
    <x v="54"/>
  </r>
  <r>
    <x v="95"/>
    <x v="0"/>
    <x v="85"/>
    <x v="0"/>
    <x v="2"/>
    <x v="2"/>
    <x v="6"/>
    <x v="28"/>
    <x v="0"/>
    <x v="0"/>
    <x v="28"/>
    <x v="6"/>
    <x v="2"/>
    <x v="95"/>
    <x v="0"/>
    <x v="0"/>
    <x v="0"/>
    <x v="6"/>
    <x v="6"/>
  </r>
  <r>
    <x v="96"/>
    <x v="2"/>
    <x v="86"/>
    <x v="0"/>
    <x v="2"/>
    <x v="3"/>
    <x v="35"/>
    <x v="56"/>
    <x v="1"/>
    <x v="0"/>
    <x v="56"/>
    <x v="35"/>
    <x v="3"/>
    <x v="96"/>
    <x v="2"/>
    <x v="0"/>
    <x v="0"/>
    <x v="20"/>
    <x v="32"/>
  </r>
  <r>
    <x v="97"/>
    <x v="4"/>
    <x v="87"/>
    <x v="0"/>
    <x v="2"/>
    <x v="1"/>
    <x v="27"/>
    <x v="66"/>
    <x v="0"/>
    <x v="0"/>
    <x v="66"/>
    <x v="27"/>
    <x v="1"/>
    <x v="97"/>
    <x v="0"/>
    <x v="0"/>
    <x v="0"/>
    <x v="16"/>
    <x v="55"/>
  </r>
  <r>
    <x v="98"/>
    <x v="1"/>
    <x v="88"/>
    <x v="12"/>
    <x v="1"/>
    <x v="2"/>
    <x v="23"/>
    <x v="2"/>
    <x v="2"/>
    <x v="1"/>
    <x v="2"/>
    <x v="23"/>
    <x v="2"/>
    <x v="98"/>
    <x v="1"/>
    <x v="1"/>
    <x v="1"/>
    <x v="27"/>
    <x v="56"/>
  </r>
  <r>
    <x v="99"/>
    <x v="1"/>
    <x v="89"/>
    <x v="0"/>
    <x v="1"/>
    <x v="2"/>
    <x v="12"/>
    <x v="67"/>
    <x v="0"/>
    <x v="0"/>
    <x v="67"/>
    <x v="12"/>
    <x v="2"/>
    <x v="99"/>
    <x v="0"/>
    <x v="0"/>
    <x v="0"/>
    <x v="0"/>
    <x v="46"/>
  </r>
  <r>
    <x v="100"/>
    <x v="3"/>
    <x v="90"/>
    <x v="0"/>
    <x v="2"/>
    <x v="2"/>
    <x v="9"/>
    <x v="23"/>
    <x v="0"/>
    <x v="0"/>
    <x v="23"/>
    <x v="9"/>
    <x v="2"/>
    <x v="100"/>
    <x v="0"/>
    <x v="0"/>
    <x v="0"/>
    <x v="2"/>
    <x v="57"/>
  </r>
  <r>
    <x v="101"/>
    <x v="1"/>
    <x v="91"/>
    <x v="0"/>
    <x v="2"/>
    <x v="0"/>
    <x v="30"/>
    <x v="68"/>
    <x v="1"/>
    <x v="0"/>
    <x v="68"/>
    <x v="30"/>
    <x v="0"/>
    <x v="101"/>
    <x v="0"/>
    <x v="0"/>
    <x v="0"/>
    <x v="9"/>
    <x v="11"/>
  </r>
  <r>
    <x v="102"/>
    <x v="2"/>
    <x v="92"/>
    <x v="0"/>
    <x v="2"/>
    <x v="0"/>
    <x v="13"/>
    <x v="69"/>
    <x v="0"/>
    <x v="0"/>
    <x v="69"/>
    <x v="13"/>
    <x v="0"/>
    <x v="102"/>
    <x v="0"/>
    <x v="0"/>
    <x v="0"/>
    <x v="27"/>
    <x v="58"/>
  </r>
  <r>
    <x v="103"/>
    <x v="0"/>
    <x v="93"/>
    <x v="0"/>
    <x v="0"/>
    <x v="1"/>
    <x v="3"/>
    <x v="70"/>
    <x v="0"/>
    <x v="0"/>
    <x v="70"/>
    <x v="3"/>
    <x v="1"/>
    <x v="103"/>
    <x v="0"/>
    <x v="0"/>
    <x v="0"/>
    <x v="15"/>
    <x v="22"/>
  </r>
  <r>
    <x v="104"/>
    <x v="2"/>
    <x v="94"/>
    <x v="0"/>
    <x v="0"/>
    <x v="3"/>
    <x v="4"/>
    <x v="71"/>
    <x v="1"/>
    <x v="0"/>
    <x v="71"/>
    <x v="4"/>
    <x v="3"/>
    <x v="104"/>
    <x v="2"/>
    <x v="0"/>
    <x v="0"/>
    <x v="19"/>
    <x v="33"/>
  </r>
  <r>
    <x v="105"/>
    <x v="3"/>
    <x v="95"/>
    <x v="0"/>
    <x v="1"/>
    <x v="2"/>
    <x v="44"/>
    <x v="37"/>
    <x v="1"/>
    <x v="0"/>
    <x v="37"/>
    <x v="44"/>
    <x v="2"/>
    <x v="105"/>
    <x v="0"/>
    <x v="0"/>
    <x v="0"/>
    <x v="7"/>
    <x v="49"/>
  </r>
  <r>
    <x v="106"/>
    <x v="2"/>
    <x v="96"/>
    <x v="13"/>
    <x v="1"/>
    <x v="1"/>
    <x v="8"/>
    <x v="3"/>
    <x v="2"/>
    <x v="1"/>
    <x v="3"/>
    <x v="8"/>
    <x v="1"/>
    <x v="106"/>
    <x v="1"/>
    <x v="1"/>
    <x v="1"/>
    <x v="26"/>
    <x v="59"/>
  </r>
  <r>
    <x v="107"/>
    <x v="2"/>
    <x v="97"/>
    <x v="14"/>
    <x v="1"/>
    <x v="3"/>
    <x v="20"/>
    <x v="12"/>
    <x v="2"/>
    <x v="1"/>
    <x v="12"/>
    <x v="20"/>
    <x v="3"/>
    <x v="107"/>
    <x v="1"/>
    <x v="1"/>
    <x v="1"/>
    <x v="28"/>
    <x v="4"/>
  </r>
  <r>
    <x v="108"/>
    <x v="0"/>
    <x v="98"/>
    <x v="0"/>
    <x v="2"/>
    <x v="2"/>
    <x v="9"/>
    <x v="1"/>
    <x v="1"/>
    <x v="0"/>
    <x v="1"/>
    <x v="9"/>
    <x v="2"/>
    <x v="108"/>
    <x v="0"/>
    <x v="0"/>
    <x v="0"/>
    <x v="5"/>
    <x v="60"/>
  </r>
  <r>
    <x v="109"/>
    <x v="2"/>
    <x v="89"/>
    <x v="0"/>
    <x v="1"/>
    <x v="0"/>
    <x v="0"/>
    <x v="1"/>
    <x v="1"/>
    <x v="0"/>
    <x v="1"/>
    <x v="0"/>
    <x v="0"/>
    <x v="109"/>
    <x v="0"/>
    <x v="0"/>
    <x v="0"/>
    <x v="0"/>
    <x v="0"/>
  </r>
  <r>
    <x v="110"/>
    <x v="2"/>
    <x v="99"/>
    <x v="0"/>
    <x v="1"/>
    <x v="4"/>
    <x v="14"/>
    <x v="72"/>
    <x v="0"/>
    <x v="0"/>
    <x v="72"/>
    <x v="14"/>
    <x v="4"/>
    <x v="110"/>
    <x v="0"/>
    <x v="0"/>
    <x v="0"/>
    <x v="1"/>
    <x v="61"/>
  </r>
  <r>
    <x v="111"/>
    <x v="3"/>
    <x v="100"/>
    <x v="0"/>
    <x v="1"/>
    <x v="0"/>
    <x v="25"/>
    <x v="18"/>
    <x v="0"/>
    <x v="0"/>
    <x v="18"/>
    <x v="25"/>
    <x v="0"/>
    <x v="32"/>
    <x v="0"/>
    <x v="0"/>
    <x v="0"/>
    <x v="3"/>
    <x v="62"/>
  </r>
  <r>
    <x v="112"/>
    <x v="2"/>
    <x v="101"/>
    <x v="0"/>
    <x v="1"/>
    <x v="0"/>
    <x v="7"/>
    <x v="7"/>
    <x v="1"/>
    <x v="0"/>
    <x v="7"/>
    <x v="7"/>
    <x v="0"/>
    <x v="111"/>
    <x v="0"/>
    <x v="0"/>
    <x v="0"/>
    <x v="1"/>
    <x v="1"/>
  </r>
  <r>
    <x v="113"/>
    <x v="2"/>
    <x v="29"/>
    <x v="0"/>
    <x v="1"/>
    <x v="4"/>
    <x v="18"/>
    <x v="43"/>
    <x v="1"/>
    <x v="0"/>
    <x v="43"/>
    <x v="18"/>
    <x v="4"/>
    <x v="112"/>
    <x v="0"/>
    <x v="0"/>
    <x v="0"/>
    <x v="15"/>
    <x v="25"/>
  </r>
  <r>
    <x v="114"/>
    <x v="0"/>
    <x v="80"/>
    <x v="0"/>
    <x v="2"/>
    <x v="0"/>
    <x v="12"/>
    <x v="29"/>
    <x v="0"/>
    <x v="0"/>
    <x v="29"/>
    <x v="12"/>
    <x v="0"/>
    <x v="113"/>
    <x v="0"/>
    <x v="0"/>
    <x v="0"/>
    <x v="16"/>
    <x v="63"/>
  </r>
  <r>
    <x v="115"/>
    <x v="1"/>
    <x v="102"/>
    <x v="0"/>
    <x v="1"/>
    <x v="3"/>
    <x v="9"/>
    <x v="15"/>
    <x v="1"/>
    <x v="0"/>
    <x v="15"/>
    <x v="9"/>
    <x v="3"/>
    <x v="114"/>
    <x v="2"/>
    <x v="0"/>
    <x v="0"/>
    <x v="2"/>
    <x v="64"/>
  </r>
  <r>
    <x v="116"/>
    <x v="3"/>
    <x v="103"/>
    <x v="0"/>
    <x v="2"/>
    <x v="1"/>
    <x v="44"/>
    <x v="73"/>
    <x v="1"/>
    <x v="0"/>
    <x v="73"/>
    <x v="44"/>
    <x v="1"/>
    <x v="115"/>
    <x v="0"/>
    <x v="0"/>
    <x v="0"/>
    <x v="14"/>
    <x v="20"/>
  </r>
  <r>
    <x v="117"/>
    <x v="4"/>
    <x v="104"/>
    <x v="0"/>
    <x v="0"/>
    <x v="2"/>
    <x v="6"/>
    <x v="61"/>
    <x v="1"/>
    <x v="0"/>
    <x v="61"/>
    <x v="6"/>
    <x v="2"/>
    <x v="116"/>
    <x v="0"/>
    <x v="0"/>
    <x v="0"/>
    <x v="5"/>
    <x v="60"/>
  </r>
  <r>
    <x v="118"/>
    <x v="3"/>
    <x v="105"/>
    <x v="0"/>
    <x v="2"/>
    <x v="4"/>
    <x v="15"/>
    <x v="13"/>
    <x v="1"/>
    <x v="0"/>
    <x v="13"/>
    <x v="15"/>
    <x v="4"/>
    <x v="117"/>
    <x v="0"/>
    <x v="0"/>
    <x v="0"/>
    <x v="15"/>
    <x v="25"/>
  </r>
  <r>
    <x v="119"/>
    <x v="0"/>
    <x v="106"/>
    <x v="0"/>
    <x v="2"/>
    <x v="0"/>
    <x v="32"/>
    <x v="74"/>
    <x v="1"/>
    <x v="0"/>
    <x v="74"/>
    <x v="32"/>
    <x v="0"/>
    <x v="118"/>
    <x v="0"/>
    <x v="0"/>
    <x v="0"/>
    <x v="4"/>
    <x v="34"/>
  </r>
  <r>
    <x v="120"/>
    <x v="1"/>
    <x v="107"/>
    <x v="0"/>
    <x v="0"/>
    <x v="4"/>
    <x v="25"/>
    <x v="24"/>
    <x v="1"/>
    <x v="0"/>
    <x v="24"/>
    <x v="25"/>
    <x v="4"/>
    <x v="119"/>
    <x v="0"/>
    <x v="0"/>
    <x v="0"/>
    <x v="21"/>
    <x v="50"/>
  </r>
  <r>
    <x v="121"/>
    <x v="1"/>
    <x v="108"/>
    <x v="0"/>
    <x v="2"/>
    <x v="0"/>
    <x v="1"/>
    <x v="34"/>
    <x v="1"/>
    <x v="0"/>
    <x v="34"/>
    <x v="1"/>
    <x v="0"/>
    <x v="120"/>
    <x v="0"/>
    <x v="0"/>
    <x v="0"/>
    <x v="8"/>
    <x v="53"/>
  </r>
  <r>
    <x v="122"/>
    <x v="1"/>
    <x v="109"/>
    <x v="0"/>
    <x v="0"/>
    <x v="0"/>
    <x v="17"/>
    <x v="75"/>
    <x v="1"/>
    <x v="0"/>
    <x v="75"/>
    <x v="17"/>
    <x v="0"/>
    <x v="121"/>
    <x v="0"/>
    <x v="0"/>
    <x v="0"/>
    <x v="0"/>
    <x v="0"/>
  </r>
  <r>
    <x v="123"/>
    <x v="1"/>
    <x v="110"/>
    <x v="0"/>
    <x v="0"/>
    <x v="3"/>
    <x v="38"/>
    <x v="76"/>
    <x v="0"/>
    <x v="0"/>
    <x v="76"/>
    <x v="38"/>
    <x v="3"/>
    <x v="122"/>
    <x v="2"/>
    <x v="0"/>
    <x v="0"/>
    <x v="9"/>
    <x v="25"/>
  </r>
  <r>
    <x v="124"/>
    <x v="3"/>
    <x v="111"/>
    <x v="0"/>
    <x v="0"/>
    <x v="4"/>
    <x v="31"/>
    <x v="5"/>
    <x v="0"/>
    <x v="0"/>
    <x v="5"/>
    <x v="31"/>
    <x v="4"/>
    <x v="123"/>
    <x v="0"/>
    <x v="0"/>
    <x v="0"/>
    <x v="5"/>
    <x v="15"/>
  </r>
  <r>
    <x v="125"/>
    <x v="1"/>
    <x v="112"/>
    <x v="0"/>
    <x v="1"/>
    <x v="4"/>
    <x v="24"/>
    <x v="57"/>
    <x v="1"/>
    <x v="0"/>
    <x v="57"/>
    <x v="24"/>
    <x v="4"/>
    <x v="124"/>
    <x v="0"/>
    <x v="0"/>
    <x v="0"/>
    <x v="0"/>
    <x v="52"/>
  </r>
  <r>
    <x v="126"/>
    <x v="1"/>
    <x v="113"/>
    <x v="0"/>
    <x v="0"/>
    <x v="0"/>
    <x v="34"/>
    <x v="62"/>
    <x v="0"/>
    <x v="0"/>
    <x v="62"/>
    <x v="34"/>
    <x v="0"/>
    <x v="125"/>
    <x v="0"/>
    <x v="0"/>
    <x v="0"/>
    <x v="7"/>
    <x v="7"/>
  </r>
  <r>
    <x v="127"/>
    <x v="4"/>
    <x v="114"/>
    <x v="0"/>
    <x v="2"/>
    <x v="2"/>
    <x v="23"/>
    <x v="77"/>
    <x v="0"/>
    <x v="0"/>
    <x v="77"/>
    <x v="23"/>
    <x v="2"/>
    <x v="126"/>
    <x v="0"/>
    <x v="0"/>
    <x v="0"/>
    <x v="14"/>
    <x v="37"/>
  </r>
  <r>
    <x v="128"/>
    <x v="1"/>
    <x v="115"/>
    <x v="0"/>
    <x v="1"/>
    <x v="4"/>
    <x v="21"/>
    <x v="69"/>
    <x v="0"/>
    <x v="0"/>
    <x v="69"/>
    <x v="21"/>
    <x v="4"/>
    <x v="127"/>
    <x v="0"/>
    <x v="0"/>
    <x v="0"/>
    <x v="21"/>
    <x v="50"/>
  </r>
  <r>
    <x v="129"/>
    <x v="2"/>
    <x v="116"/>
    <x v="0"/>
    <x v="2"/>
    <x v="4"/>
    <x v="27"/>
    <x v="24"/>
    <x v="1"/>
    <x v="0"/>
    <x v="24"/>
    <x v="27"/>
    <x v="4"/>
    <x v="128"/>
    <x v="0"/>
    <x v="0"/>
    <x v="0"/>
    <x v="20"/>
    <x v="54"/>
  </r>
  <r>
    <x v="130"/>
    <x v="3"/>
    <x v="113"/>
    <x v="0"/>
    <x v="1"/>
    <x v="0"/>
    <x v="27"/>
    <x v="78"/>
    <x v="1"/>
    <x v="0"/>
    <x v="78"/>
    <x v="27"/>
    <x v="0"/>
    <x v="129"/>
    <x v="0"/>
    <x v="0"/>
    <x v="0"/>
    <x v="7"/>
    <x v="7"/>
  </r>
  <r>
    <x v="131"/>
    <x v="4"/>
    <x v="117"/>
    <x v="0"/>
    <x v="1"/>
    <x v="4"/>
    <x v="9"/>
    <x v="21"/>
    <x v="0"/>
    <x v="0"/>
    <x v="21"/>
    <x v="9"/>
    <x v="4"/>
    <x v="130"/>
    <x v="0"/>
    <x v="0"/>
    <x v="0"/>
    <x v="7"/>
    <x v="65"/>
  </r>
  <r>
    <x v="132"/>
    <x v="1"/>
    <x v="118"/>
    <x v="0"/>
    <x v="1"/>
    <x v="0"/>
    <x v="19"/>
    <x v="57"/>
    <x v="1"/>
    <x v="0"/>
    <x v="57"/>
    <x v="19"/>
    <x v="0"/>
    <x v="131"/>
    <x v="0"/>
    <x v="0"/>
    <x v="0"/>
    <x v="22"/>
    <x v="66"/>
  </r>
  <r>
    <x v="133"/>
    <x v="0"/>
    <x v="119"/>
    <x v="0"/>
    <x v="1"/>
    <x v="0"/>
    <x v="45"/>
    <x v="4"/>
    <x v="0"/>
    <x v="0"/>
    <x v="4"/>
    <x v="45"/>
    <x v="0"/>
    <x v="132"/>
    <x v="0"/>
    <x v="0"/>
    <x v="0"/>
    <x v="18"/>
    <x v="67"/>
  </r>
  <r>
    <x v="134"/>
    <x v="2"/>
    <x v="120"/>
    <x v="0"/>
    <x v="1"/>
    <x v="2"/>
    <x v="0"/>
    <x v="79"/>
    <x v="0"/>
    <x v="0"/>
    <x v="79"/>
    <x v="0"/>
    <x v="2"/>
    <x v="133"/>
    <x v="0"/>
    <x v="0"/>
    <x v="0"/>
    <x v="9"/>
    <x v="22"/>
  </r>
  <r>
    <x v="135"/>
    <x v="4"/>
    <x v="121"/>
    <x v="0"/>
    <x v="2"/>
    <x v="3"/>
    <x v="9"/>
    <x v="71"/>
    <x v="1"/>
    <x v="0"/>
    <x v="71"/>
    <x v="9"/>
    <x v="3"/>
    <x v="134"/>
    <x v="2"/>
    <x v="0"/>
    <x v="0"/>
    <x v="13"/>
    <x v="52"/>
  </r>
  <r>
    <x v="136"/>
    <x v="0"/>
    <x v="122"/>
    <x v="0"/>
    <x v="0"/>
    <x v="1"/>
    <x v="11"/>
    <x v="76"/>
    <x v="1"/>
    <x v="0"/>
    <x v="76"/>
    <x v="11"/>
    <x v="1"/>
    <x v="135"/>
    <x v="0"/>
    <x v="0"/>
    <x v="0"/>
    <x v="13"/>
    <x v="0"/>
  </r>
  <r>
    <x v="137"/>
    <x v="4"/>
    <x v="123"/>
    <x v="0"/>
    <x v="0"/>
    <x v="4"/>
    <x v="46"/>
    <x v="7"/>
    <x v="0"/>
    <x v="0"/>
    <x v="7"/>
    <x v="46"/>
    <x v="4"/>
    <x v="136"/>
    <x v="0"/>
    <x v="0"/>
    <x v="0"/>
    <x v="13"/>
    <x v="4"/>
  </r>
  <r>
    <x v="138"/>
    <x v="2"/>
    <x v="57"/>
    <x v="0"/>
    <x v="0"/>
    <x v="2"/>
    <x v="47"/>
    <x v="38"/>
    <x v="0"/>
    <x v="0"/>
    <x v="38"/>
    <x v="47"/>
    <x v="2"/>
    <x v="137"/>
    <x v="0"/>
    <x v="0"/>
    <x v="0"/>
    <x v="23"/>
    <x v="68"/>
  </r>
  <r>
    <x v="139"/>
    <x v="4"/>
    <x v="9"/>
    <x v="0"/>
    <x v="0"/>
    <x v="1"/>
    <x v="33"/>
    <x v="53"/>
    <x v="0"/>
    <x v="0"/>
    <x v="53"/>
    <x v="33"/>
    <x v="1"/>
    <x v="138"/>
    <x v="0"/>
    <x v="0"/>
    <x v="0"/>
    <x v="19"/>
    <x v="69"/>
  </r>
  <r>
    <x v="140"/>
    <x v="1"/>
    <x v="124"/>
    <x v="0"/>
    <x v="2"/>
    <x v="3"/>
    <x v="3"/>
    <x v="1"/>
    <x v="1"/>
    <x v="0"/>
    <x v="1"/>
    <x v="3"/>
    <x v="3"/>
    <x v="139"/>
    <x v="2"/>
    <x v="0"/>
    <x v="0"/>
    <x v="8"/>
    <x v="17"/>
  </r>
  <r>
    <x v="141"/>
    <x v="4"/>
    <x v="125"/>
    <x v="0"/>
    <x v="1"/>
    <x v="4"/>
    <x v="39"/>
    <x v="29"/>
    <x v="0"/>
    <x v="0"/>
    <x v="29"/>
    <x v="39"/>
    <x v="4"/>
    <x v="140"/>
    <x v="0"/>
    <x v="0"/>
    <x v="0"/>
    <x v="19"/>
    <x v="30"/>
  </r>
  <r>
    <x v="142"/>
    <x v="1"/>
    <x v="126"/>
    <x v="0"/>
    <x v="0"/>
    <x v="3"/>
    <x v="28"/>
    <x v="6"/>
    <x v="1"/>
    <x v="0"/>
    <x v="6"/>
    <x v="28"/>
    <x v="3"/>
    <x v="141"/>
    <x v="2"/>
    <x v="0"/>
    <x v="0"/>
    <x v="10"/>
    <x v="14"/>
  </r>
  <r>
    <x v="143"/>
    <x v="4"/>
    <x v="127"/>
    <x v="0"/>
    <x v="1"/>
    <x v="1"/>
    <x v="48"/>
    <x v="69"/>
    <x v="1"/>
    <x v="0"/>
    <x v="69"/>
    <x v="48"/>
    <x v="1"/>
    <x v="142"/>
    <x v="0"/>
    <x v="0"/>
    <x v="0"/>
    <x v="19"/>
    <x v="69"/>
  </r>
  <r>
    <x v="144"/>
    <x v="0"/>
    <x v="117"/>
    <x v="0"/>
    <x v="0"/>
    <x v="2"/>
    <x v="17"/>
    <x v="33"/>
    <x v="1"/>
    <x v="0"/>
    <x v="33"/>
    <x v="17"/>
    <x v="2"/>
    <x v="143"/>
    <x v="0"/>
    <x v="0"/>
    <x v="0"/>
    <x v="7"/>
    <x v="49"/>
  </r>
  <r>
    <x v="145"/>
    <x v="4"/>
    <x v="128"/>
    <x v="0"/>
    <x v="2"/>
    <x v="3"/>
    <x v="11"/>
    <x v="9"/>
    <x v="0"/>
    <x v="0"/>
    <x v="9"/>
    <x v="11"/>
    <x v="3"/>
    <x v="144"/>
    <x v="2"/>
    <x v="0"/>
    <x v="0"/>
    <x v="2"/>
    <x v="64"/>
  </r>
  <r>
    <x v="146"/>
    <x v="2"/>
    <x v="22"/>
    <x v="0"/>
    <x v="0"/>
    <x v="1"/>
    <x v="49"/>
    <x v="60"/>
    <x v="0"/>
    <x v="0"/>
    <x v="60"/>
    <x v="49"/>
    <x v="1"/>
    <x v="145"/>
    <x v="0"/>
    <x v="0"/>
    <x v="0"/>
    <x v="8"/>
    <x v="51"/>
  </r>
  <r>
    <x v="147"/>
    <x v="3"/>
    <x v="129"/>
    <x v="0"/>
    <x v="1"/>
    <x v="2"/>
    <x v="50"/>
    <x v="47"/>
    <x v="0"/>
    <x v="0"/>
    <x v="47"/>
    <x v="50"/>
    <x v="2"/>
    <x v="146"/>
    <x v="0"/>
    <x v="0"/>
    <x v="0"/>
    <x v="4"/>
    <x v="4"/>
  </r>
  <r>
    <x v="148"/>
    <x v="0"/>
    <x v="130"/>
    <x v="0"/>
    <x v="1"/>
    <x v="2"/>
    <x v="27"/>
    <x v="78"/>
    <x v="0"/>
    <x v="0"/>
    <x v="78"/>
    <x v="27"/>
    <x v="2"/>
    <x v="129"/>
    <x v="0"/>
    <x v="0"/>
    <x v="0"/>
    <x v="7"/>
    <x v="49"/>
  </r>
  <r>
    <x v="149"/>
    <x v="4"/>
    <x v="131"/>
    <x v="0"/>
    <x v="0"/>
    <x v="3"/>
    <x v="29"/>
    <x v="34"/>
    <x v="1"/>
    <x v="0"/>
    <x v="34"/>
    <x v="29"/>
    <x v="3"/>
    <x v="147"/>
    <x v="2"/>
    <x v="0"/>
    <x v="0"/>
    <x v="25"/>
    <x v="70"/>
  </r>
  <r>
    <x v="150"/>
    <x v="3"/>
    <x v="132"/>
    <x v="0"/>
    <x v="2"/>
    <x v="2"/>
    <x v="14"/>
    <x v="51"/>
    <x v="1"/>
    <x v="0"/>
    <x v="51"/>
    <x v="14"/>
    <x v="2"/>
    <x v="148"/>
    <x v="0"/>
    <x v="0"/>
    <x v="0"/>
    <x v="27"/>
    <x v="56"/>
  </r>
  <r>
    <x v="151"/>
    <x v="0"/>
    <x v="133"/>
    <x v="0"/>
    <x v="0"/>
    <x v="3"/>
    <x v="16"/>
    <x v="76"/>
    <x v="1"/>
    <x v="0"/>
    <x v="76"/>
    <x v="16"/>
    <x v="3"/>
    <x v="149"/>
    <x v="2"/>
    <x v="0"/>
    <x v="0"/>
    <x v="6"/>
    <x v="19"/>
  </r>
  <r>
    <x v="152"/>
    <x v="4"/>
    <x v="42"/>
    <x v="0"/>
    <x v="0"/>
    <x v="2"/>
    <x v="0"/>
    <x v="78"/>
    <x v="1"/>
    <x v="0"/>
    <x v="78"/>
    <x v="0"/>
    <x v="2"/>
    <x v="150"/>
    <x v="0"/>
    <x v="0"/>
    <x v="0"/>
    <x v="19"/>
    <x v="71"/>
  </r>
  <r>
    <x v="153"/>
    <x v="2"/>
    <x v="117"/>
    <x v="0"/>
    <x v="1"/>
    <x v="0"/>
    <x v="0"/>
    <x v="1"/>
    <x v="1"/>
    <x v="0"/>
    <x v="1"/>
    <x v="0"/>
    <x v="0"/>
    <x v="109"/>
    <x v="0"/>
    <x v="0"/>
    <x v="0"/>
    <x v="7"/>
    <x v="7"/>
  </r>
  <r>
    <x v="154"/>
    <x v="4"/>
    <x v="124"/>
    <x v="0"/>
    <x v="0"/>
    <x v="3"/>
    <x v="12"/>
    <x v="80"/>
    <x v="1"/>
    <x v="0"/>
    <x v="80"/>
    <x v="12"/>
    <x v="3"/>
    <x v="151"/>
    <x v="2"/>
    <x v="0"/>
    <x v="0"/>
    <x v="8"/>
    <x v="17"/>
  </r>
  <r>
    <x v="155"/>
    <x v="0"/>
    <x v="134"/>
    <x v="0"/>
    <x v="1"/>
    <x v="4"/>
    <x v="14"/>
    <x v="11"/>
    <x v="1"/>
    <x v="0"/>
    <x v="11"/>
    <x v="14"/>
    <x v="4"/>
    <x v="152"/>
    <x v="0"/>
    <x v="0"/>
    <x v="0"/>
    <x v="5"/>
    <x v="15"/>
  </r>
  <r>
    <x v="156"/>
    <x v="0"/>
    <x v="135"/>
    <x v="0"/>
    <x v="0"/>
    <x v="0"/>
    <x v="24"/>
    <x v="79"/>
    <x v="0"/>
    <x v="0"/>
    <x v="79"/>
    <x v="24"/>
    <x v="0"/>
    <x v="153"/>
    <x v="0"/>
    <x v="0"/>
    <x v="0"/>
    <x v="16"/>
    <x v="63"/>
  </r>
  <r>
    <x v="157"/>
    <x v="3"/>
    <x v="17"/>
    <x v="0"/>
    <x v="2"/>
    <x v="3"/>
    <x v="11"/>
    <x v="17"/>
    <x v="1"/>
    <x v="0"/>
    <x v="17"/>
    <x v="11"/>
    <x v="3"/>
    <x v="154"/>
    <x v="2"/>
    <x v="0"/>
    <x v="0"/>
    <x v="5"/>
    <x v="72"/>
  </r>
  <r>
    <x v="158"/>
    <x v="3"/>
    <x v="136"/>
    <x v="15"/>
    <x v="2"/>
    <x v="3"/>
    <x v="38"/>
    <x v="41"/>
    <x v="2"/>
    <x v="1"/>
    <x v="41"/>
    <x v="38"/>
    <x v="3"/>
    <x v="155"/>
    <x v="1"/>
    <x v="1"/>
    <x v="1"/>
    <x v="27"/>
    <x v="73"/>
  </r>
  <r>
    <x v="159"/>
    <x v="0"/>
    <x v="8"/>
    <x v="0"/>
    <x v="1"/>
    <x v="1"/>
    <x v="16"/>
    <x v="22"/>
    <x v="1"/>
    <x v="0"/>
    <x v="22"/>
    <x v="16"/>
    <x v="1"/>
    <x v="156"/>
    <x v="0"/>
    <x v="0"/>
    <x v="0"/>
    <x v="7"/>
    <x v="74"/>
  </r>
  <r>
    <x v="160"/>
    <x v="2"/>
    <x v="137"/>
    <x v="0"/>
    <x v="1"/>
    <x v="2"/>
    <x v="22"/>
    <x v="66"/>
    <x v="1"/>
    <x v="0"/>
    <x v="66"/>
    <x v="22"/>
    <x v="2"/>
    <x v="157"/>
    <x v="0"/>
    <x v="0"/>
    <x v="0"/>
    <x v="13"/>
    <x v="45"/>
  </r>
  <r>
    <x v="161"/>
    <x v="4"/>
    <x v="138"/>
    <x v="0"/>
    <x v="0"/>
    <x v="0"/>
    <x v="50"/>
    <x v="36"/>
    <x v="0"/>
    <x v="0"/>
    <x v="36"/>
    <x v="50"/>
    <x v="0"/>
    <x v="158"/>
    <x v="0"/>
    <x v="0"/>
    <x v="0"/>
    <x v="21"/>
    <x v="75"/>
  </r>
  <r>
    <x v="162"/>
    <x v="3"/>
    <x v="139"/>
    <x v="0"/>
    <x v="0"/>
    <x v="3"/>
    <x v="1"/>
    <x v="1"/>
    <x v="0"/>
    <x v="0"/>
    <x v="1"/>
    <x v="1"/>
    <x v="3"/>
    <x v="1"/>
    <x v="2"/>
    <x v="0"/>
    <x v="0"/>
    <x v="1"/>
    <x v="42"/>
  </r>
  <r>
    <x v="163"/>
    <x v="2"/>
    <x v="140"/>
    <x v="16"/>
    <x v="0"/>
    <x v="1"/>
    <x v="21"/>
    <x v="60"/>
    <x v="2"/>
    <x v="1"/>
    <x v="60"/>
    <x v="21"/>
    <x v="1"/>
    <x v="159"/>
    <x v="1"/>
    <x v="1"/>
    <x v="1"/>
    <x v="11"/>
    <x v="11"/>
  </r>
  <r>
    <x v="164"/>
    <x v="3"/>
    <x v="141"/>
    <x v="0"/>
    <x v="0"/>
    <x v="0"/>
    <x v="47"/>
    <x v="59"/>
    <x v="0"/>
    <x v="0"/>
    <x v="59"/>
    <x v="47"/>
    <x v="0"/>
    <x v="160"/>
    <x v="0"/>
    <x v="0"/>
    <x v="0"/>
    <x v="21"/>
    <x v="75"/>
  </r>
  <r>
    <x v="165"/>
    <x v="1"/>
    <x v="142"/>
    <x v="0"/>
    <x v="2"/>
    <x v="1"/>
    <x v="11"/>
    <x v="54"/>
    <x v="0"/>
    <x v="0"/>
    <x v="54"/>
    <x v="11"/>
    <x v="1"/>
    <x v="161"/>
    <x v="0"/>
    <x v="0"/>
    <x v="0"/>
    <x v="2"/>
    <x v="2"/>
  </r>
  <r>
    <x v="166"/>
    <x v="1"/>
    <x v="15"/>
    <x v="0"/>
    <x v="0"/>
    <x v="3"/>
    <x v="44"/>
    <x v="61"/>
    <x v="1"/>
    <x v="0"/>
    <x v="61"/>
    <x v="44"/>
    <x v="3"/>
    <x v="162"/>
    <x v="2"/>
    <x v="0"/>
    <x v="0"/>
    <x v="10"/>
    <x v="14"/>
  </r>
  <r>
    <x v="167"/>
    <x v="4"/>
    <x v="85"/>
    <x v="0"/>
    <x v="1"/>
    <x v="3"/>
    <x v="28"/>
    <x v="57"/>
    <x v="0"/>
    <x v="0"/>
    <x v="57"/>
    <x v="28"/>
    <x v="3"/>
    <x v="163"/>
    <x v="2"/>
    <x v="0"/>
    <x v="0"/>
    <x v="6"/>
    <x v="19"/>
  </r>
  <r>
    <x v="168"/>
    <x v="0"/>
    <x v="92"/>
    <x v="0"/>
    <x v="0"/>
    <x v="0"/>
    <x v="43"/>
    <x v="81"/>
    <x v="1"/>
    <x v="0"/>
    <x v="81"/>
    <x v="43"/>
    <x v="0"/>
    <x v="164"/>
    <x v="0"/>
    <x v="0"/>
    <x v="0"/>
    <x v="27"/>
    <x v="58"/>
  </r>
  <r>
    <x v="169"/>
    <x v="4"/>
    <x v="36"/>
    <x v="0"/>
    <x v="0"/>
    <x v="0"/>
    <x v="41"/>
    <x v="41"/>
    <x v="0"/>
    <x v="0"/>
    <x v="41"/>
    <x v="41"/>
    <x v="0"/>
    <x v="165"/>
    <x v="0"/>
    <x v="0"/>
    <x v="0"/>
    <x v="10"/>
    <x v="76"/>
  </r>
  <r>
    <x v="170"/>
    <x v="1"/>
    <x v="143"/>
    <x v="0"/>
    <x v="1"/>
    <x v="4"/>
    <x v="4"/>
    <x v="82"/>
    <x v="1"/>
    <x v="0"/>
    <x v="82"/>
    <x v="4"/>
    <x v="4"/>
    <x v="166"/>
    <x v="0"/>
    <x v="0"/>
    <x v="0"/>
    <x v="1"/>
    <x v="61"/>
  </r>
  <r>
    <x v="171"/>
    <x v="2"/>
    <x v="144"/>
    <x v="0"/>
    <x v="2"/>
    <x v="0"/>
    <x v="10"/>
    <x v="83"/>
    <x v="0"/>
    <x v="0"/>
    <x v="83"/>
    <x v="10"/>
    <x v="0"/>
    <x v="167"/>
    <x v="0"/>
    <x v="0"/>
    <x v="0"/>
    <x v="14"/>
    <x v="77"/>
  </r>
  <r>
    <x v="172"/>
    <x v="1"/>
    <x v="145"/>
    <x v="0"/>
    <x v="1"/>
    <x v="4"/>
    <x v="35"/>
    <x v="57"/>
    <x v="0"/>
    <x v="0"/>
    <x v="57"/>
    <x v="35"/>
    <x v="4"/>
    <x v="168"/>
    <x v="0"/>
    <x v="0"/>
    <x v="0"/>
    <x v="6"/>
    <x v="17"/>
  </r>
  <r>
    <x v="173"/>
    <x v="4"/>
    <x v="146"/>
    <x v="0"/>
    <x v="2"/>
    <x v="2"/>
    <x v="16"/>
    <x v="84"/>
    <x v="1"/>
    <x v="0"/>
    <x v="84"/>
    <x v="16"/>
    <x v="2"/>
    <x v="169"/>
    <x v="0"/>
    <x v="0"/>
    <x v="0"/>
    <x v="4"/>
    <x v="4"/>
  </r>
  <r>
    <x v="174"/>
    <x v="4"/>
    <x v="14"/>
    <x v="0"/>
    <x v="0"/>
    <x v="4"/>
    <x v="36"/>
    <x v="78"/>
    <x v="0"/>
    <x v="0"/>
    <x v="78"/>
    <x v="36"/>
    <x v="4"/>
    <x v="170"/>
    <x v="0"/>
    <x v="0"/>
    <x v="0"/>
    <x v="4"/>
    <x v="32"/>
  </r>
  <r>
    <x v="175"/>
    <x v="2"/>
    <x v="147"/>
    <x v="0"/>
    <x v="0"/>
    <x v="0"/>
    <x v="38"/>
    <x v="56"/>
    <x v="1"/>
    <x v="0"/>
    <x v="56"/>
    <x v="38"/>
    <x v="0"/>
    <x v="171"/>
    <x v="0"/>
    <x v="0"/>
    <x v="0"/>
    <x v="20"/>
    <x v="78"/>
  </r>
  <r>
    <x v="176"/>
    <x v="4"/>
    <x v="148"/>
    <x v="0"/>
    <x v="1"/>
    <x v="2"/>
    <x v="36"/>
    <x v="68"/>
    <x v="1"/>
    <x v="0"/>
    <x v="68"/>
    <x v="36"/>
    <x v="2"/>
    <x v="172"/>
    <x v="0"/>
    <x v="0"/>
    <x v="0"/>
    <x v="23"/>
    <x v="68"/>
  </r>
  <r>
    <x v="177"/>
    <x v="1"/>
    <x v="48"/>
    <x v="0"/>
    <x v="0"/>
    <x v="0"/>
    <x v="47"/>
    <x v="10"/>
    <x v="0"/>
    <x v="0"/>
    <x v="10"/>
    <x v="47"/>
    <x v="0"/>
    <x v="173"/>
    <x v="0"/>
    <x v="0"/>
    <x v="0"/>
    <x v="3"/>
    <x v="62"/>
  </r>
  <r>
    <x v="178"/>
    <x v="2"/>
    <x v="149"/>
    <x v="0"/>
    <x v="0"/>
    <x v="3"/>
    <x v="32"/>
    <x v="71"/>
    <x v="1"/>
    <x v="0"/>
    <x v="71"/>
    <x v="32"/>
    <x v="3"/>
    <x v="174"/>
    <x v="2"/>
    <x v="0"/>
    <x v="0"/>
    <x v="0"/>
    <x v="79"/>
  </r>
  <r>
    <x v="179"/>
    <x v="1"/>
    <x v="150"/>
    <x v="0"/>
    <x v="1"/>
    <x v="0"/>
    <x v="33"/>
    <x v="34"/>
    <x v="1"/>
    <x v="0"/>
    <x v="34"/>
    <x v="33"/>
    <x v="0"/>
    <x v="175"/>
    <x v="0"/>
    <x v="0"/>
    <x v="0"/>
    <x v="13"/>
    <x v="80"/>
  </r>
  <r>
    <x v="180"/>
    <x v="2"/>
    <x v="52"/>
    <x v="17"/>
    <x v="2"/>
    <x v="3"/>
    <x v="6"/>
    <x v="74"/>
    <x v="2"/>
    <x v="1"/>
    <x v="74"/>
    <x v="6"/>
    <x v="3"/>
    <x v="176"/>
    <x v="1"/>
    <x v="1"/>
    <x v="1"/>
    <x v="11"/>
    <x v="71"/>
  </r>
  <r>
    <x v="181"/>
    <x v="0"/>
    <x v="123"/>
    <x v="0"/>
    <x v="0"/>
    <x v="3"/>
    <x v="1"/>
    <x v="85"/>
    <x v="0"/>
    <x v="0"/>
    <x v="85"/>
    <x v="1"/>
    <x v="3"/>
    <x v="177"/>
    <x v="2"/>
    <x v="0"/>
    <x v="0"/>
    <x v="13"/>
    <x v="52"/>
  </r>
  <r>
    <x v="182"/>
    <x v="4"/>
    <x v="151"/>
    <x v="0"/>
    <x v="2"/>
    <x v="2"/>
    <x v="32"/>
    <x v="70"/>
    <x v="1"/>
    <x v="0"/>
    <x v="70"/>
    <x v="32"/>
    <x v="2"/>
    <x v="178"/>
    <x v="0"/>
    <x v="0"/>
    <x v="0"/>
    <x v="22"/>
    <x v="81"/>
  </r>
  <r>
    <x v="183"/>
    <x v="1"/>
    <x v="152"/>
    <x v="0"/>
    <x v="0"/>
    <x v="0"/>
    <x v="34"/>
    <x v="47"/>
    <x v="0"/>
    <x v="0"/>
    <x v="47"/>
    <x v="34"/>
    <x v="0"/>
    <x v="70"/>
    <x v="0"/>
    <x v="0"/>
    <x v="0"/>
    <x v="23"/>
    <x v="20"/>
  </r>
  <r>
    <x v="184"/>
    <x v="4"/>
    <x v="22"/>
    <x v="0"/>
    <x v="2"/>
    <x v="1"/>
    <x v="15"/>
    <x v="48"/>
    <x v="1"/>
    <x v="0"/>
    <x v="48"/>
    <x v="15"/>
    <x v="1"/>
    <x v="179"/>
    <x v="0"/>
    <x v="0"/>
    <x v="0"/>
    <x v="8"/>
    <x v="51"/>
  </r>
  <r>
    <x v="185"/>
    <x v="0"/>
    <x v="153"/>
    <x v="0"/>
    <x v="2"/>
    <x v="3"/>
    <x v="6"/>
    <x v="45"/>
    <x v="1"/>
    <x v="0"/>
    <x v="45"/>
    <x v="6"/>
    <x v="3"/>
    <x v="180"/>
    <x v="2"/>
    <x v="0"/>
    <x v="0"/>
    <x v="17"/>
    <x v="82"/>
  </r>
  <r>
    <x v="186"/>
    <x v="0"/>
    <x v="154"/>
    <x v="0"/>
    <x v="0"/>
    <x v="0"/>
    <x v="1"/>
    <x v="77"/>
    <x v="0"/>
    <x v="0"/>
    <x v="77"/>
    <x v="1"/>
    <x v="0"/>
    <x v="181"/>
    <x v="0"/>
    <x v="0"/>
    <x v="0"/>
    <x v="15"/>
    <x v="9"/>
  </r>
  <r>
    <x v="187"/>
    <x v="3"/>
    <x v="155"/>
    <x v="0"/>
    <x v="0"/>
    <x v="0"/>
    <x v="43"/>
    <x v="78"/>
    <x v="0"/>
    <x v="0"/>
    <x v="78"/>
    <x v="43"/>
    <x v="0"/>
    <x v="182"/>
    <x v="0"/>
    <x v="0"/>
    <x v="0"/>
    <x v="19"/>
    <x v="83"/>
  </r>
  <r>
    <x v="188"/>
    <x v="4"/>
    <x v="156"/>
    <x v="0"/>
    <x v="0"/>
    <x v="3"/>
    <x v="5"/>
    <x v="31"/>
    <x v="0"/>
    <x v="0"/>
    <x v="31"/>
    <x v="5"/>
    <x v="3"/>
    <x v="183"/>
    <x v="2"/>
    <x v="0"/>
    <x v="0"/>
    <x v="18"/>
    <x v="28"/>
  </r>
  <r>
    <x v="189"/>
    <x v="2"/>
    <x v="157"/>
    <x v="0"/>
    <x v="0"/>
    <x v="4"/>
    <x v="17"/>
    <x v="57"/>
    <x v="0"/>
    <x v="0"/>
    <x v="57"/>
    <x v="17"/>
    <x v="4"/>
    <x v="184"/>
    <x v="0"/>
    <x v="0"/>
    <x v="0"/>
    <x v="15"/>
    <x v="25"/>
  </r>
  <r>
    <x v="190"/>
    <x v="0"/>
    <x v="158"/>
    <x v="0"/>
    <x v="2"/>
    <x v="4"/>
    <x v="39"/>
    <x v="16"/>
    <x v="1"/>
    <x v="0"/>
    <x v="16"/>
    <x v="39"/>
    <x v="4"/>
    <x v="185"/>
    <x v="0"/>
    <x v="0"/>
    <x v="0"/>
    <x v="1"/>
    <x v="61"/>
  </r>
  <r>
    <x v="191"/>
    <x v="4"/>
    <x v="159"/>
    <x v="0"/>
    <x v="0"/>
    <x v="2"/>
    <x v="18"/>
    <x v="73"/>
    <x v="1"/>
    <x v="0"/>
    <x v="73"/>
    <x v="18"/>
    <x v="2"/>
    <x v="186"/>
    <x v="0"/>
    <x v="0"/>
    <x v="0"/>
    <x v="16"/>
    <x v="41"/>
  </r>
  <r>
    <x v="192"/>
    <x v="0"/>
    <x v="160"/>
    <x v="0"/>
    <x v="0"/>
    <x v="4"/>
    <x v="28"/>
    <x v="78"/>
    <x v="0"/>
    <x v="0"/>
    <x v="78"/>
    <x v="28"/>
    <x v="4"/>
    <x v="187"/>
    <x v="0"/>
    <x v="0"/>
    <x v="0"/>
    <x v="17"/>
    <x v="21"/>
  </r>
  <r>
    <x v="193"/>
    <x v="2"/>
    <x v="161"/>
    <x v="0"/>
    <x v="0"/>
    <x v="3"/>
    <x v="8"/>
    <x v="16"/>
    <x v="0"/>
    <x v="0"/>
    <x v="16"/>
    <x v="8"/>
    <x v="3"/>
    <x v="188"/>
    <x v="2"/>
    <x v="0"/>
    <x v="0"/>
    <x v="22"/>
    <x v="39"/>
  </r>
  <r>
    <x v="194"/>
    <x v="1"/>
    <x v="162"/>
    <x v="0"/>
    <x v="1"/>
    <x v="2"/>
    <x v="23"/>
    <x v="80"/>
    <x v="1"/>
    <x v="0"/>
    <x v="80"/>
    <x v="23"/>
    <x v="2"/>
    <x v="189"/>
    <x v="0"/>
    <x v="0"/>
    <x v="0"/>
    <x v="25"/>
    <x v="84"/>
  </r>
  <r>
    <x v="195"/>
    <x v="3"/>
    <x v="163"/>
    <x v="0"/>
    <x v="0"/>
    <x v="1"/>
    <x v="4"/>
    <x v="84"/>
    <x v="0"/>
    <x v="0"/>
    <x v="84"/>
    <x v="4"/>
    <x v="1"/>
    <x v="190"/>
    <x v="0"/>
    <x v="0"/>
    <x v="0"/>
    <x v="4"/>
    <x v="13"/>
  </r>
  <r>
    <x v="196"/>
    <x v="0"/>
    <x v="164"/>
    <x v="0"/>
    <x v="0"/>
    <x v="3"/>
    <x v="10"/>
    <x v="6"/>
    <x v="1"/>
    <x v="0"/>
    <x v="6"/>
    <x v="10"/>
    <x v="3"/>
    <x v="191"/>
    <x v="2"/>
    <x v="0"/>
    <x v="0"/>
    <x v="13"/>
    <x v="52"/>
  </r>
  <r>
    <x v="197"/>
    <x v="1"/>
    <x v="165"/>
    <x v="0"/>
    <x v="2"/>
    <x v="0"/>
    <x v="45"/>
    <x v="47"/>
    <x v="1"/>
    <x v="0"/>
    <x v="47"/>
    <x v="45"/>
    <x v="0"/>
    <x v="192"/>
    <x v="0"/>
    <x v="0"/>
    <x v="0"/>
    <x v="13"/>
    <x v="80"/>
  </r>
  <r>
    <x v="198"/>
    <x v="2"/>
    <x v="166"/>
    <x v="18"/>
    <x v="2"/>
    <x v="0"/>
    <x v="28"/>
    <x v="51"/>
    <x v="2"/>
    <x v="1"/>
    <x v="51"/>
    <x v="28"/>
    <x v="0"/>
    <x v="193"/>
    <x v="1"/>
    <x v="1"/>
    <x v="1"/>
    <x v="5"/>
    <x v="5"/>
  </r>
  <r>
    <x v="199"/>
    <x v="4"/>
    <x v="167"/>
    <x v="0"/>
    <x v="0"/>
    <x v="0"/>
    <x v="10"/>
    <x v="76"/>
    <x v="1"/>
    <x v="0"/>
    <x v="76"/>
    <x v="10"/>
    <x v="0"/>
    <x v="194"/>
    <x v="0"/>
    <x v="0"/>
    <x v="0"/>
    <x v="23"/>
    <x v="20"/>
  </r>
  <r>
    <x v="200"/>
    <x v="1"/>
    <x v="114"/>
    <x v="0"/>
    <x v="1"/>
    <x v="4"/>
    <x v="37"/>
    <x v="83"/>
    <x v="0"/>
    <x v="0"/>
    <x v="83"/>
    <x v="37"/>
    <x v="4"/>
    <x v="195"/>
    <x v="0"/>
    <x v="0"/>
    <x v="0"/>
    <x v="14"/>
    <x v="16"/>
  </r>
  <r>
    <x v="201"/>
    <x v="3"/>
    <x v="168"/>
    <x v="0"/>
    <x v="2"/>
    <x v="0"/>
    <x v="2"/>
    <x v="61"/>
    <x v="0"/>
    <x v="0"/>
    <x v="61"/>
    <x v="2"/>
    <x v="0"/>
    <x v="196"/>
    <x v="0"/>
    <x v="0"/>
    <x v="0"/>
    <x v="8"/>
    <x v="53"/>
  </r>
  <r>
    <x v="202"/>
    <x v="2"/>
    <x v="169"/>
    <x v="0"/>
    <x v="1"/>
    <x v="0"/>
    <x v="24"/>
    <x v="86"/>
    <x v="0"/>
    <x v="0"/>
    <x v="86"/>
    <x v="24"/>
    <x v="0"/>
    <x v="197"/>
    <x v="0"/>
    <x v="0"/>
    <x v="0"/>
    <x v="10"/>
    <x v="76"/>
  </r>
  <r>
    <x v="203"/>
    <x v="4"/>
    <x v="170"/>
    <x v="0"/>
    <x v="2"/>
    <x v="2"/>
    <x v="16"/>
    <x v="32"/>
    <x v="0"/>
    <x v="0"/>
    <x v="32"/>
    <x v="16"/>
    <x v="2"/>
    <x v="41"/>
    <x v="0"/>
    <x v="0"/>
    <x v="0"/>
    <x v="14"/>
    <x v="37"/>
  </r>
  <r>
    <x v="204"/>
    <x v="4"/>
    <x v="171"/>
    <x v="0"/>
    <x v="2"/>
    <x v="2"/>
    <x v="20"/>
    <x v="36"/>
    <x v="0"/>
    <x v="0"/>
    <x v="36"/>
    <x v="20"/>
    <x v="2"/>
    <x v="198"/>
    <x v="0"/>
    <x v="0"/>
    <x v="0"/>
    <x v="22"/>
    <x v="81"/>
  </r>
  <r>
    <x v="205"/>
    <x v="0"/>
    <x v="172"/>
    <x v="0"/>
    <x v="1"/>
    <x v="3"/>
    <x v="3"/>
    <x v="36"/>
    <x v="1"/>
    <x v="0"/>
    <x v="36"/>
    <x v="3"/>
    <x v="3"/>
    <x v="199"/>
    <x v="2"/>
    <x v="0"/>
    <x v="0"/>
    <x v="21"/>
    <x v="85"/>
  </r>
  <r>
    <x v="206"/>
    <x v="0"/>
    <x v="173"/>
    <x v="19"/>
    <x v="1"/>
    <x v="2"/>
    <x v="10"/>
    <x v="27"/>
    <x v="2"/>
    <x v="1"/>
    <x v="27"/>
    <x v="10"/>
    <x v="2"/>
    <x v="200"/>
    <x v="1"/>
    <x v="1"/>
    <x v="1"/>
    <x v="13"/>
    <x v="45"/>
  </r>
  <r>
    <x v="207"/>
    <x v="4"/>
    <x v="61"/>
    <x v="0"/>
    <x v="0"/>
    <x v="2"/>
    <x v="5"/>
    <x v="85"/>
    <x v="0"/>
    <x v="0"/>
    <x v="85"/>
    <x v="5"/>
    <x v="2"/>
    <x v="201"/>
    <x v="0"/>
    <x v="0"/>
    <x v="0"/>
    <x v="8"/>
    <x v="8"/>
  </r>
  <r>
    <x v="208"/>
    <x v="2"/>
    <x v="174"/>
    <x v="0"/>
    <x v="0"/>
    <x v="4"/>
    <x v="29"/>
    <x v="67"/>
    <x v="0"/>
    <x v="0"/>
    <x v="67"/>
    <x v="29"/>
    <x v="4"/>
    <x v="202"/>
    <x v="0"/>
    <x v="0"/>
    <x v="0"/>
    <x v="21"/>
    <x v="50"/>
  </r>
  <r>
    <x v="209"/>
    <x v="0"/>
    <x v="175"/>
    <x v="0"/>
    <x v="2"/>
    <x v="2"/>
    <x v="32"/>
    <x v="35"/>
    <x v="0"/>
    <x v="0"/>
    <x v="35"/>
    <x v="32"/>
    <x v="2"/>
    <x v="203"/>
    <x v="0"/>
    <x v="0"/>
    <x v="0"/>
    <x v="16"/>
    <x v="41"/>
  </r>
  <r>
    <x v="210"/>
    <x v="3"/>
    <x v="176"/>
    <x v="0"/>
    <x v="0"/>
    <x v="0"/>
    <x v="29"/>
    <x v="62"/>
    <x v="1"/>
    <x v="0"/>
    <x v="62"/>
    <x v="29"/>
    <x v="0"/>
    <x v="204"/>
    <x v="0"/>
    <x v="0"/>
    <x v="0"/>
    <x v="18"/>
    <x v="67"/>
  </r>
  <r>
    <x v="211"/>
    <x v="1"/>
    <x v="177"/>
    <x v="20"/>
    <x v="1"/>
    <x v="3"/>
    <x v="41"/>
    <x v="43"/>
    <x v="2"/>
    <x v="1"/>
    <x v="43"/>
    <x v="41"/>
    <x v="3"/>
    <x v="205"/>
    <x v="1"/>
    <x v="1"/>
    <x v="1"/>
    <x v="13"/>
    <x v="52"/>
  </r>
  <r>
    <x v="212"/>
    <x v="4"/>
    <x v="178"/>
    <x v="0"/>
    <x v="0"/>
    <x v="4"/>
    <x v="9"/>
    <x v="39"/>
    <x v="0"/>
    <x v="0"/>
    <x v="39"/>
    <x v="9"/>
    <x v="4"/>
    <x v="206"/>
    <x v="0"/>
    <x v="0"/>
    <x v="0"/>
    <x v="3"/>
    <x v="42"/>
  </r>
  <r>
    <x v="213"/>
    <x v="2"/>
    <x v="179"/>
    <x v="0"/>
    <x v="1"/>
    <x v="4"/>
    <x v="12"/>
    <x v="79"/>
    <x v="1"/>
    <x v="0"/>
    <x v="79"/>
    <x v="12"/>
    <x v="4"/>
    <x v="207"/>
    <x v="0"/>
    <x v="0"/>
    <x v="0"/>
    <x v="19"/>
    <x v="30"/>
  </r>
  <r>
    <x v="214"/>
    <x v="3"/>
    <x v="180"/>
    <x v="0"/>
    <x v="2"/>
    <x v="2"/>
    <x v="0"/>
    <x v="68"/>
    <x v="0"/>
    <x v="0"/>
    <x v="68"/>
    <x v="0"/>
    <x v="2"/>
    <x v="208"/>
    <x v="0"/>
    <x v="0"/>
    <x v="0"/>
    <x v="5"/>
    <x v="60"/>
  </r>
  <r>
    <x v="215"/>
    <x v="4"/>
    <x v="181"/>
    <x v="0"/>
    <x v="2"/>
    <x v="1"/>
    <x v="22"/>
    <x v="87"/>
    <x v="1"/>
    <x v="0"/>
    <x v="87"/>
    <x v="22"/>
    <x v="1"/>
    <x v="209"/>
    <x v="0"/>
    <x v="0"/>
    <x v="0"/>
    <x v="0"/>
    <x v="45"/>
  </r>
  <r>
    <x v="216"/>
    <x v="3"/>
    <x v="152"/>
    <x v="0"/>
    <x v="2"/>
    <x v="3"/>
    <x v="36"/>
    <x v="81"/>
    <x v="1"/>
    <x v="0"/>
    <x v="81"/>
    <x v="36"/>
    <x v="3"/>
    <x v="210"/>
    <x v="2"/>
    <x v="0"/>
    <x v="0"/>
    <x v="23"/>
    <x v="43"/>
  </r>
  <r>
    <x v="217"/>
    <x v="1"/>
    <x v="182"/>
    <x v="0"/>
    <x v="0"/>
    <x v="2"/>
    <x v="2"/>
    <x v="48"/>
    <x v="0"/>
    <x v="0"/>
    <x v="48"/>
    <x v="2"/>
    <x v="2"/>
    <x v="211"/>
    <x v="0"/>
    <x v="0"/>
    <x v="0"/>
    <x v="0"/>
    <x v="46"/>
  </r>
  <r>
    <x v="218"/>
    <x v="3"/>
    <x v="14"/>
    <x v="0"/>
    <x v="2"/>
    <x v="4"/>
    <x v="47"/>
    <x v="42"/>
    <x v="0"/>
    <x v="0"/>
    <x v="42"/>
    <x v="47"/>
    <x v="4"/>
    <x v="212"/>
    <x v="0"/>
    <x v="0"/>
    <x v="0"/>
    <x v="4"/>
    <x v="32"/>
  </r>
  <r>
    <x v="219"/>
    <x v="4"/>
    <x v="183"/>
    <x v="0"/>
    <x v="0"/>
    <x v="4"/>
    <x v="18"/>
    <x v="38"/>
    <x v="0"/>
    <x v="0"/>
    <x v="38"/>
    <x v="18"/>
    <x v="4"/>
    <x v="213"/>
    <x v="0"/>
    <x v="0"/>
    <x v="0"/>
    <x v="15"/>
    <x v="25"/>
  </r>
  <r>
    <x v="220"/>
    <x v="3"/>
    <x v="184"/>
    <x v="0"/>
    <x v="0"/>
    <x v="1"/>
    <x v="41"/>
    <x v="20"/>
    <x v="1"/>
    <x v="0"/>
    <x v="20"/>
    <x v="41"/>
    <x v="1"/>
    <x v="214"/>
    <x v="0"/>
    <x v="0"/>
    <x v="0"/>
    <x v="16"/>
    <x v="55"/>
  </r>
  <r>
    <x v="221"/>
    <x v="2"/>
    <x v="185"/>
    <x v="0"/>
    <x v="2"/>
    <x v="4"/>
    <x v="49"/>
    <x v="46"/>
    <x v="1"/>
    <x v="0"/>
    <x v="46"/>
    <x v="49"/>
    <x v="4"/>
    <x v="215"/>
    <x v="0"/>
    <x v="0"/>
    <x v="0"/>
    <x v="9"/>
    <x v="71"/>
  </r>
  <r>
    <x v="222"/>
    <x v="0"/>
    <x v="186"/>
    <x v="0"/>
    <x v="0"/>
    <x v="3"/>
    <x v="23"/>
    <x v="87"/>
    <x v="0"/>
    <x v="0"/>
    <x v="87"/>
    <x v="23"/>
    <x v="3"/>
    <x v="216"/>
    <x v="2"/>
    <x v="0"/>
    <x v="0"/>
    <x v="19"/>
    <x v="33"/>
  </r>
  <r>
    <x v="223"/>
    <x v="1"/>
    <x v="187"/>
    <x v="0"/>
    <x v="2"/>
    <x v="2"/>
    <x v="14"/>
    <x v="23"/>
    <x v="0"/>
    <x v="0"/>
    <x v="23"/>
    <x v="14"/>
    <x v="2"/>
    <x v="217"/>
    <x v="0"/>
    <x v="0"/>
    <x v="0"/>
    <x v="4"/>
    <x v="4"/>
  </r>
  <r>
    <x v="224"/>
    <x v="3"/>
    <x v="188"/>
    <x v="0"/>
    <x v="2"/>
    <x v="0"/>
    <x v="14"/>
    <x v="9"/>
    <x v="1"/>
    <x v="0"/>
    <x v="9"/>
    <x v="14"/>
    <x v="0"/>
    <x v="218"/>
    <x v="0"/>
    <x v="0"/>
    <x v="0"/>
    <x v="13"/>
    <x v="80"/>
  </r>
  <r>
    <x v="225"/>
    <x v="1"/>
    <x v="142"/>
    <x v="0"/>
    <x v="1"/>
    <x v="1"/>
    <x v="39"/>
    <x v="37"/>
    <x v="0"/>
    <x v="0"/>
    <x v="37"/>
    <x v="39"/>
    <x v="1"/>
    <x v="219"/>
    <x v="0"/>
    <x v="0"/>
    <x v="0"/>
    <x v="2"/>
    <x v="2"/>
  </r>
  <r>
    <x v="226"/>
    <x v="0"/>
    <x v="189"/>
    <x v="0"/>
    <x v="1"/>
    <x v="1"/>
    <x v="6"/>
    <x v="31"/>
    <x v="1"/>
    <x v="0"/>
    <x v="31"/>
    <x v="6"/>
    <x v="1"/>
    <x v="220"/>
    <x v="0"/>
    <x v="0"/>
    <x v="0"/>
    <x v="22"/>
    <x v="36"/>
  </r>
  <r>
    <x v="227"/>
    <x v="0"/>
    <x v="190"/>
    <x v="21"/>
    <x v="1"/>
    <x v="3"/>
    <x v="29"/>
    <x v="52"/>
    <x v="2"/>
    <x v="1"/>
    <x v="52"/>
    <x v="29"/>
    <x v="3"/>
    <x v="221"/>
    <x v="1"/>
    <x v="1"/>
    <x v="1"/>
    <x v="5"/>
    <x v="72"/>
  </r>
  <r>
    <x v="228"/>
    <x v="1"/>
    <x v="33"/>
    <x v="0"/>
    <x v="0"/>
    <x v="4"/>
    <x v="16"/>
    <x v="60"/>
    <x v="0"/>
    <x v="0"/>
    <x v="60"/>
    <x v="16"/>
    <x v="4"/>
    <x v="222"/>
    <x v="0"/>
    <x v="0"/>
    <x v="0"/>
    <x v="15"/>
    <x v="25"/>
  </r>
  <r>
    <x v="229"/>
    <x v="0"/>
    <x v="191"/>
    <x v="0"/>
    <x v="2"/>
    <x v="3"/>
    <x v="11"/>
    <x v="26"/>
    <x v="0"/>
    <x v="0"/>
    <x v="26"/>
    <x v="11"/>
    <x v="3"/>
    <x v="223"/>
    <x v="2"/>
    <x v="0"/>
    <x v="0"/>
    <x v="10"/>
    <x v="14"/>
  </r>
  <r>
    <x v="230"/>
    <x v="2"/>
    <x v="192"/>
    <x v="0"/>
    <x v="0"/>
    <x v="1"/>
    <x v="32"/>
    <x v="88"/>
    <x v="1"/>
    <x v="0"/>
    <x v="88"/>
    <x v="32"/>
    <x v="1"/>
    <x v="224"/>
    <x v="0"/>
    <x v="0"/>
    <x v="0"/>
    <x v="23"/>
    <x v="37"/>
  </r>
  <r>
    <x v="231"/>
    <x v="4"/>
    <x v="92"/>
    <x v="0"/>
    <x v="1"/>
    <x v="0"/>
    <x v="31"/>
    <x v="89"/>
    <x v="0"/>
    <x v="0"/>
    <x v="89"/>
    <x v="31"/>
    <x v="0"/>
    <x v="225"/>
    <x v="0"/>
    <x v="0"/>
    <x v="0"/>
    <x v="27"/>
    <x v="58"/>
  </r>
  <r>
    <x v="232"/>
    <x v="4"/>
    <x v="193"/>
    <x v="0"/>
    <x v="0"/>
    <x v="0"/>
    <x v="27"/>
    <x v="45"/>
    <x v="0"/>
    <x v="0"/>
    <x v="45"/>
    <x v="27"/>
    <x v="0"/>
    <x v="226"/>
    <x v="0"/>
    <x v="0"/>
    <x v="0"/>
    <x v="0"/>
    <x v="0"/>
  </r>
  <r>
    <x v="233"/>
    <x v="1"/>
    <x v="41"/>
    <x v="0"/>
    <x v="2"/>
    <x v="1"/>
    <x v="39"/>
    <x v="56"/>
    <x v="0"/>
    <x v="0"/>
    <x v="56"/>
    <x v="39"/>
    <x v="1"/>
    <x v="227"/>
    <x v="0"/>
    <x v="0"/>
    <x v="0"/>
    <x v="20"/>
    <x v="34"/>
  </r>
  <r>
    <x v="234"/>
    <x v="0"/>
    <x v="118"/>
    <x v="0"/>
    <x v="1"/>
    <x v="4"/>
    <x v="40"/>
    <x v="78"/>
    <x v="1"/>
    <x v="0"/>
    <x v="78"/>
    <x v="40"/>
    <x v="4"/>
    <x v="228"/>
    <x v="0"/>
    <x v="0"/>
    <x v="0"/>
    <x v="22"/>
    <x v="85"/>
  </r>
  <r>
    <x v="235"/>
    <x v="4"/>
    <x v="194"/>
    <x v="0"/>
    <x v="2"/>
    <x v="4"/>
    <x v="16"/>
    <x v="90"/>
    <x v="1"/>
    <x v="0"/>
    <x v="90"/>
    <x v="16"/>
    <x v="4"/>
    <x v="229"/>
    <x v="0"/>
    <x v="0"/>
    <x v="0"/>
    <x v="22"/>
    <x v="85"/>
  </r>
  <r>
    <x v="236"/>
    <x v="2"/>
    <x v="195"/>
    <x v="0"/>
    <x v="0"/>
    <x v="3"/>
    <x v="39"/>
    <x v="63"/>
    <x v="0"/>
    <x v="0"/>
    <x v="63"/>
    <x v="39"/>
    <x v="3"/>
    <x v="230"/>
    <x v="2"/>
    <x v="0"/>
    <x v="0"/>
    <x v="17"/>
    <x v="82"/>
  </r>
  <r>
    <x v="237"/>
    <x v="0"/>
    <x v="196"/>
    <x v="0"/>
    <x v="0"/>
    <x v="4"/>
    <x v="4"/>
    <x v="81"/>
    <x v="1"/>
    <x v="0"/>
    <x v="81"/>
    <x v="4"/>
    <x v="4"/>
    <x v="231"/>
    <x v="0"/>
    <x v="0"/>
    <x v="0"/>
    <x v="22"/>
    <x v="85"/>
  </r>
  <r>
    <x v="238"/>
    <x v="4"/>
    <x v="197"/>
    <x v="0"/>
    <x v="0"/>
    <x v="0"/>
    <x v="23"/>
    <x v="56"/>
    <x v="1"/>
    <x v="0"/>
    <x v="56"/>
    <x v="23"/>
    <x v="0"/>
    <x v="232"/>
    <x v="0"/>
    <x v="0"/>
    <x v="0"/>
    <x v="9"/>
    <x v="11"/>
  </r>
  <r>
    <x v="239"/>
    <x v="1"/>
    <x v="0"/>
    <x v="0"/>
    <x v="2"/>
    <x v="0"/>
    <x v="6"/>
    <x v="6"/>
    <x v="0"/>
    <x v="0"/>
    <x v="6"/>
    <x v="6"/>
    <x v="0"/>
    <x v="233"/>
    <x v="0"/>
    <x v="0"/>
    <x v="0"/>
    <x v="0"/>
    <x v="0"/>
  </r>
  <r>
    <x v="240"/>
    <x v="4"/>
    <x v="198"/>
    <x v="0"/>
    <x v="2"/>
    <x v="0"/>
    <x v="3"/>
    <x v="87"/>
    <x v="0"/>
    <x v="0"/>
    <x v="87"/>
    <x v="3"/>
    <x v="0"/>
    <x v="234"/>
    <x v="0"/>
    <x v="0"/>
    <x v="0"/>
    <x v="14"/>
    <x v="77"/>
  </r>
  <r>
    <x v="241"/>
    <x v="4"/>
    <x v="199"/>
    <x v="0"/>
    <x v="0"/>
    <x v="2"/>
    <x v="48"/>
    <x v="70"/>
    <x v="1"/>
    <x v="0"/>
    <x v="70"/>
    <x v="48"/>
    <x v="2"/>
    <x v="235"/>
    <x v="0"/>
    <x v="0"/>
    <x v="0"/>
    <x v="18"/>
    <x v="86"/>
  </r>
  <r>
    <x v="242"/>
    <x v="0"/>
    <x v="200"/>
    <x v="0"/>
    <x v="1"/>
    <x v="2"/>
    <x v="2"/>
    <x v="15"/>
    <x v="1"/>
    <x v="0"/>
    <x v="15"/>
    <x v="2"/>
    <x v="2"/>
    <x v="236"/>
    <x v="0"/>
    <x v="0"/>
    <x v="0"/>
    <x v="3"/>
    <x v="3"/>
  </r>
  <r>
    <x v="243"/>
    <x v="0"/>
    <x v="176"/>
    <x v="0"/>
    <x v="1"/>
    <x v="2"/>
    <x v="10"/>
    <x v="41"/>
    <x v="1"/>
    <x v="0"/>
    <x v="41"/>
    <x v="10"/>
    <x v="2"/>
    <x v="237"/>
    <x v="0"/>
    <x v="0"/>
    <x v="0"/>
    <x v="18"/>
    <x v="86"/>
  </r>
  <r>
    <x v="244"/>
    <x v="3"/>
    <x v="201"/>
    <x v="0"/>
    <x v="0"/>
    <x v="3"/>
    <x v="48"/>
    <x v="10"/>
    <x v="1"/>
    <x v="0"/>
    <x v="10"/>
    <x v="48"/>
    <x v="3"/>
    <x v="238"/>
    <x v="2"/>
    <x v="0"/>
    <x v="0"/>
    <x v="2"/>
    <x v="64"/>
  </r>
  <r>
    <x v="245"/>
    <x v="0"/>
    <x v="202"/>
    <x v="0"/>
    <x v="2"/>
    <x v="3"/>
    <x v="39"/>
    <x v="7"/>
    <x v="0"/>
    <x v="0"/>
    <x v="7"/>
    <x v="39"/>
    <x v="3"/>
    <x v="239"/>
    <x v="2"/>
    <x v="0"/>
    <x v="0"/>
    <x v="19"/>
    <x v="33"/>
  </r>
  <r>
    <x v="246"/>
    <x v="4"/>
    <x v="203"/>
    <x v="0"/>
    <x v="0"/>
    <x v="4"/>
    <x v="33"/>
    <x v="81"/>
    <x v="0"/>
    <x v="0"/>
    <x v="81"/>
    <x v="33"/>
    <x v="4"/>
    <x v="240"/>
    <x v="0"/>
    <x v="0"/>
    <x v="0"/>
    <x v="18"/>
    <x v="23"/>
  </r>
  <r>
    <x v="247"/>
    <x v="4"/>
    <x v="47"/>
    <x v="0"/>
    <x v="0"/>
    <x v="2"/>
    <x v="31"/>
    <x v="44"/>
    <x v="1"/>
    <x v="0"/>
    <x v="44"/>
    <x v="31"/>
    <x v="2"/>
    <x v="241"/>
    <x v="0"/>
    <x v="0"/>
    <x v="0"/>
    <x v="21"/>
    <x v="36"/>
  </r>
  <r>
    <x v="248"/>
    <x v="1"/>
    <x v="204"/>
    <x v="0"/>
    <x v="1"/>
    <x v="1"/>
    <x v="50"/>
    <x v="67"/>
    <x v="0"/>
    <x v="0"/>
    <x v="67"/>
    <x v="50"/>
    <x v="1"/>
    <x v="242"/>
    <x v="0"/>
    <x v="0"/>
    <x v="0"/>
    <x v="0"/>
    <x v="45"/>
  </r>
  <r>
    <x v="249"/>
    <x v="1"/>
    <x v="205"/>
    <x v="0"/>
    <x v="0"/>
    <x v="1"/>
    <x v="50"/>
    <x v="9"/>
    <x v="0"/>
    <x v="0"/>
    <x v="9"/>
    <x v="50"/>
    <x v="1"/>
    <x v="243"/>
    <x v="0"/>
    <x v="0"/>
    <x v="0"/>
    <x v="18"/>
    <x v="31"/>
  </r>
  <r>
    <x v="250"/>
    <x v="0"/>
    <x v="206"/>
    <x v="0"/>
    <x v="2"/>
    <x v="3"/>
    <x v="41"/>
    <x v="91"/>
    <x v="1"/>
    <x v="0"/>
    <x v="91"/>
    <x v="41"/>
    <x v="3"/>
    <x v="244"/>
    <x v="2"/>
    <x v="0"/>
    <x v="0"/>
    <x v="20"/>
    <x v="32"/>
  </r>
  <r>
    <x v="251"/>
    <x v="0"/>
    <x v="175"/>
    <x v="0"/>
    <x v="0"/>
    <x v="3"/>
    <x v="38"/>
    <x v="62"/>
    <x v="1"/>
    <x v="0"/>
    <x v="62"/>
    <x v="38"/>
    <x v="3"/>
    <x v="245"/>
    <x v="2"/>
    <x v="0"/>
    <x v="0"/>
    <x v="16"/>
    <x v="27"/>
  </r>
  <r>
    <x v="252"/>
    <x v="4"/>
    <x v="126"/>
    <x v="22"/>
    <x v="1"/>
    <x v="0"/>
    <x v="2"/>
    <x v="51"/>
    <x v="2"/>
    <x v="1"/>
    <x v="51"/>
    <x v="2"/>
    <x v="0"/>
    <x v="246"/>
    <x v="1"/>
    <x v="1"/>
    <x v="1"/>
    <x v="21"/>
    <x v="75"/>
  </r>
  <r>
    <x v="253"/>
    <x v="1"/>
    <x v="207"/>
    <x v="0"/>
    <x v="2"/>
    <x v="1"/>
    <x v="26"/>
    <x v="52"/>
    <x v="0"/>
    <x v="0"/>
    <x v="52"/>
    <x v="26"/>
    <x v="1"/>
    <x v="247"/>
    <x v="0"/>
    <x v="0"/>
    <x v="0"/>
    <x v="18"/>
    <x v="31"/>
  </r>
  <r>
    <x v="254"/>
    <x v="0"/>
    <x v="208"/>
    <x v="0"/>
    <x v="0"/>
    <x v="1"/>
    <x v="27"/>
    <x v="86"/>
    <x v="0"/>
    <x v="0"/>
    <x v="86"/>
    <x v="27"/>
    <x v="1"/>
    <x v="248"/>
    <x v="0"/>
    <x v="0"/>
    <x v="0"/>
    <x v="14"/>
    <x v="20"/>
  </r>
  <r>
    <x v="255"/>
    <x v="3"/>
    <x v="103"/>
    <x v="0"/>
    <x v="2"/>
    <x v="2"/>
    <x v="22"/>
    <x v="6"/>
    <x v="0"/>
    <x v="0"/>
    <x v="6"/>
    <x v="22"/>
    <x v="2"/>
    <x v="249"/>
    <x v="0"/>
    <x v="0"/>
    <x v="0"/>
    <x v="14"/>
    <x v="37"/>
  </r>
  <r>
    <x v="256"/>
    <x v="1"/>
    <x v="209"/>
    <x v="0"/>
    <x v="2"/>
    <x v="3"/>
    <x v="10"/>
    <x v="18"/>
    <x v="0"/>
    <x v="0"/>
    <x v="18"/>
    <x v="10"/>
    <x v="3"/>
    <x v="250"/>
    <x v="2"/>
    <x v="0"/>
    <x v="0"/>
    <x v="18"/>
    <x v="28"/>
  </r>
  <r>
    <x v="257"/>
    <x v="1"/>
    <x v="200"/>
    <x v="23"/>
    <x v="1"/>
    <x v="3"/>
    <x v="35"/>
    <x v="70"/>
    <x v="2"/>
    <x v="1"/>
    <x v="70"/>
    <x v="35"/>
    <x v="3"/>
    <x v="251"/>
    <x v="1"/>
    <x v="1"/>
    <x v="1"/>
    <x v="7"/>
    <x v="87"/>
  </r>
  <r>
    <x v="258"/>
    <x v="0"/>
    <x v="97"/>
    <x v="24"/>
    <x v="0"/>
    <x v="3"/>
    <x v="13"/>
    <x v="83"/>
    <x v="2"/>
    <x v="1"/>
    <x v="83"/>
    <x v="13"/>
    <x v="3"/>
    <x v="252"/>
    <x v="1"/>
    <x v="1"/>
    <x v="1"/>
    <x v="22"/>
    <x v="39"/>
  </r>
  <r>
    <x v="259"/>
    <x v="3"/>
    <x v="210"/>
    <x v="0"/>
    <x v="1"/>
    <x v="4"/>
    <x v="8"/>
    <x v="72"/>
    <x v="0"/>
    <x v="0"/>
    <x v="72"/>
    <x v="8"/>
    <x v="4"/>
    <x v="253"/>
    <x v="0"/>
    <x v="0"/>
    <x v="0"/>
    <x v="17"/>
    <x v="21"/>
  </r>
  <r>
    <x v="260"/>
    <x v="2"/>
    <x v="211"/>
    <x v="0"/>
    <x v="1"/>
    <x v="2"/>
    <x v="7"/>
    <x v="25"/>
    <x v="1"/>
    <x v="0"/>
    <x v="25"/>
    <x v="7"/>
    <x v="2"/>
    <x v="254"/>
    <x v="0"/>
    <x v="0"/>
    <x v="0"/>
    <x v="16"/>
    <x v="41"/>
  </r>
  <r>
    <x v="261"/>
    <x v="0"/>
    <x v="212"/>
    <x v="0"/>
    <x v="0"/>
    <x v="1"/>
    <x v="35"/>
    <x v="87"/>
    <x v="1"/>
    <x v="0"/>
    <x v="87"/>
    <x v="35"/>
    <x v="1"/>
    <x v="255"/>
    <x v="0"/>
    <x v="0"/>
    <x v="0"/>
    <x v="17"/>
    <x v="88"/>
  </r>
  <r>
    <x v="262"/>
    <x v="3"/>
    <x v="184"/>
    <x v="0"/>
    <x v="2"/>
    <x v="4"/>
    <x v="41"/>
    <x v="15"/>
    <x v="1"/>
    <x v="0"/>
    <x v="15"/>
    <x v="41"/>
    <x v="4"/>
    <x v="256"/>
    <x v="0"/>
    <x v="0"/>
    <x v="0"/>
    <x v="16"/>
    <x v="18"/>
  </r>
  <r>
    <x v="263"/>
    <x v="2"/>
    <x v="213"/>
    <x v="25"/>
    <x v="1"/>
    <x v="4"/>
    <x v="14"/>
    <x v="34"/>
    <x v="2"/>
    <x v="1"/>
    <x v="34"/>
    <x v="14"/>
    <x v="4"/>
    <x v="257"/>
    <x v="1"/>
    <x v="1"/>
    <x v="1"/>
    <x v="12"/>
    <x v="89"/>
  </r>
  <r>
    <x v="264"/>
    <x v="4"/>
    <x v="214"/>
    <x v="0"/>
    <x v="0"/>
    <x v="4"/>
    <x v="49"/>
    <x v="54"/>
    <x v="1"/>
    <x v="0"/>
    <x v="54"/>
    <x v="49"/>
    <x v="4"/>
    <x v="258"/>
    <x v="0"/>
    <x v="0"/>
    <x v="0"/>
    <x v="18"/>
    <x v="23"/>
  </r>
  <r>
    <x v="265"/>
    <x v="3"/>
    <x v="196"/>
    <x v="0"/>
    <x v="0"/>
    <x v="1"/>
    <x v="15"/>
    <x v="12"/>
    <x v="1"/>
    <x v="0"/>
    <x v="12"/>
    <x v="15"/>
    <x v="1"/>
    <x v="259"/>
    <x v="0"/>
    <x v="0"/>
    <x v="0"/>
    <x v="22"/>
    <x v="36"/>
  </r>
  <r>
    <x v="266"/>
    <x v="4"/>
    <x v="215"/>
    <x v="0"/>
    <x v="1"/>
    <x v="4"/>
    <x v="17"/>
    <x v="76"/>
    <x v="1"/>
    <x v="0"/>
    <x v="76"/>
    <x v="17"/>
    <x v="4"/>
    <x v="260"/>
    <x v="0"/>
    <x v="0"/>
    <x v="0"/>
    <x v="5"/>
    <x v="15"/>
  </r>
  <r>
    <x v="267"/>
    <x v="4"/>
    <x v="216"/>
    <x v="0"/>
    <x v="1"/>
    <x v="3"/>
    <x v="47"/>
    <x v="23"/>
    <x v="0"/>
    <x v="0"/>
    <x v="23"/>
    <x v="47"/>
    <x v="3"/>
    <x v="261"/>
    <x v="2"/>
    <x v="0"/>
    <x v="0"/>
    <x v="5"/>
    <x v="72"/>
  </r>
  <r>
    <x v="268"/>
    <x v="0"/>
    <x v="217"/>
    <x v="0"/>
    <x v="2"/>
    <x v="2"/>
    <x v="21"/>
    <x v="92"/>
    <x v="1"/>
    <x v="0"/>
    <x v="92"/>
    <x v="21"/>
    <x v="2"/>
    <x v="262"/>
    <x v="0"/>
    <x v="0"/>
    <x v="0"/>
    <x v="27"/>
    <x v="56"/>
  </r>
  <r>
    <x v="269"/>
    <x v="0"/>
    <x v="218"/>
    <x v="0"/>
    <x v="2"/>
    <x v="4"/>
    <x v="16"/>
    <x v="30"/>
    <x v="1"/>
    <x v="0"/>
    <x v="30"/>
    <x v="16"/>
    <x v="4"/>
    <x v="48"/>
    <x v="0"/>
    <x v="0"/>
    <x v="0"/>
    <x v="18"/>
    <x v="23"/>
  </r>
  <r>
    <x v="270"/>
    <x v="4"/>
    <x v="219"/>
    <x v="0"/>
    <x v="0"/>
    <x v="3"/>
    <x v="39"/>
    <x v="25"/>
    <x v="1"/>
    <x v="0"/>
    <x v="25"/>
    <x v="39"/>
    <x v="3"/>
    <x v="263"/>
    <x v="2"/>
    <x v="0"/>
    <x v="0"/>
    <x v="1"/>
    <x v="42"/>
  </r>
  <r>
    <x v="271"/>
    <x v="4"/>
    <x v="98"/>
    <x v="0"/>
    <x v="1"/>
    <x v="3"/>
    <x v="0"/>
    <x v="91"/>
    <x v="1"/>
    <x v="0"/>
    <x v="91"/>
    <x v="0"/>
    <x v="3"/>
    <x v="264"/>
    <x v="2"/>
    <x v="0"/>
    <x v="0"/>
    <x v="5"/>
    <x v="72"/>
  </r>
  <r>
    <x v="272"/>
    <x v="0"/>
    <x v="129"/>
    <x v="0"/>
    <x v="0"/>
    <x v="3"/>
    <x v="16"/>
    <x v="26"/>
    <x v="1"/>
    <x v="0"/>
    <x v="26"/>
    <x v="16"/>
    <x v="3"/>
    <x v="265"/>
    <x v="2"/>
    <x v="0"/>
    <x v="0"/>
    <x v="4"/>
    <x v="35"/>
  </r>
  <r>
    <x v="273"/>
    <x v="3"/>
    <x v="220"/>
    <x v="0"/>
    <x v="0"/>
    <x v="0"/>
    <x v="9"/>
    <x v="11"/>
    <x v="0"/>
    <x v="0"/>
    <x v="11"/>
    <x v="9"/>
    <x v="0"/>
    <x v="266"/>
    <x v="0"/>
    <x v="0"/>
    <x v="0"/>
    <x v="8"/>
    <x v="53"/>
  </r>
  <r>
    <x v="274"/>
    <x v="2"/>
    <x v="103"/>
    <x v="0"/>
    <x v="2"/>
    <x v="2"/>
    <x v="49"/>
    <x v="8"/>
    <x v="0"/>
    <x v="0"/>
    <x v="8"/>
    <x v="49"/>
    <x v="2"/>
    <x v="267"/>
    <x v="0"/>
    <x v="0"/>
    <x v="0"/>
    <x v="14"/>
    <x v="37"/>
  </r>
  <r>
    <x v="275"/>
    <x v="3"/>
    <x v="221"/>
    <x v="0"/>
    <x v="2"/>
    <x v="3"/>
    <x v="35"/>
    <x v="52"/>
    <x v="1"/>
    <x v="0"/>
    <x v="52"/>
    <x v="35"/>
    <x v="3"/>
    <x v="268"/>
    <x v="2"/>
    <x v="0"/>
    <x v="0"/>
    <x v="8"/>
    <x v="17"/>
  </r>
  <r>
    <x v="276"/>
    <x v="1"/>
    <x v="222"/>
    <x v="0"/>
    <x v="1"/>
    <x v="4"/>
    <x v="17"/>
    <x v="38"/>
    <x v="1"/>
    <x v="0"/>
    <x v="38"/>
    <x v="17"/>
    <x v="4"/>
    <x v="269"/>
    <x v="0"/>
    <x v="0"/>
    <x v="0"/>
    <x v="27"/>
    <x v="90"/>
  </r>
  <r>
    <x v="277"/>
    <x v="2"/>
    <x v="223"/>
    <x v="0"/>
    <x v="1"/>
    <x v="0"/>
    <x v="4"/>
    <x v="58"/>
    <x v="1"/>
    <x v="0"/>
    <x v="58"/>
    <x v="4"/>
    <x v="0"/>
    <x v="270"/>
    <x v="0"/>
    <x v="0"/>
    <x v="0"/>
    <x v="4"/>
    <x v="34"/>
  </r>
  <r>
    <x v="278"/>
    <x v="2"/>
    <x v="224"/>
    <x v="0"/>
    <x v="1"/>
    <x v="3"/>
    <x v="45"/>
    <x v="18"/>
    <x v="0"/>
    <x v="0"/>
    <x v="18"/>
    <x v="45"/>
    <x v="3"/>
    <x v="271"/>
    <x v="2"/>
    <x v="0"/>
    <x v="0"/>
    <x v="1"/>
    <x v="42"/>
  </r>
  <r>
    <x v="279"/>
    <x v="1"/>
    <x v="124"/>
    <x v="0"/>
    <x v="1"/>
    <x v="1"/>
    <x v="0"/>
    <x v="50"/>
    <x v="1"/>
    <x v="0"/>
    <x v="50"/>
    <x v="0"/>
    <x v="1"/>
    <x v="272"/>
    <x v="0"/>
    <x v="0"/>
    <x v="0"/>
    <x v="8"/>
    <x v="51"/>
  </r>
  <r>
    <x v="280"/>
    <x v="0"/>
    <x v="225"/>
    <x v="13"/>
    <x v="1"/>
    <x v="4"/>
    <x v="27"/>
    <x v="54"/>
    <x v="2"/>
    <x v="1"/>
    <x v="54"/>
    <x v="27"/>
    <x v="4"/>
    <x v="273"/>
    <x v="1"/>
    <x v="1"/>
    <x v="1"/>
    <x v="29"/>
    <x v="11"/>
  </r>
  <r>
    <x v="281"/>
    <x v="3"/>
    <x v="75"/>
    <x v="0"/>
    <x v="2"/>
    <x v="0"/>
    <x v="31"/>
    <x v="11"/>
    <x v="1"/>
    <x v="0"/>
    <x v="11"/>
    <x v="31"/>
    <x v="0"/>
    <x v="274"/>
    <x v="0"/>
    <x v="0"/>
    <x v="0"/>
    <x v="9"/>
    <x v="11"/>
  </r>
  <r>
    <x v="282"/>
    <x v="1"/>
    <x v="226"/>
    <x v="0"/>
    <x v="0"/>
    <x v="3"/>
    <x v="48"/>
    <x v="8"/>
    <x v="1"/>
    <x v="0"/>
    <x v="8"/>
    <x v="48"/>
    <x v="3"/>
    <x v="275"/>
    <x v="2"/>
    <x v="0"/>
    <x v="0"/>
    <x v="20"/>
    <x v="32"/>
  </r>
  <r>
    <x v="283"/>
    <x v="3"/>
    <x v="21"/>
    <x v="0"/>
    <x v="2"/>
    <x v="2"/>
    <x v="49"/>
    <x v="69"/>
    <x v="1"/>
    <x v="0"/>
    <x v="69"/>
    <x v="49"/>
    <x v="2"/>
    <x v="276"/>
    <x v="0"/>
    <x v="0"/>
    <x v="0"/>
    <x v="14"/>
    <x v="37"/>
  </r>
  <r>
    <x v="284"/>
    <x v="3"/>
    <x v="149"/>
    <x v="0"/>
    <x v="0"/>
    <x v="2"/>
    <x v="32"/>
    <x v="32"/>
    <x v="0"/>
    <x v="0"/>
    <x v="32"/>
    <x v="32"/>
    <x v="2"/>
    <x v="277"/>
    <x v="0"/>
    <x v="0"/>
    <x v="0"/>
    <x v="0"/>
    <x v="46"/>
  </r>
  <r>
    <x v="285"/>
    <x v="3"/>
    <x v="227"/>
    <x v="0"/>
    <x v="1"/>
    <x v="2"/>
    <x v="5"/>
    <x v="64"/>
    <x v="1"/>
    <x v="0"/>
    <x v="64"/>
    <x v="5"/>
    <x v="2"/>
    <x v="278"/>
    <x v="0"/>
    <x v="0"/>
    <x v="0"/>
    <x v="9"/>
    <x v="22"/>
  </r>
  <r>
    <x v="286"/>
    <x v="2"/>
    <x v="205"/>
    <x v="0"/>
    <x v="2"/>
    <x v="4"/>
    <x v="47"/>
    <x v="62"/>
    <x v="1"/>
    <x v="0"/>
    <x v="62"/>
    <x v="47"/>
    <x v="4"/>
    <x v="279"/>
    <x v="0"/>
    <x v="0"/>
    <x v="0"/>
    <x v="18"/>
    <x v="23"/>
  </r>
  <r>
    <x v="287"/>
    <x v="3"/>
    <x v="228"/>
    <x v="0"/>
    <x v="2"/>
    <x v="2"/>
    <x v="2"/>
    <x v="83"/>
    <x v="0"/>
    <x v="0"/>
    <x v="83"/>
    <x v="2"/>
    <x v="2"/>
    <x v="280"/>
    <x v="0"/>
    <x v="0"/>
    <x v="0"/>
    <x v="23"/>
    <x v="68"/>
  </r>
  <r>
    <x v="288"/>
    <x v="2"/>
    <x v="92"/>
    <x v="0"/>
    <x v="1"/>
    <x v="3"/>
    <x v="42"/>
    <x v="34"/>
    <x v="1"/>
    <x v="0"/>
    <x v="34"/>
    <x v="42"/>
    <x v="3"/>
    <x v="281"/>
    <x v="2"/>
    <x v="0"/>
    <x v="0"/>
    <x v="27"/>
    <x v="73"/>
  </r>
  <r>
    <x v="289"/>
    <x v="3"/>
    <x v="229"/>
    <x v="0"/>
    <x v="0"/>
    <x v="1"/>
    <x v="25"/>
    <x v="31"/>
    <x v="0"/>
    <x v="0"/>
    <x v="31"/>
    <x v="25"/>
    <x v="1"/>
    <x v="282"/>
    <x v="0"/>
    <x v="0"/>
    <x v="0"/>
    <x v="8"/>
    <x v="51"/>
  </r>
  <r>
    <x v="290"/>
    <x v="1"/>
    <x v="230"/>
    <x v="0"/>
    <x v="0"/>
    <x v="4"/>
    <x v="35"/>
    <x v="81"/>
    <x v="0"/>
    <x v="0"/>
    <x v="81"/>
    <x v="35"/>
    <x v="4"/>
    <x v="283"/>
    <x v="0"/>
    <x v="0"/>
    <x v="0"/>
    <x v="13"/>
    <x v="4"/>
  </r>
  <r>
    <x v="291"/>
    <x v="4"/>
    <x v="231"/>
    <x v="0"/>
    <x v="0"/>
    <x v="3"/>
    <x v="46"/>
    <x v="39"/>
    <x v="0"/>
    <x v="0"/>
    <x v="39"/>
    <x v="46"/>
    <x v="3"/>
    <x v="284"/>
    <x v="2"/>
    <x v="0"/>
    <x v="0"/>
    <x v="21"/>
    <x v="85"/>
  </r>
  <r>
    <x v="292"/>
    <x v="4"/>
    <x v="232"/>
    <x v="0"/>
    <x v="2"/>
    <x v="2"/>
    <x v="39"/>
    <x v="80"/>
    <x v="1"/>
    <x v="0"/>
    <x v="80"/>
    <x v="39"/>
    <x v="2"/>
    <x v="285"/>
    <x v="0"/>
    <x v="0"/>
    <x v="0"/>
    <x v="13"/>
    <x v="45"/>
  </r>
  <r>
    <x v="293"/>
    <x v="0"/>
    <x v="233"/>
    <x v="0"/>
    <x v="0"/>
    <x v="1"/>
    <x v="38"/>
    <x v="14"/>
    <x v="0"/>
    <x v="0"/>
    <x v="14"/>
    <x v="38"/>
    <x v="1"/>
    <x v="286"/>
    <x v="0"/>
    <x v="0"/>
    <x v="0"/>
    <x v="13"/>
    <x v="0"/>
  </r>
  <r>
    <x v="294"/>
    <x v="0"/>
    <x v="234"/>
    <x v="0"/>
    <x v="2"/>
    <x v="0"/>
    <x v="30"/>
    <x v="77"/>
    <x v="1"/>
    <x v="0"/>
    <x v="77"/>
    <x v="30"/>
    <x v="0"/>
    <x v="287"/>
    <x v="0"/>
    <x v="0"/>
    <x v="0"/>
    <x v="27"/>
    <x v="58"/>
  </r>
  <r>
    <x v="295"/>
    <x v="1"/>
    <x v="235"/>
    <x v="0"/>
    <x v="1"/>
    <x v="2"/>
    <x v="7"/>
    <x v="80"/>
    <x v="1"/>
    <x v="0"/>
    <x v="80"/>
    <x v="7"/>
    <x v="2"/>
    <x v="288"/>
    <x v="0"/>
    <x v="0"/>
    <x v="0"/>
    <x v="4"/>
    <x v="4"/>
  </r>
  <r>
    <x v="296"/>
    <x v="1"/>
    <x v="236"/>
    <x v="0"/>
    <x v="1"/>
    <x v="3"/>
    <x v="7"/>
    <x v="34"/>
    <x v="0"/>
    <x v="0"/>
    <x v="34"/>
    <x v="7"/>
    <x v="3"/>
    <x v="289"/>
    <x v="2"/>
    <x v="0"/>
    <x v="0"/>
    <x v="27"/>
    <x v="73"/>
  </r>
  <r>
    <x v="297"/>
    <x v="3"/>
    <x v="237"/>
    <x v="0"/>
    <x v="0"/>
    <x v="2"/>
    <x v="31"/>
    <x v="93"/>
    <x v="1"/>
    <x v="0"/>
    <x v="93"/>
    <x v="31"/>
    <x v="2"/>
    <x v="290"/>
    <x v="0"/>
    <x v="0"/>
    <x v="0"/>
    <x v="22"/>
    <x v="81"/>
  </r>
  <r>
    <x v="298"/>
    <x v="0"/>
    <x v="238"/>
    <x v="0"/>
    <x v="1"/>
    <x v="1"/>
    <x v="49"/>
    <x v="6"/>
    <x v="0"/>
    <x v="0"/>
    <x v="6"/>
    <x v="49"/>
    <x v="1"/>
    <x v="291"/>
    <x v="0"/>
    <x v="0"/>
    <x v="0"/>
    <x v="22"/>
    <x v="36"/>
  </r>
  <r>
    <x v="299"/>
    <x v="4"/>
    <x v="239"/>
    <x v="0"/>
    <x v="2"/>
    <x v="0"/>
    <x v="33"/>
    <x v="11"/>
    <x v="1"/>
    <x v="0"/>
    <x v="11"/>
    <x v="33"/>
    <x v="0"/>
    <x v="292"/>
    <x v="0"/>
    <x v="0"/>
    <x v="0"/>
    <x v="14"/>
    <x v="77"/>
  </r>
  <r>
    <x v="300"/>
    <x v="4"/>
    <x v="94"/>
    <x v="26"/>
    <x v="2"/>
    <x v="1"/>
    <x v="2"/>
    <x v="26"/>
    <x v="2"/>
    <x v="1"/>
    <x v="26"/>
    <x v="2"/>
    <x v="1"/>
    <x v="293"/>
    <x v="1"/>
    <x v="1"/>
    <x v="1"/>
    <x v="8"/>
    <x v="51"/>
  </r>
  <r>
    <x v="301"/>
    <x v="2"/>
    <x v="211"/>
    <x v="0"/>
    <x v="2"/>
    <x v="2"/>
    <x v="10"/>
    <x v="67"/>
    <x v="0"/>
    <x v="0"/>
    <x v="67"/>
    <x v="10"/>
    <x v="2"/>
    <x v="294"/>
    <x v="0"/>
    <x v="0"/>
    <x v="0"/>
    <x v="16"/>
    <x v="41"/>
  </r>
  <r>
    <x v="302"/>
    <x v="3"/>
    <x v="240"/>
    <x v="0"/>
    <x v="0"/>
    <x v="1"/>
    <x v="40"/>
    <x v="88"/>
    <x v="1"/>
    <x v="0"/>
    <x v="88"/>
    <x v="40"/>
    <x v="1"/>
    <x v="295"/>
    <x v="0"/>
    <x v="0"/>
    <x v="0"/>
    <x v="21"/>
    <x v="66"/>
  </r>
  <r>
    <x v="303"/>
    <x v="1"/>
    <x v="241"/>
    <x v="0"/>
    <x v="1"/>
    <x v="2"/>
    <x v="49"/>
    <x v="94"/>
    <x v="1"/>
    <x v="0"/>
    <x v="94"/>
    <x v="49"/>
    <x v="2"/>
    <x v="296"/>
    <x v="0"/>
    <x v="0"/>
    <x v="0"/>
    <x v="16"/>
    <x v="41"/>
  </r>
  <r>
    <x v="304"/>
    <x v="3"/>
    <x v="242"/>
    <x v="0"/>
    <x v="0"/>
    <x v="4"/>
    <x v="42"/>
    <x v="13"/>
    <x v="1"/>
    <x v="0"/>
    <x v="13"/>
    <x v="42"/>
    <x v="4"/>
    <x v="297"/>
    <x v="0"/>
    <x v="0"/>
    <x v="0"/>
    <x v="27"/>
    <x v="90"/>
  </r>
  <r>
    <x v="305"/>
    <x v="4"/>
    <x v="243"/>
    <x v="0"/>
    <x v="1"/>
    <x v="3"/>
    <x v="50"/>
    <x v="53"/>
    <x v="0"/>
    <x v="0"/>
    <x v="53"/>
    <x v="50"/>
    <x v="3"/>
    <x v="298"/>
    <x v="2"/>
    <x v="0"/>
    <x v="0"/>
    <x v="21"/>
    <x v="85"/>
  </r>
  <r>
    <x v="306"/>
    <x v="1"/>
    <x v="244"/>
    <x v="0"/>
    <x v="2"/>
    <x v="3"/>
    <x v="14"/>
    <x v="95"/>
    <x v="0"/>
    <x v="0"/>
    <x v="95"/>
    <x v="14"/>
    <x v="3"/>
    <x v="299"/>
    <x v="2"/>
    <x v="0"/>
    <x v="0"/>
    <x v="14"/>
    <x v="44"/>
  </r>
  <r>
    <x v="307"/>
    <x v="1"/>
    <x v="245"/>
    <x v="0"/>
    <x v="1"/>
    <x v="1"/>
    <x v="27"/>
    <x v="90"/>
    <x v="0"/>
    <x v="0"/>
    <x v="90"/>
    <x v="27"/>
    <x v="1"/>
    <x v="300"/>
    <x v="0"/>
    <x v="0"/>
    <x v="0"/>
    <x v="25"/>
    <x v="91"/>
  </r>
  <r>
    <x v="308"/>
    <x v="4"/>
    <x v="246"/>
    <x v="0"/>
    <x v="0"/>
    <x v="0"/>
    <x v="29"/>
    <x v="19"/>
    <x v="1"/>
    <x v="0"/>
    <x v="19"/>
    <x v="29"/>
    <x v="0"/>
    <x v="301"/>
    <x v="0"/>
    <x v="0"/>
    <x v="0"/>
    <x v="21"/>
    <x v="75"/>
  </r>
  <r>
    <x v="309"/>
    <x v="0"/>
    <x v="40"/>
    <x v="0"/>
    <x v="2"/>
    <x v="3"/>
    <x v="25"/>
    <x v="10"/>
    <x v="1"/>
    <x v="0"/>
    <x v="10"/>
    <x v="25"/>
    <x v="3"/>
    <x v="302"/>
    <x v="2"/>
    <x v="0"/>
    <x v="0"/>
    <x v="18"/>
    <x v="28"/>
  </r>
  <r>
    <x v="310"/>
    <x v="4"/>
    <x v="247"/>
    <x v="0"/>
    <x v="1"/>
    <x v="2"/>
    <x v="30"/>
    <x v="78"/>
    <x v="1"/>
    <x v="0"/>
    <x v="78"/>
    <x v="30"/>
    <x v="2"/>
    <x v="303"/>
    <x v="0"/>
    <x v="0"/>
    <x v="0"/>
    <x v="16"/>
    <x v="41"/>
  </r>
  <r>
    <x v="311"/>
    <x v="3"/>
    <x v="248"/>
    <x v="27"/>
    <x v="1"/>
    <x v="0"/>
    <x v="21"/>
    <x v="95"/>
    <x v="2"/>
    <x v="1"/>
    <x v="95"/>
    <x v="21"/>
    <x v="0"/>
    <x v="304"/>
    <x v="1"/>
    <x v="1"/>
    <x v="1"/>
    <x v="13"/>
    <x v="80"/>
  </r>
  <r>
    <x v="312"/>
    <x v="0"/>
    <x v="249"/>
    <x v="0"/>
    <x v="2"/>
    <x v="1"/>
    <x v="32"/>
    <x v="80"/>
    <x v="0"/>
    <x v="0"/>
    <x v="80"/>
    <x v="32"/>
    <x v="1"/>
    <x v="305"/>
    <x v="0"/>
    <x v="0"/>
    <x v="0"/>
    <x v="23"/>
    <x v="37"/>
  </r>
  <r>
    <x v="313"/>
    <x v="4"/>
    <x v="250"/>
    <x v="0"/>
    <x v="2"/>
    <x v="4"/>
    <x v="18"/>
    <x v="88"/>
    <x v="1"/>
    <x v="0"/>
    <x v="88"/>
    <x v="18"/>
    <x v="4"/>
    <x v="306"/>
    <x v="0"/>
    <x v="0"/>
    <x v="0"/>
    <x v="7"/>
    <x v="65"/>
  </r>
  <r>
    <x v="314"/>
    <x v="1"/>
    <x v="251"/>
    <x v="0"/>
    <x v="0"/>
    <x v="1"/>
    <x v="21"/>
    <x v="96"/>
    <x v="0"/>
    <x v="0"/>
    <x v="96"/>
    <x v="21"/>
    <x v="1"/>
    <x v="307"/>
    <x v="0"/>
    <x v="0"/>
    <x v="0"/>
    <x v="21"/>
    <x v="66"/>
  </r>
  <r>
    <x v="315"/>
    <x v="1"/>
    <x v="51"/>
    <x v="0"/>
    <x v="0"/>
    <x v="2"/>
    <x v="7"/>
    <x v="29"/>
    <x v="0"/>
    <x v="0"/>
    <x v="29"/>
    <x v="7"/>
    <x v="2"/>
    <x v="308"/>
    <x v="0"/>
    <x v="0"/>
    <x v="0"/>
    <x v="6"/>
    <x v="6"/>
  </r>
  <r>
    <x v="316"/>
    <x v="1"/>
    <x v="252"/>
    <x v="0"/>
    <x v="2"/>
    <x v="1"/>
    <x v="7"/>
    <x v="40"/>
    <x v="0"/>
    <x v="0"/>
    <x v="40"/>
    <x v="7"/>
    <x v="1"/>
    <x v="52"/>
    <x v="0"/>
    <x v="0"/>
    <x v="0"/>
    <x v="14"/>
    <x v="20"/>
  </r>
  <r>
    <x v="317"/>
    <x v="3"/>
    <x v="253"/>
    <x v="0"/>
    <x v="2"/>
    <x v="0"/>
    <x v="6"/>
    <x v="54"/>
    <x v="0"/>
    <x v="0"/>
    <x v="54"/>
    <x v="6"/>
    <x v="0"/>
    <x v="309"/>
    <x v="0"/>
    <x v="0"/>
    <x v="0"/>
    <x v="25"/>
    <x v="40"/>
  </r>
  <r>
    <x v="318"/>
    <x v="1"/>
    <x v="254"/>
    <x v="0"/>
    <x v="0"/>
    <x v="3"/>
    <x v="9"/>
    <x v="19"/>
    <x v="0"/>
    <x v="0"/>
    <x v="19"/>
    <x v="9"/>
    <x v="3"/>
    <x v="310"/>
    <x v="2"/>
    <x v="0"/>
    <x v="0"/>
    <x v="19"/>
    <x v="33"/>
  </r>
  <r>
    <x v="319"/>
    <x v="1"/>
    <x v="255"/>
    <x v="0"/>
    <x v="1"/>
    <x v="0"/>
    <x v="40"/>
    <x v="47"/>
    <x v="0"/>
    <x v="0"/>
    <x v="47"/>
    <x v="40"/>
    <x v="0"/>
    <x v="311"/>
    <x v="0"/>
    <x v="0"/>
    <x v="0"/>
    <x v="9"/>
    <x v="11"/>
  </r>
  <r>
    <x v="320"/>
    <x v="3"/>
    <x v="256"/>
    <x v="0"/>
    <x v="1"/>
    <x v="1"/>
    <x v="29"/>
    <x v="5"/>
    <x v="0"/>
    <x v="0"/>
    <x v="5"/>
    <x v="29"/>
    <x v="1"/>
    <x v="312"/>
    <x v="0"/>
    <x v="0"/>
    <x v="0"/>
    <x v="6"/>
    <x v="8"/>
  </r>
  <r>
    <x v="321"/>
    <x v="3"/>
    <x v="158"/>
    <x v="0"/>
    <x v="1"/>
    <x v="1"/>
    <x v="28"/>
    <x v="97"/>
    <x v="1"/>
    <x v="0"/>
    <x v="97"/>
    <x v="28"/>
    <x v="1"/>
    <x v="313"/>
    <x v="0"/>
    <x v="0"/>
    <x v="0"/>
    <x v="1"/>
    <x v="62"/>
  </r>
  <r>
    <x v="322"/>
    <x v="1"/>
    <x v="257"/>
    <x v="0"/>
    <x v="0"/>
    <x v="3"/>
    <x v="44"/>
    <x v="0"/>
    <x v="0"/>
    <x v="0"/>
    <x v="0"/>
    <x v="44"/>
    <x v="3"/>
    <x v="314"/>
    <x v="2"/>
    <x v="0"/>
    <x v="0"/>
    <x v="15"/>
    <x v="92"/>
  </r>
  <r>
    <x v="323"/>
    <x v="3"/>
    <x v="258"/>
    <x v="0"/>
    <x v="1"/>
    <x v="0"/>
    <x v="47"/>
    <x v="80"/>
    <x v="1"/>
    <x v="0"/>
    <x v="80"/>
    <x v="47"/>
    <x v="0"/>
    <x v="315"/>
    <x v="0"/>
    <x v="0"/>
    <x v="0"/>
    <x v="21"/>
    <x v="75"/>
  </r>
  <r>
    <x v="324"/>
    <x v="4"/>
    <x v="184"/>
    <x v="0"/>
    <x v="1"/>
    <x v="1"/>
    <x v="28"/>
    <x v="85"/>
    <x v="1"/>
    <x v="0"/>
    <x v="85"/>
    <x v="28"/>
    <x v="1"/>
    <x v="316"/>
    <x v="0"/>
    <x v="0"/>
    <x v="0"/>
    <x v="16"/>
    <x v="55"/>
  </r>
  <r>
    <x v="325"/>
    <x v="3"/>
    <x v="27"/>
    <x v="0"/>
    <x v="1"/>
    <x v="2"/>
    <x v="31"/>
    <x v="97"/>
    <x v="0"/>
    <x v="0"/>
    <x v="97"/>
    <x v="31"/>
    <x v="2"/>
    <x v="317"/>
    <x v="0"/>
    <x v="0"/>
    <x v="0"/>
    <x v="5"/>
    <x v="60"/>
  </r>
  <r>
    <x v="326"/>
    <x v="4"/>
    <x v="213"/>
    <x v="0"/>
    <x v="0"/>
    <x v="3"/>
    <x v="19"/>
    <x v="11"/>
    <x v="1"/>
    <x v="0"/>
    <x v="11"/>
    <x v="19"/>
    <x v="3"/>
    <x v="318"/>
    <x v="2"/>
    <x v="0"/>
    <x v="0"/>
    <x v="20"/>
    <x v="32"/>
  </r>
  <r>
    <x v="327"/>
    <x v="4"/>
    <x v="155"/>
    <x v="0"/>
    <x v="0"/>
    <x v="4"/>
    <x v="16"/>
    <x v="76"/>
    <x v="0"/>
    <x v="0"/>
    <x v="76"/>
    <x v="16"/>
    <x v="4"/>
    <x v="149"/>
    <x v="0"/>
    <x v="0"/>
    <x v="0"/>
    <x v="19"/>
    <x v="30"/>
  </r>
  <r>
    <x v="328"/>
    <x v="1"/>
    <x v="259"/>
    <x v="28"/>
    <x v="1"/>
    <x v="3"/>
    <x v="4"/>
    <x v="30"/>
    <x v="2"/>
    <x v="1"/>
    <x v="30"/>
    <x v="4"/>
    <x v="3"/>
    <x v="319"/>
    <x v="1"/>
    <x v="1"/>
    <x v="1"/>
    <x v="8"/>
    <x v="17"/>
  </r>
  <r>
    <x v="329"/>
    <x v="0"/>
    <x v="260"/>
    <x v="0"/>
    <x v="0"/>
    <x v="4"/>
    <x v="1"/>
    <x v="36"/>
    <x v="0"/>
    <x v="0"/>
    <x v="36"/>
    <x v="1"/>
    <x v="4"/>
    <x v="320"/>
    <x v="0"/>
    <x v="0"/>
    <x v="0"/>
    <x v="1"/>
    <x v="61"/>
  </r>
  <r>
    <x v="330"/>
    <x v="2"/>
    <x v="261"/>
    <x v="0"/>
    <x v="0"/>
    <x v="4"/>
    <x v="24"/>
    <x v="27"/>
    <x v="0"/>
    <x v="0"/>
    <x v="27"/>
    <x v="24"/>
    <x v="4"/>
    <x v="321"/>
    <x v="0"/>
    <x v="0"/>
    <x v="0"/>
    <x v="6"/>
    <x v="17"/>
  </r>
  <r>
    <x v="331"/>
    <x v="1"/>
    <x v="262"/>
    <x v="0"/>
    <x v="1"/>
    <x v="3"/>
    <x v="27"/>
    <x v="89"/>
    <x v="0"/>
    <x v="0"/>
    <x v="89"/>
    <x v="27"/>
    <x v="3"/>
    <x v="322"/>
    <x v="2"/>
    <x v="0"/>
    <x v="0"/>
    <x v="25"/>
    <x v="70"/>
  </r>
  <r>
    <x v="332"/>
    <x v="2"/>
    <x v="263"/>
    <x v="0"/>
    <x v="2"/>
    <x v="2"/>
    <x v="13"/>
    <x v="67"/>
    <x v="1"/>
    <x v="0"/>
    <x v="67"/>
    <x v="13"/>
    <x v="2"/>
    <x v="323"/>
    <x v="0"/>
    <x v="0"/>
    <x v="0"/>
    <x v="5"/>
    <x v="60"/>
  </r>
  <r>
    <x v="333"/>
    <x v="1"/>
    <x v="263"/>
    <x v="29"/>
    <x v="2"/>
    <x v="2"/>
    <x v="1"/>
    <x v="38"/>
    <x v="2"/>
    <x v="1"/>
    <x v="38"/>
    <x v="1"/>
    <x v="2"/>
    <x v="324"/>
    <x v="1"/>
    <x v="1"/>
    <x v="1"/>
    <x v="14"/>
    <x v="37"/>
  </r>
  <r>
    <x v="334"/>
    <x v="2"/>
    <x v="264"/>
    <x v="0"/>
    <x v="2"/>
    <x v="1"/>
    <x v="17"/>
    <x v="4"/>
    <x v="0"/>
    <x v="0"/>
    <x v="4"/>
    <x v="17"/>
    <x v="1"/>
    <x v="325"/>
    <x v="0"/>
    <x v="0"/>
    <x v="0"/>
    <x v="23"/>
    <x v="37"/>
  </r>
  <r>
    <x v="335"/>
    <x v="1"/>
    <x v="265"/>
    <x v="0"/>
    <x v="1"/>
    <x v="1"/>
    <x v="22"/>
    <x v="36"/>
    <x v="1"/>
    <x v="0"/>
    <x v="36"/>
    <x v="22"/>
    <x v="1"/>
    <x v="326"/>
    <x v="0"/>
    <x v="0"/>
    <x v="0"/>
    <x v="1"/>
    <x v="62"/>
  </r>
  <r>
    <x v="336"/>
    <x v="3"/>
    <x v="219"/>
    <x v="0"/>
    <x v="2"/>
    <x v="3"/>
    <x v="10"/>
    <x v="88"/>
    <x v="1"/>
    <x v="0"/>
    <x v="88"/>
    <x v="10"/>
    <x v="3"/>
    <x v="327"/>
    <x v="2"/>
    <x v="0"/>
    <x v="0"/>
    <x v="1"/>
    <x v="42"/>
  </r>
  <r>
    <x v="337"/>
    <x v="2"/>
    <x v="266"/>
    <x v="0"/>
    <x v="2"/>
    <x v="4"/>
    <x v="46"/>
    <x v="17"/>
    <x v="1"/>
    <x v="0"/>
    <x v="17"/>
    <x v="46"/>
    <x v="4"/>
    <x v="328"/>
    <x v="0"/>
    <x v="0"/>
    <x v="0"/>
    <x v="27"/>
    <x v="90"/>
  </r>
  <r>
    <x v="338"/>
    <x v="2"/>
    <x v="30"/>
    <x v="0"/>
    <x v="0"/>
    <x v="1"/>
    <x v="21"/>
    <x v="80"/>
    <x v="1"/>
    <x v="0"/>
    <x v="80"/>
    <x v="21"/>
    <x v="1"/>
    <x v="329"/>
    <x v="0"/>
    <x v="0"/>
    <x v="0"/>
    <x v="18"/>
    <x v="31"/>
  </r>
  <r>
    <x v="339"/>
    <x v="0"/>
    <x v="267"/>
    <x v="0"/>
    <x v="1"/>
    <x v="0"/>
    <x v="15"/>
    <x v="46"/>
    <x v="0"/>
    <x v="0"/>
    <x v="46"/>
    <x v="15"/>
    <x v="0"/>
    <x v="330"/>
    <x v="0"/>
    <x v="0"/>
    <x v="0"/>
    <x v="23"/>
    <x v="20"/>
  </r>
  <r>
    <x v="340"/>
    <x v="4"/>
    <x v="268"/>
    <x v="0"/>
    <x v="0"/>
    <x v="0"/>
    <x v="1"/>
    <x v="52"/>
    <x v="0"/>
    <x v="0"/>
    <x v="52"/>
    <x v="1"/>
    <x v="0"/>
    <x v="331"/>
    <x v="0"/>
    <x v="0"/>
    <x v="0"/>
    <x v="13"/>
    <x v="80"/>
  </r>
  <r>
    <x v="341"/>
    <x v="4"/>
    <x v="269"/>
    <x v="0"/>
    <x v="2"/>
    <x v="4"/>
    <x v="17"/>
    <x v="46"/>
    <x v="1"/>
    <x v="0"/>
    <x v="46"/>
    <x v="17"/>
    <x v="4"/>
    <x v="332"/>
    <x v="0"/>
    <x v="0"/>
    <x v="0"/>
    <x v="10"/>
    <x v="93"/>
  </r>
  <r>
    <x v="342"/>
    <x v="1"/>
    <x v="105"/>
    <x v="30"/>
    <x v="1"/>
    <x v="2"/>
    <x v="21"/>
    <x v="32"/>
    <x v="2"/>
    <x v="1"/>
    <x v="32"/>
    <x v="21"/>
    <x v="2"/>
    <x v="333"/>
    <x v="1"/>
    <x v="1"/>
    <x v="1"/>
    <x v="5"/>
    <x v="60"/>
  </r>
  <r>
    <x v="343"/>
    <x v="0"/>
    <x v="91"/>
    <x v="0"/>
    <x v="1"/>
    <x v="0"/>
    <x v="36"/>
    <x v="82"/>
    <x v="0"/>
    <x v="0"/>
    <x v="82"/>
    <x v="36"/>
    <x v="0"/>
    <x v="334"/>
    <x v="0"/>
    <x v="0"/>
    <x v="0"/>
    <x v="9"/>
    <x v="11"/>
  </r>
  <r>
    <x v="344"/>
    <x v="3"/>
    <x v="270"/>
    <x v="0"/>
    <x v="0"/>
    <x v="2"/>
    <x v="34"/>
    <x v="96"/>
    <x v="1"/>
    <x v="0"/>
    <x v="96"/>
    <x v="34"/>
    <x v="2"/>
    <x v="335"/>
    <x v="0"/>
    <x v="0"/>
    <x v="0"/>
    <x v="25"/>
    <x v="84"/>
  </r>
  <r>
    <x v="345"/>
    <x v="0"/>
    <x v="271"/>
    <x v="0"/>
    <x v="2"/>
    <x v="1"/>
    <x v="28"/>
    <x v="88"/>
    <x v="0"/>
    <x v="0"/>
    <x v="88"/>
    <x v="28"/>
    <x v="1"/>
    <x v="336"/>
    <x v="0"/>
    <x v="0"/>
    <x v="0"/>
    <x v="15"/>
    <x v="22"/>
  </r>
  <r>
    <x v="346"/>
    <x v="0"/>
    <x v="272"/>
    <x v="0"/>
    <x v="1"/>
    <x v="4"/>
    <x v="48"/>
    <x v="85"/>
    <x v="0"/>
    <x v="0"/>
    <x v="85"/>
    <x v="48"/>
    <x v="4"/>
    <x v="337"/>
    <x v="0"/>
    <x v="0"/>
    <x v="0"/>
    <x v="13"/>
    <x v="4"/>
  </r>
  <r>
    <x v="347"/>
    <x v="1"/>
    <x v="273"/>
    <x v="0"/>
    <x v="2"/>
    <x v="0"/>
    <x v="43"/>
    <x v="73"/>
    <x v="0"/>
    <x v="0"/>
    <x v="73"/>
    <x v="43"/>
    <x v="0"/>
    <x v="338"/>
    <x v="0"/>
    <x v="0"/>
    <x v="0"/>
    <x v="23"/>
    <x v="20"/>
  </r>
  <r>
    <x v="348"/>
    <x v="2"/>
    <x v="146"/>
    <x v="0"/>
    <x v="1"/>
    <x v="1"/>
    <x v="1"/>
    <x v="7"/>
    <x v="0"/>
    <x v="0"/>
    <x v="7"/>
    <x v="1"/>
    <x v="1"/>
    <x v="339"/>
    <x v="0"/>
    <x v="0"/>
    <x v="0"/>
    <x v="4"/>
    <x v="13"/>
  </r>
  <r>
    <x v="349"/>
    <x v="1"/>
    <x v="274"/>
    <x v="31"/>
    <x v="2"/>
    <x v="2"/>
    <x v="21"/>
    <x v="70"/>
    <x v="2"/>
    <x v="1"/>
    <x v="70"/>
    <x v="21"/>
    <x v="2"/>
    <x v="340"/>
    <x v="1"/>
    <x v="1"/>
    <x v="1"/>
    <x v="30"/>
    <x v="80"/>
  </r>
  <r>
    <x v="350"/>
    <x v="0"/>
    <x v="275"/>
    <x v="32"/>
    <x v="0"/>
    <x v="3"/>
    <x v="3"/>
    <x v="26"/>
    <x v="2"/>
    <x v="1"/>
    <x v="26"/>
    <x v="3"/>
    <x v="3"/>
    <x v="341"/>
    <x v="1"/>
    <x v="1"/>
    <x v="1"/>
    <x v="24"/>
    <x v="61"/>
  </r>
  <r>
    <x v="351"/>
    <x v="4"/>
    <x v="276"/>
    <x v="0"/>
    <x v="0"/>
    <x v="3"/>
    <x v="48"/>
    <x v="29"/>
    <x v="0"/>
    <x v="0"/>
    <x v="29"/>
    <x v="48"/>
    <x v="3"/>
    <x v="342"/>
    <x v="2"/>
    <x v="0"/>
    <x v="0"/>
    <x v="16"/>
    <x v="27"/>
  </r>
  <r>
    <x v="352"/>
    <x v="1"/>
    <x v="277"/>
    <x v="0"/>
    <x v="2"/>
    <x v="0"/>
    <x v="29"/>
    <x v="78"/>
    <x v="0"/>
    <x v="0"/>
    <x v="78"/>
    <x v="29"/>
    <x v="0"/>
    <x v="343"/>
    <x v="0"/>
    <x v="0"/>
    <x v="0"/>
    <x v="7"/>
    <x v="7"/>
  </r>
  <r>
    <x v="353"/>
    <x v="2"/>
    <x v="31"/>
    <x v="0"/>
    <x v="0"/>
    <x v="2"/>
    <x v="4"/>
    <x v="62"/>
    <x v="0"/>
    <x v="0"/>
    <x v="62"/>
    <x v="4"/>
    <x v="2"/>
    <x v="344"/>
    <x v="0"/>
    <x v="0"/>
    <x v="0"/>
    <x v="4"/>
    <x v="4"/>
  </r>
  <r>
    <x v="354"/>
    <x v="1"/>
    <x v="157"/>
    <x v="0"/>
    <x v="1"/>
    <x v="0"/>
    <x v="8"/>
    <x v="34"/>
    <x v="1"/>
    <x v="0"/>
    <x v="34"/>
    <x v="8"/>
    <x v="0"/>
    <x v="345"/>
    <x v="0"/>
    <x v="0"/>
    <x v="0"/>
    <x v="15"/>
    <x v="9"/>
  </r>
  <r>
    <x v="355"/>
    <x v="4"/>
    <x v="278"/>
    <x v="0"/>
    <x v="2"/>
    <x v="4"/>
    <x v="33"/>
    <x v="88"/>
    <x v="1"/>
    <x v="0"/>
    <x v="88"/>
    <x v="33"/>
    <x v="4"/>
    <x v="346"/>
    <x v="0"/>
    <x v="0"/>
    <x v="0"/>
    <x v="6"/>
    <x v="17"/>
  </r>
  <r>
    <x v="356"/>
    <x v="1"/>
    <x v="95"/>
    <x v="33"/>
    <x v="1"/>
    <x v="2"/>
    <x v="24"/>
    <x v="81"/>
    <x v="2"/>
    <x v="1"/>
    <x v="81"/>
    <x v="24"/>
    <x v="2"/>
    <x v="347"/>
    <x v="1"/>
    <x v="1"/>
    <x v="1"/>
    <x v="7"/>
    <x v="49"/>
  </r>
  <r>
    <x v="357"/>
    <x v="0"/>
    <x v="279"/>
    <x v="0"/>
    <x v="0"/>
    <x v="4"/>
    <x v="27"/>
    <x v="67"/>
    <x v="0"/>
    <x v="0"/>
    <x v="67"/>
    <x v="27"/>
    <x v="4"/>
    <x v="348"/>
    <x v="0"/>
    <x v="0"/>
    <x v="0"/>
    <x v="0"/>
    <x v="52"/>
  </r>
  <r>
    <x v="358"/>
    <x v="0"/>
    <x v="280"/>
    <x v="0"/>
    <x v="0"/>
    <x v="2"/>
    <x v="15"/>
    <x v="34"/>
    <x v="1"/>
    <x v="0"/>
    <x v="34"/>
    <x v="15"/>
    <x v="2"/>
    <x v="349"/>
    <x v="0"/>
    <x v="0"/>
    <x v="0"/>
    <x v="2"/>
    <x v="57"/>
  </r>
  <r>
    <x v="359"/>
    <x v="0"/>
    <x v="281"/>
    <x v="0"/>
    <x v="0"/>
    <x v="3"/>
    <x v="5"/>
    <x v="48"/>
    <x v="1"/>
    <x v="0"/>
    <x v="48"/>
    <x v="5"/>
    <x v="3"/>
    <x v="350"/>
    <x v="2"/>
    <x v="0"/>
    <x v="0"/>
    <x v="4"/>
    <x v="35"/>
  </r>
  <r>
    <x v="360"/>
    <x v="4"/>
    <x v="201"/>
    <x v="0"/>
    <x v="0"/>
    <x v="3"/>
    <x v="4"/>
    <x v="63"/>
    <x v="0"/>
    <x v="0"/>
    <x v="63"/>
    <x v="4"/>
    <x v="3"/>
    <x v="351"/>
    <x v="2"/>
    <x v="0"/>
    <x v="0"/>
    <x v="2"/>
    <x v="64"/>
  </r>
  <r>
    <x v="361"/>
    <x v="4"/>
    <x v="282"/>
    <x v="0"/>
    <x v="0"/>
    <x v="3"/>
    <x v="24"/>
    <x v="68"/>
    <x v="0"/>
    <x v="0"/>
    <x v="68"/>
    <x v="24"/>
    <x v="3"/>
    <x v="352"/>
    <x v="2"/>
    <x v="0"/>
    <x v="0"/>
    <x v="0"/>
    <x v="79"/>
  </r>
  <r>
    <x v="362"/>
    <x v="1"/>
    <x v="10"/>
    <x v="0"/>
    <x v="0"/>
    <x v="2"/>
    <x v="28"/>
    <x v="34"/>
    <x v="0"/>
    <x v="0"/>
    <x v="34"/>
    <x v="28"/>
    <x v="2"/>
    <x v="353"/>
    <x v="0"/>
    <x v="0"/>
    <x v="0"/>
    <x v="9"/>
    <x v="22"/>
  </r>
  <r>
    <x v="363"/>
    <x v="4"/>
    <x v="283"/>
    <x v="0"/>
    <x v="0"/>
    <x v="4"/>
    <x v="28"/>
    <x v="69"/>
    <x v="1"/>
    <x v="0"/>
    <x v="69"/>
    <x v="28"/>
    <x v="4"/>
    <x v="354"/>
    <x v="0"/>
    <x v="0"/>
    <x v="0"/>
    <x v="10"/>
    <x v="93"/>
  </r>
  <r>
    <x v="364"/>
    <x v="0"/>
    <x v="284"/>
    <x v="0"/>
    <x v="2"/>
    <x v="3"/>
    <x v="49"/>
    <x v="49"/>
    <x v="1"/>
    <x v="0"/>
    <x v="49"/>
    <x v="49"/>
    <x v="3"/>
    <x v="355"/>
    <x v="2"/>
    <x v="0"/>
    <x v="0"/>
    <x v="19"/>
    <x v="33"/>
  </r>
  <r>
    <x v="365"/>
    <x v="4"/>
    <x v="285"/>
    <x v="0"/>
    <x v="0"/>
    <x v="2"/>
    <x v="49"/>
    <x v="85"/>
    <x v="1"/>
    <x v="0"/>
    <x v="85"/>
    <x v="49"/>
    <x v="2"/>
    <x v="356"/>
    <x v="0"/>
    <x v="0"/>
    <x v="0"/>
    <x v="18"/>
    <x v="86"/>
  </r>
  <r>
    <x v="366"/>
    <x v="2"/>
    <x v="286"/>
    <x v="0"/>
    <x v="2"/>
    <x v="2"/>
    <x v="27"/>
    <x v="87"/>
    <x v="0"/>
    <x v="0"/>
    <x v="87"/>
    <x v="27"/>
    <x v="2"/>
    <x v="357"/>
    <x v="0"/>
    <x v="0"/>
    <x v="0"/>
    <x v="22"/>
    <x v="81"/>
  </r>
  <r>
    <x v="367"/>
    <x v="3"/>
    <x v="35"/>
    <x v="0"/>
    <x v="2"/>
    <x v="2"/>
    <x v="39"/>
    <x v="0"/>
    <x v="1"/>
    <x v="0"/>
    <x v="0"/>
    <x v="39"/>
    <x v="2"/>
    <x v="358"/>
    <x v="0"/>
    <x v="0"/>
    <x v="0"/>
    <x v="16"/>
    <x v="41"/>
  </r>
  <r>
    <x v="368"/>
    <x v="4"/>
    <x v="287"/>
    <x v="0"/>
    <x v="1"/>
    <x v="4"/>
    <x v="16"/>
    <x v="16"/>
    <x v="1"/>
    <x v="0"/>
    <x v="16"/>
    <x v="16"/>
    <x v="4"/>
    <x v="359"/>
    <x v="0"/>
    <x v="0"/>
    <x v="0"/>
    <x v="19"/>
    <x v="30"/>
  </r>
  <r>
    <x v="369"/>
    <x v="1"/>
    <x v="288"/>
    <x v="0"/>
    <x v="0"/>
    <x v="3"/>
    <x v="17"/>
    <x v="17"/>
    <x v="0"/>
    <x v="0"/>
    <x v="17"/>
    <x v="17"/>
    <x v="3"/>
    <x v="360"/>
    <x v="2"/>
    <x v="0"/>
    <x v="0"/>
    <x v="1"/>
    <x v="42"/>
  </r>
  <r>
    <x v="370"/>
    <x v="4"/>
    <x v="289"/>
    <x v="0"/>
    <x v="1"/>
    <x v="0"/>
    <x v="50"/>
    <x v="39"/>
    <x v="1"/>
    <x v="0"/>
    <x v="39"/>
    <x v="50"/>
    <x v="0"/>
    <x v="361"/>
    <x v="0"/>
    <x v="0"/>
    <x v="0"/>
    <x v="6"/>
    <x v="51"/>
  </r>
  <r>
    <x v="371"/>
    <x v="4"/>
    <x v="123"/>
    <x v="0"/>
    <x v="0"/>
    <x v="1"/>
    <x v="31"/>
    <x v="37"/>
    <x v="1"/>
    <x v="0"/>
    <x v="37"/>
    <x v="31"/>
    <x v="1"/>
    <x v="362"/>
    <x v="0"/>
    <x v="0"/>
    <x v="0"/>
    <x v="13"/>
    <x v="0"/>
  </r>
  <r>
    <x v="372"/>
    <x v="4"/>
    <x v="290"/>
    <x v="0"/>
    <x v="0"/>
    <x v="3"/>
    <x v="40"/>
    <x v="79"/>
    <x v="1"/>
    <x v="0"/>
    <x v="79"/>
    <x v="40"/>
    <x v="3"/>
    <x v="363"/>
    <x v="2"/>
    <x v="0"/>
    <x v="0"/>
    <x v="5"/>
    <x v="72"/>
  </r>
  <r>
    <x v="373"/>
    <x v="1"/>
    <x v="291"/>
    <x v="0"/>
    <x v="1"/>
    <x v="3"/>
    <x v="4"/>
    <x v="6"/>
    <x v="1"/>
    <x v="0"/>
    <x v="6"/>
    <x v="4"/>
    <x v="3"/>
    <x v="8"/>
    <x v="2"/>
    <x v="0"/>
    <x v="0"/>
    <x v="17"/>
    <x v="82"/>
  </r>
  <r>
    <x v="374"/>
    <x v="0"/>
    <x v="94"/>
    <x v="0"/>
    <x v="0"/>
    <x v="1"/>
    <x v="10"/>
    <x v="91"/>
    <x v="1"/>
    <x v="0"/>
    <x v="91"/>
    <x v="10"/>
    <x v="1"/>
    <x v="364"/>
    <x v="0"/>
    <x v="0"/>
    <x v="0"/>
    <x v="19"/>
    <x v="69"/>
  </r>
  <r>
    <x v="375"/>
    <x v="0"/>
    <x v="137"/>
    <x v="0"/>
    <x v="1"/>
    <x v="2"/>
    <x v="50"/>
    <x v="73"/>
    <x v="1"/>
    <x v="0"/>
    <x v="73"/>
    <x v="50"/>
    <x v="2"/>
    <x v="365"/>
    <x v="0"/>
    <x v="0"/>
    <x v="0"/>
    <x v="13"/>
    <x v="45"/>
  </r>
  <r>
    <x v="376"/>
    <x v="0"/>
    <x v="31"/>
    <x v="0"/>
    <x v="0"/>
    <x v="4"/>
    <x v="16"/>
    <x v="96"/>
    <x v="0"/>
    <x v="0"/>
    <x v="96"/>
    <x v="16"/>
    <x v="4"/>
    <x v="366"/>
    <x v="0"/>
    <x v="0"/>
    <x v="0"/>
    <x v="4"/>
    <x v="32"/>
  </r>
  <r>
    <x v="377"/>
    <x v="4"/>
    <x v="292"/>
    <x v="0"/>
    <x v="1"/>
    <x v="2"/>
    <x v="17"/>
    <x v="69"/>
    <x v="0"/>
    <x v="0"/>
    <x v="69"/>
    <x v="17"/>
    <x v="2"/>
    <x v="367"/>
    <x v="0"/>
    <x v="0"/>
    <x v="0"/>
    <x v="1"/>
    <x v="12"/>
  </r>
  <r>
    <x v="378"/>
    <x v="0"/>
    <x v="293"/>
    <x v="0"/>
    <x v="2"/>
    <x v="0"/>
    <x v="23"/>
    <x v="97"/>
    <x v="0"/>
    <x v="0"/>
    <x v="97"/>
    <x v="23"/>
    <x v="0"/>
    <x v="368"/>
    <x v="0"/>
    <x v="0"/>
    <x v="0"/>
    <x v="17"/>
    <x v="24"/>
  </r>
  <r>
    <x v="379"/>
    <x v="2"/>
    <x v="294"/>
    <x v="0"/>
    <x v="2"/>
    <x v="3"/>
    <x v="45"/>
    <x v="40"/>
    <x v="0"/>
    <x v="0"/>
    <x v="40"/>
    <x v="45"/>
    <x v="3"/>
    <x v="369"/>
    <x v="2"/>
    <x v="0"/>
    <x v="0"/>
    <x v="22"/>
    <x v="39"/>
  </r>
  <r>
    <x v="380"/>
    <x v="4"/>
    <x v="295"/>
    <x v="0"/>
    <x v="0"/>
    <x v="2"/>
    <x v="20"/>
    <x v="77"/>
    <x v="1"/>
    <x v="0"/>
    <x v="77"/>
    <x v="20"/>
    <x v="2"/>
    <x v="370"/>
    <x v="0"/>
    <x v="0"/>
    <x v="0"/>
    <x v="17"/>
    <x v="29"/>
  </r>
  <r>
    <x v="381"/>
    <x v="0"/>
    <x v="16"/>
    <x v="34"/>
    <x v="1"/>
    <x v="0"/>
    <x v="0"/>
    <x v="18"/>
    <x v="2"/>
    <x v="1"/>
    <x v="18"/>
    <x v="0"/>
    <x v="0"/>
    <x v="371"/>
    <x v="1"/>
    <x v="1"/>
    <x v="1"/>
    <x v="13"/>
    <x v="80"/>
  </r>
  <r>
    <x v="382"/>
    <x v="3"/>
    <x v="55"/>
    <x v="0"/>
    <x v="1"/>
    <x v="3"/>
    <x v="26"/>
    <x v="51"/>
    <x v="1"/>
    <x v="0"/>
    <x v="51"/>
    <x v="26"/>
    <x v="3"/>
    <x v="372"/>
    <x v="2"/>
    <x v="0"/>
    <x v="0"/>
    <x v="3"/>
    <x v="94"/>
  </r>
  <r>
    <x v="383"/>
    <x v="3"/>
    <x v="58"/>
    <x v="0"/>
    <x v="2"/>
    <x v="4"/>
    <x v="17"/>
    <x v="0"/>
    <x v="1"/>
    <x v="0"/>
    <x v="0"/>
    <x v="17"/>
    <x v="4"/>
    <x v="373"/>
    <x v="0"/>
    <x v="0"/>
    <x v="0"/>
    <x v="13"/>
    <x v="4"/>
  </r>
  <r>
    <x v="384"/>
    <x v="1"/>
    <x v="296"/>
    <x v="0"/>
    <x v="0"/>
    <x v="0"/>
    <x v="31"/>
    <x v="3"/>
    <x v="1"/>
    <x v="0"/>
    <x v="3"/>
    <x v="31"/>
    <x v="0"/>
    <x v="374"/>
    <x v="0"/>
    <x v="0"/>
    <x v="0"/>
    <x v="5"/>
    <x v="5"/>
  </r>
  <r>
    <x v="385"/>
    <x v="3"/>
    <x v="255"/>
    <x v="0"/>
    <x v="2"/>
    <x v="3"/>
    <x v="36"/>
    <x v="79"/>
    <x v="0"/>
    <x v="0"/>
    <x v="79"/>
    <x v="36"/>
    <x v="3"/>
    <x v="375"/>
    <x v="2"/>
    <x v="0"/>
    <x v="0"/>
    <x v="9"/>
    <x v="25"/>
  </r>
  <r>
    <x v="386"/>
    <x v="3"/>
    <x v="297"/>
    <x v="0"/>
    <x v="2"/>
    <x v="2"/>
    <x v="6"/>
    <x v="35"/>
    <x v="0"/>
    <x v="0"/>
    <x v="35"/>
    <x v="6"/>
    <x v="2"/>
    <x v="376"/>
    <x v="0"/>
    <x v="0"/>
    <x v="0"/>
    <x v="22"/>
    <x v="81"/>
  </r>
  <r>
    <x v="387"/>
    <x v="1"/>
    <x v="298"/>
    <x v="0"/>
    <x v="1"/>
    <x v="3"/>
    <x v="14"/>
    <x v="40"/>
    <x v="1"/>
    <x v="0"/>
    <x v="40"/>
    <x v="14"/>
    <x v="3"/>
    <x v="377"/>
    <x v="2"/>
    <x v="0"/>
    <x v="0"/>
    <x v="16"/>
    <x v="27"/>
  </r>
  <r>
    <x v="388"/>
    <x v="2"/>
    <x v="299"/>
    <x v="0"/>
    <x v="2"/>
    <x v="3"/>
    <x v="44"/>
    <x v="53"/>
    <x v="1"/>
    <x v="0"/>
    <x v="53"/>
    <x v="44"/>
    <x v="3"/>
    <x v="378"/>
    <x v="2"/>
    <x v="0"/>
    <x v="0"/>
    <x v="8"/>
    <x v="17"/>
  </r>
  <r>
    <x v="389"/>
    <x v="3"/>
    <x v="300"/>
    <x v="0"/>
    <x v="2"/>
    <x v="1"/>
    <x v="16"/>
    <x v="7"/>
    <x v="0"/>
    <x v="0"/>
    <x v="7"/>
    <x v="16"/>
    <x v="1"/>
    <x v="379"/>
    <x v="0"/>
    <x v="0"/>
    <x v="0"/>
    <x v="18"/>
    <x v="31"/>
  </r>
  <r>
    <x v="390"/>
    <x v="3"/>
    <x v="301"/>
    <x v="0"/>
    <x v="1"/>
    <x v="3"/>
    <x v="48"/>
    <x v="37"/>
    <x v="0"/>
    <x v="0"/>
    <x v="37"/>
    <x v="48"/>
    <x v="3"/>
    <x v="380"/>
    <x v="2"/>
    <x v="0"/>
    <x v="0"/>
    <x v="15"/>
    <x v="92"/>
  </r>
  <r>
    <x v="391"/>
    <x v="3"/>
    <x v="78"/>
    <x v="0"/>
    <x v="2"/>
    <x v="3"/>
    <x v="46"/>
    <x v="35"/>
    <x v="0"/>
    <x v="0"/>
    <x v="35"/>
    <x v="46"/>
    <x v="3"/>
    <x v="381"/>
    <x v="2"/>
    <x v="0"/>
    <x v="0"/>
    <x v="13"/>
    <x v="52"/>
  </r>
  <r>
    <x v="392"/>
    <x v="2"/>
    <x v="302"/>
    <x v="0"/>
    <x v="0"/>
    <x v="3"/>
    <x v="25"/>
    <x v="56"/>
    <x v="1"/>
    <x v="0"/>
    <x v="56"/>
    <x v="25"/>
    <x v="3"/>
    <x v="382"/>
    <x v="2"/>
    <x v="0"/>
    <x v="0"/>
    <x v="25"/>
    <x v="70"/>
  </r>
  <r>
    <x v="393"/>
    <x v="0"/>
    <x v="303"/>
    <x v="0"/>
    <x v="2"/>
    <x v="3"/>
    <x v="29"/>
    <x v="83"/>
    <x v="1"/>
    <x v="0"/>
    <x v="83"/>
    <x v="29"/>
    <x v="3"/>
    <x v="383"/>
    <x v="2"/>
    <x v="0"/>
    <x v="0"/>
    <x v="18"/>
    <x v="28"/>
  </r>
  <r>
    <x v="394"/>
    <x v="4"/>
    <x v="10"/>
    <x v="0"/>
    <x v="2"/>
    <x v="4"/>
    <x v="46"/>
    <x v="53"/>
    <x v="1"/>
    <x v="0"/>
    <x v="53"/>
    <x v="46"/>
    <x v="4"/>
    <x v="384"/>
    <x v="0"/>
    <x v="0"/>
    <x v="0"/>
    <x v="9"/>
    <x v="71"/>
  </r>
  <r>
    <x v="395"/>
    <x v="1"/>
    <x v="304"/>
    <x v="0"/>
    <x v="0"/>
    <x v="1"/>
    <x v="21"/>
    <x v="32"/>
    <x v="1"/>
    <x v="0"/>
    <x v="32"/>
    <x v="21"/>
    <x v="1"/>
    <x v="385"/>
    <x v="0"/>
    <x v="0"/>
    <x v="0"/>
    <x v="6"/>
    <x v="8"/>
  </r>
  <r>
    <x v="396"/>
    <x v="3"/>
    <x v="305"/>
    <x v="0"/>
    <x v="2"/>
    <x v="3"/>
    <x v="29"/>
    <x v="16"/>
    <x v="1"/>
    <x v="0"/>
    <x v="16"/>
    <x v="29"/>
    <x v="3"/>
    <x v="386"/>
    <x v="2"/>
    <x v="0"/>
    <x v="0"/>
    <x v="1"/>
    <x v="42"/>
  </r>
  <r>
    <x v="397"/>
    <x v="1"/>
    <x v="279"/>
    <x v="0"/>
    <x v="0"/>
    <x v="3"/>
    <x v="15"/>
    <x v="30"/>
    <x v="1"/>
    <x v="0"/>
    <x v="30"/>
    <x v="15"/>
    <x v="3"/>
    <x v="387"/>
    <x v="2"/>
    <x v="0"/>
    <x v="0"/>
    <x v="0"/>
    <x v="79"/>
  </r>
  <r>
    <x v="398"/>
    <x v="4"/>
    <x v="306"/>
    <x v="0"/>
    <x v="1"/>
    <x v="1"/>
    <x v="28"/>
    <x v="20"/>
    <x v="0"/>
    <x v="0"/>
    <x v="20"/>
    <x v="28"/>
    <x v="1"/>
    <x v="388"/>
    <x v="0"/>
    <x v="0"/>
    <x v="0"/>
    <x v="6"/>
    <x v="8"/>
  </r>
  <r>
    <x v="399"/>
    <x v="4"/>
    <x v="307"/>
    <x v="0"/>
    <x v="2"/>
    <x v="4"/>
    <x v="14"/>
    <x v="89"/>
    <x v="0"/>
    <x v="0"/>
    <x v="89"/>
    <x v="14"/>
    <x v="4"/>
    <x v="389"/>
    <x v="0"/>
    <x v="0"/>
    <x v="0"/>
    <x v="22"/>
    <x v="85"/>
  </r>
  <r>
    <x v="400"/>
    <x v="3"/>
    <x v="292"/>
    <x v="0"/>
    <x v="0"/>
    <x v="1"/>
    <x v="49"/>
    <x v="11"/>
    <x v="1"/>
    <x v="0"/>
    <x v="11"/>
    <x v="49"/>
    <x v="1"/>
    <x v="390"/>
    <x v="0"/>
    <x v="0"/>
    <x v="0"/>
    <x v="1"/>
    <x v="62"/>
  </r>
  <r>
    <x v="401"/>
    <x v="3"/>
    <x v="308"/>
    <x v="0"/>
    <x v="0"/>
    <x v="3"/>
    <x v="21"/>
    <x v="18"/>
    <x v="1"/>
    <x v="0"/>
    <x v="18"/>
    <x v="21"/>
    <x v="3"/>
    <x v="391"/>
    <x v="2"/>
    <x v="0"/>
    <x v="0"/>
    <x v="10"/>
    <x v="14"/>
  </r>
  <r>
    <x v="402"/>
    <x v="2"/>
    <x v="309"/>
    <x v="0"/>
    <x v="1"/>
    <x v="3"/>
    <x v="0"/>
    <x v="22"/>
    <x v="1"/>
    <x v="0"/>
    <x v="22"/>
    <x v="0"/>
    <x v="3"/>
    <x v="392"/>
    <x v="2"/>
    <x v="0"/>
    <x v="0"/>
    <x v="0"/>
    <x v="79"/>
  </r>
  <r>
    <x v="403"/>
    <x v="3"/>
    <x v="308"/>
    <x v="0"/>
    <x v="2"/>
    <x v="1"/>
    <x v="24"/>
    <x v="97"/>
    <x v="0"/>
    <x v="0"/>
    <x v="97"/>
    <x v="24"/>
    <x v="1"/>
    <x v="393"/>
    <x v="0"/>
    <x v="0"/>
    <x v="0"/>
    <x v="10"/>
    <x v="10"/>
  </r>
  <r>
    <x v="404"/>
    <x v="2"/>
    <x v="310"/>
    <x v="0"/>
    <x v="0"/>
    <x v="3"/>
    <x v="8"/>
    <x v="34"/>
    <x v="0"/>
    <x v="0"/>
    <x v="34"/>
    <x v="8"/>
    <x v="3"/>
    <x v="345"/>
    <x v="2"/>
    <x v="0"/>
    <x v="0"/>
    <x v="21"/>
    <x v="85"/>
  </r>
  <r>
    <x v="405"/>
    <x v="4"/>
    <x v="311"/>
    <x v="35"/>
    <x v="2"/>
    <x v="4"/>
    <x v="29"/>
    <x v="78"/>
    <x v="2"/>
    <x v="1"/>
    <x v="78"/>
    <x v="29"/>
    <x v="4"/>
    <x v="394"/>
    <x v="1"/>
    <x v="1"/>
    <x v="1"/>
    <x v="26"/>
    <x v="22"/>
  </r>
  <r>
    <x v="406"/>
    <x v="2"/>
    <x v="312"/>
    <x v="0"/>
    <x v="1"/>
    <x v="2"/>
    <x v="44"/>
    <x v="46"/>
    <x v="1"/>
    <x v="0"/>
    <x v="46"/>
    <x v="44"/>
    <x v="2"/>
    <x v="395"/>
    <x v="0"/>
    <x v="0"/>
    <x v="0"/>
    <x v="7"/>
    <x v="49"/>
  </r>
  <r>
    <x v="407"/>
    <x v="0"/>
    <x v="12"/>
    <x v="0"/>
    <x v="1"/>
    <x v="0"/>
    <x v="50"/>
    <x v="79"/>
    <x v="1"/>
    <x v="0"/>
    <x v="79"/>
    <x v="50"/>
    <x v="0"/>
    <x v="396"/>
    <x v="0"/>
    <x v="0"/>
    <x v="0"/>
    <x v="5"/>
    <x v="5"/>
  </r>
  <r>
    <x v="408"/>
    <x v="4"/>
    <x v="313"/>
    <x v="0"/>
    <x v="0"/>
    <x v="2"/>
    <x v="27"/>
    <x v="32"/>
    <x v="1"/>
    <x v="0"/>
    <x v="32"/>
    <x v="27"/>
    <x v="2"/>
    <x v="397"/>
    <x v="0"/>
    <x v="0"/>
    <x v="0"/>
    <x v="17"/>
    <x v="29"/>
  </r>
  <r>
    <x v="409"/>
    <x v="2"/>
    <x v="6"/>
    <x v="36"/>
    <x v="1"/>
    <x v="2"/>
    <x v="0"/>
    <x v="15"/>
    <x v="2"/>
    <x v="1"/>
    <x v="15"/>
    <x v="0"/>
    <x v="2"/>
    <x v="398"/>
    <x v="1"/>
    <x v="1"/>
    <x v="1"/>
    <x v="27"/>
    <x v="56"/>
  </r>
  <r>
    <x v="410"/>
    <x v="0"/>
    <x v="314"/>
    <x v="0"/>
    <x v="0"/>
    <x v="0"/>
    <x v="14"/>
    <x v="12"/>
    <x v="1"/>
    <x v="0"/>
    <x v="12"/>
    <x v="14"/>
    <x v="0"/>
    <x v="399"/>
    <x v="0"/>
    <x v="0"/>
    <x v="0"/>
    <x v="4"/>
    <x v="34"/>
  </r>
  <r>
    <x v="411"/>
    <x v="4"/>
    <x v="315"/>
    <x v="0"/>
    <x v="2"/>
    <x v="1"/>
    <x v="42"/>
    <x v="21"/>
    <x v="1"/>
    <x v="0"/>
    <x v="21"/>
    <x v="42"/>
    <x v="1"/>
    <x v="400"/>
    <x v="0"/>
    <x v="0"/>
    <x v="0"/>
    <x v="2"/>
    <x v="2"/>
  </r>
  <r>
    <x v="412"/>
    <x v="2"/>
    <x v="316"/>
    <x v="0"/>
    <x v="0"/>
    <x v="2"/>
    <x v="18"/>
    <x v="38"/>
    <x v="1"/>
    <x v="0"/>
    <x v="38"/>
    <x v="18"/>
    <x v="2"/>
    <x v="213"/>
    <x v="0"/>
    <x v="0"/>
    <x v="0"/>
    <x v="0"/>
    <x v="46"/>
  </r>
  <r>
    <x v="413"/>
    <x v="3"/>
    <x v="183"/>
    <x v="0"/>
    <x v="0"/>
    <x v="4"/>
    <x v="10"/>
    <x v="76"/>
    <x v="0"/>
    <x v="0"/>
    <x v="76"/>
    <x v="10"/>
    <x v="4"/>
    <x v="194"/>
    <x v="0"/>
    <x v="0"/>
    <x v="0"/>
    <x v="15"/>
    <x v="25"/>
  </r>
  <r>
    <x v="414"/>
    <x v="0"/>
    <x v="317"/>
    <x v="0"/>
    <x v="0"/>
    <x v="3"/>
    <x v="12"/>
    <x v="90"/>
    <x v="0"/>
    <x v="0"/>
    <x v="90"/>
    <x v="12"/>
    <x v="3"/>
    <x v="401"/>
    <x v="2"/>
    <x v="0"/>
    <x v="0"/>
    <x v="6"/>
    <x v="19"/>
  </r>
  <r>
    <x v="415"/>
    <x v="4"/>
    <x v="128"/>
    <x v="0"/>
    <x v="0"/>
    <x v="4"/>
    <x v="42"/>
    <x v="21"/>
    <x v="0"/>
    <x v="0"/>
    <x v="21"/>
    <x v="42"/>
    <x v="4"/>
    <x v="400"/>
    <x v="0"/>
    <x v="0"/>
    <x v="0"/>
    <x v="2"/>
    <x v="47"/>
  </r>
  <r>
    <x v="416"/>
    <x v="4"/>
    <x v="318"/>
    <x v="0"/>
    <x v="0"/>
    <x v="0"/>
    <x v="27"/>
    <x v="38"/>
    <x v="0"/>
    <x v="0"/>
    <x v="38"/>
    <x v="27"/>
    <x v="0"/>
    <x v="402"/>
    <x v="0"/>
    <x v="0"/>
    <x v="0"/>
    <x v="6"/>
    <x v="51"/>
  </r>
  <r>
    <x v="417"/>
    <x v="2"/>
    <x v="250"/>
    <x v="0"/>
    <x v="0"/>
    <x v="1"/>
    <x v="20"/>
    <x v="82"/>
    <x v="0"/>
    <x v="0"/>
    <x v="82"/>
    <x v="20"/>
    <x v="1"/>
    <x v="403"/>
    <x v="0"/>
    <x v="0"/>
    <x v="0"/>
    <x v="7"/>
    <x v="74"/>
  </r>
  <r>
    <x v="418"/>
    <x v="1"/>
    <x v="81"/>
    <x v="0"/>
    <x v="0"/>
    <x v="2"/>
    <x v="23"/>
    <x v="3"/>
    <x v="1"/>
    <x v="0"/>
    <x v="3"/>
    <x v="23"/>
    <x v="2"/>
    <x v="404"/>
    <x v="0"/>
    <x v="0"/>
    <x v="0"/>
    <x v="8"/>
    <x v="8"/>
  </r>
  <r>
    <x v="419"/>
    <x v="3"/>
    <x v="229"/>
    <x v="0"/>
    <x v="2"/>
    <x v="0"/>
    <x v="36"/>
    <x v="11"/>
    <x v="0"/>
    <x v="0"/>
    <x v="11"/>
    <x v="36"/>
    <x v="0"/>
    <x v="405"/>
    <x v="0"/>
    <x v="0"/>
    <x v="0"/>
    <x v="8"/>
    <x v="53"/>
  </r>
  <r>
    <x v="420"/>
    <x v="0"/>
    <x v="277"/>
    <x v="0"/>
    <x v="1"/>
    <x v="2"/>
    <x v="50"/>
    <x v="11"/>
    <x v="1"/>
    <x v="0"/>
    <x v="11"/>
    <x v="50"/>
    <x v="2"/>
    <x v="406"/>
    <x v="0"/>
    <x v="0"/>
    <x v="0"/>
    <x v="7"/>
    <x v="49"/>
  </r>
  <r>
    <x v="421"/>
    <x v="3"/>
    <x v="137"/>
    <x v="37"/>
    <x v="2"/>
    <x v="3"/>
    <x v="4"/>
    <x v="64"/>
    <x v="2"/>
    <x v="1"/>
    <x v="64"/>
    <x v="4"/>
    <x v="3"/>
    <x v="407"/>
    <x v="1"/>
    <x v="1"/>
    <x v="1"/>
    <x v="17"/>
    <x v="82"/>
  </r>
  <r>
    <x v="422"/>
    <x v="1"/>
    <x v="75"/>
    <x v="38"/>
    <x v="2"/>
    <x v="2"/>
    <x v="1"/>
    <x v="90"/>
    <x v="2"/>
    <x v="1"/>
    <x v="90"/>
    <x v="1"/>
    <x v="2"/>
    <x v="408"/>
    <x v="1"/>
    <x v="1"/>
    <x v="1"/>
    <x v="16"/>
    <x v="41"/>
  </r>
  <r>
    <x v="423"/>
    <x v="1"/>
    <x v="253"/>
    <x v="0"/>
    <x v="1"/>
    <x v="0"/>
    <x v="50"/>
    <x v="59"/>
    <x v="1"/>
    <x v="0"/>
    <x v="59"/>
    <x v="50"/>
    <x v="0"/>
    <x v="409"/>
    <x v="0"/>
    <x v="0"/>
    <x v="0"/>
    <x v="25"/>
    <x v="40"/>
  </r>
  <r>
    <x v="424"/>
    <x v="4"/>
    <x v="319"/>
    <x v="0"/>
    <x v="2"/>
    <x v="3"/>
    <x v="30"/>
    <x v="67"/>
    <x v="0"/>
    <x v="0"/>
    <x v="67"/>
    <x v="30"/>
    <x v="3"/>
    <x v="410"/>
    <x v="2"/>
    <x v="0"/>
    <x v="0"/>
    <x v="4"/>
    <x v="35"/>
  </r>
  <r>
    <x v="425"/>
    <x v="2"/>
    <x v="320"/>
    <x v="0"/>
    <x v="0"/>
    <x v="2"/>
    <x v="21"/>
    <x v="88"/>
    <x v="1"/>
    <x v="0"/>
    <x v="88"/>
    <x v="21"/>
    <x v="2"/>
    <x v="411"/>
    <x v="0"/>
    <x v="0"/>
    <x v="0"/>
    <x v="15"/>
    <x v="26"/>
  </r>
  <r>
    <x v="426"/>
    <x v="3"/>
    <x v="248"/>
    <x v="39"/>
    <x v="2"/>
    <x v="0"/>
    <x v="13"/>
    <x v="3"/>
    <x v="2"/>
    <x v="1"/>
    <x v="3"/>
    <x v="13"/>
    <x v="0"/>
    <x v="412"/>
    <x v="1"/>
    <x v="1"/>
    <x v="1"/>
    <x v="30"/>
    <x v="95"/>
  </r>
  <r>
    <x v="427"/>
    <x v="0"/>
    <x v="321"/>
    <x v="0"/>
    <x v="0"/>
    <x v="4"/>
    <x v="42"/>
    <x v="74"/>
    <x v="1"/>
    <x v="0"/>
    <x v="74"/>
    <x v="42"/>
    <x v="4"/>
    <x v="413"/>
    <x v="0"/>
    <x v="0"/>
    <x v="0"/>
    <x v="15"/>
    <x v="25"/>
  </r>
  <r>
    <x v="428"/>
    <x v="0"/>
    <x v="322"/>
    <x v="0"/>
    <x v="1"/>
    <x v="2"/>
    <x v="18"/>
    <x v="45"/>
    <x v="0"/>
    <x v="0"/>
    <x v="45"/>
    <x v="18"/>
    <x v="2"/>
    <x v="414"/>
    <x v="0"/>
    <x v="0"/>
    <x v="0"/>
    <x v="20"/>
    <x v="13"/>
  </r>
  <r>
    <x v="429"/>
    <x v="0"/>
    <x v="323"/>
    <x v="0"/>
    <x v="1"/>
    <x v="3"/>
    <x v="27"/>
    <x v="96"/>
    <x v="0"/>
    <x v="0"/>
    <x v="96"/>
    <x v="27"/>
    <x v="3"/>
    <x v="415"/>
    <x v="2"/>
    <x v="0"/>
    <x v="0"/>
    <x v="25"/>
    <x v="70"/>
  </r>
  <r>
    <x v="430"/>
    <x v="1"/>
    <x v="272"/>
    <x v="0"/>
    <x v="1"/>
    <x v="2"/>
    <x v="42"/>
    <x v="73"/>
    <x v="0"/>
    <x v="0"/>
    <x v="73"/>
    <x v="42"/>
    <x v="2"/>
    <x v="416"/>
    <x v="0"/>
    <x v="0"/>
    <x v="0"/>
    <x v="13"/>
    <x v="45"/>
  </r>
  <r>
    <x v="431"/>
    <x v="3"/>
    <x v="9"/>
    <x v="0"/>
    <x v="0"/>
    <x v="0"/>
    <x v="7"/>
    <x v="91"/>
    <x v="1"/>
    <x v="0"/>
    <x v="91"/>
    <x v="7"/>
    <x v="0"/>
    <x v="417"/>
    <x v="0"/>
    <x v="0"/>
    <x v="0"/>
    <x v="19"/>
    <x v="83"/>
  </r>
  <r>
    <x v="432"/>
    <x v="1"/>
    <x v="175"/>
    <x v="0"/>
    <x v="0"/>
    <x v="0"/>
    <x v="30"/>
    <x v="86"/>
    <x v="0"/>
    <x v="0"/>
    <x v="86"/>
    <x v="30"/>
    <x v="0"/>
    <x v="418"/>
    <x v="0"/>
    <x v="0"/>
    <x v="0"/>
    <x v="16"/>
    <x v="63"/>
  </r>
  <r>
    <x v="433"/>
    <x v="3"/>
    <x v="324"/>
    <x v="40"/>
    <x v="1"/>
    <x v="3"/>
    <x v="19"/>
    <x v="64"/>
    <x v="2"/>
    <x v="1"/>
    <x v="64"/>
    <x v="19"/>
    <x v="3"/>
    <x v="419"/>
    <x v="1"/>
    <x v="1"/>
    <x v="1"/>
    <x v="13"/>
    <x v="52"/>
  </r>
  <r>
    <x v="434"/>
    <x v="2"/>
    <x v="325"/>
    <x v="0"/>
    <x v="0"/>
    <x v="0"/>
    <x v="32"/>
    <x v="42"/>
    <x v="1"/>
    <x v="0"/>
    <x v="42"/>
    <x v="32"/>
    <x v="0"/>
    <x v="420"/>
    <x v="0"/>
    <x v="0"/>
    <x v="0"/>
    <x v="7"/>
    <x v="7"/>
  </r>
  <r>
    <x v="435"/>
    <x v="2"/>
    <x v="326"/>
    <x v="0"/>
    <x v="2"/>
    <x v="3"/>
    <x v="8"/>
    <x v="25"/>
    <x v="1"/>
    <x v="0"/>
    <x v="25"/>
    <x v="8"/>
    <x v="3"/>
    <x v="421"/>
    <x v="2"/>
    <x v="0"/>
    <x v="0"/>
    <x v="0"/>
    <x v="79"/>
  </r>
  <r>
    <x v="436"/>
    <x v="4"/>
    <x v="327"/>
    <x v="0"/>
    <x v="2"/>
    <x v="3"/>
    <x v="46"/>
    <x v="38"/>
    <x v="1"/>
    <x v="0"/>
    <x v="38"/>
    <x v="46"/>
    <x v="3"/>
    <x v="422"/>
    <x v="2"/>
    <x v="0"/>
    <x v="0"/>
    <x v="14"/>
    <x v="44"/>
  </r>
  <r>
    <x v="437"/>
    <x v="3"/>
    <x v="163"/>
    <x v="0"/>
    <x v="2"/>
    <x v="1"/>
    <x v="11"/>
    <x v="48"/>
    <x v="0"/>
    <x v="0"/>
    <x v="48"/>
    <x v="11"/>
    <x v="1"/>
    <x v="423"/>
    <x v="0"/>
    <x v="0"/>
    <x v="0"/>
    <x v="4"/>
    <x v="13"/>
  </r>
  <r>
    <x v="438"/>
    <x v="0"/>
    <x v="328"/>
    <x v="0"/>
    <x v="0"/>
    <x v="2"/>
    <x v="48"/>
    <x v="84"/>
    <x v="1"/>
    <x v="0"/>
    <x v="84"/>
    <x v="48"/>
    <x v="2"/>
    <x v="424"/>
    <x v="0"/>
    <x v="0"/>
    <x v="0"/>
    <x v="2"/>
    <x v="57"/>
  </r>
  <r>
    <x v="439"/>
    <x v="3"/>
    <x v="86"/>
    <x v="0"/>
    <x v="0"/>
    <x v="1"/>
    <x v="27"/>
    <x v="50"/>
    <x v="1"/>
    <x v="0"/>
    <x v="50"/>
    <x v="27"/>
    <x v="1"/>
    <x v="425"/>
    <x v="0"/>
    <x v="0"/>
    <x v="0"/>
    <x v="20"/>
    <x v="34"/>
  </r>
  <r>
    <x v="440"/>
    <x v="4"/>
    <x v="329"/>
    <x v="0"/>
    <x v="1"/>
    <x v="3"/>
    <x v="16"/>
    <x v="66"/>
    <x v="0"/>
    <x v="0"/>
    <x v="66"/>
    <x v="16"/>
    <x v="3"/>
    <x v="426"/>
    <x v="2"/>
    <x v="0"/>
    <x v="0"/>
    <x v="16"/>
    <x v="27"/>
  </r>
  <r>
    <x v="441"/>
    <x v="1"/>
    <x v="152"/>
    <x v="28"/>
    <x v="1"/>
    <x v="0"/>
    <x v="40"/>
    <x v="44"/>
    <x v="2"/>
    <x v="1"/>
    <x v="44"/>
    <x v="40"/>
    <x v="0"/>
    <x v="427"/>
    <x v="1"/>
    <x v="1"/>
    <x v="1"/>
    <x v="5"/>
    <x v="5"/>
  </r>
  <r>
    <x v="442"/>
    <x v="4"/>
    <x v="241"/>
    <x v="0"/>
    <x v="2"/>
    <x v="0"/>
    <x v="16"/>
    <x v="49"/>
    <x v="1"/>
    <x v="0"/>
    <x v="49"/>
    <x v="16"/>
    <x v="0"/>
    <x v="428"/>
    <x v="0"/>
    <x v="0"/>
    <x v="0"/>
    <x v="16"/>
    <x v="63"/>
  </r>
  <r>
    <x v="443"/>
    <x v="2"/>
    <x v="135"/>
    <x v="0"/>
    <x v="1"/>
    <x v="4"/>
    <x v="16"/>
    <x v="2"/>
    <x v="0"/>
    <x v="0"/>
    <x v="2"/>
    <x v="16"/>
    <x v="4"/>
    <x v="429"/>
    <x v="0"/>
    <x v="0"/>
    <x v="0"/>
    <x v="16"/>
    <x v="18"/>
  </r>
  <r>
    <x v="444"/>
    <x v="4"/>
    <x v="330"/>
    <x v="0"/>
    <x v="0"/>
    <x v="1"/>
    <x v="30"/>
    <x v="39"/>
    <x v="0"/>
    <x v="0"/>
    <x v="39"/>
    <x v="30"/>
    <x v="1"/>
    <x v="430"/>
    <x v="0"/>
    <x v="0"/>
    <x v="0"/>
    <x v="20"/>
    <x v="34"/>
  </r>
  <r>
    <x v="445"/>
    <x v="0"/>
    <x v="331"/>
    <x v="0"/>
    <x v="0"/>
    <x v="2"/>
    <x v="30"/>
    <x v="15"/>
    <x v="0"/>
    <x v="0"/>
    <x v="15"/>
    <x v="30"/>
    <x v="2"/>
    <x v="431"/>
    <x v="0"/>
    <x v="0"/>
    <x v="0"/>
    <x v="20"/>
    <x v="13"/>
  </r>
  <r>
    <x v="446"/>
    <x v="4"/>
    <x v="332"/>
    <x v="41"/>
    <x v="1"/>
    <x v="1"/>
    <x v="38"/>
    <x v="35"/>
    <x v="2"/>
    <x v="1"/>
    <x v="35"/>
    <x v="38"/>
    <x v="1"/>
    <x v="432"/>
    <x v="1"/>
    <x v="1"/>
    <x v="1"/>
    <x v="5"/>
    <x v="96"/>
  </r>
  <r>
    <x v="447"/>
    <x v="0"/>
    <x v="333"/>
    <x v="0"/>
    <x v="0"/>
    <x v="1"/>
    <x v="19"/>
    <x v="39"/>
    <x v="0"/>
    <x v="0"/>
    <x v="39"/>
    <x v="19"/>
    <x v="1"/>
    <x v="433"/>
    <x v="0"/>
    <x v="0"/>
    <x v="0"/>
    <x v="9"/>
    <x v="9"/>
  </r>
  <r>
    <x v="448"/>
    <x v="2"/>
    <x v="169"/>
    <x v="0"/>
    <x v="2"/>
    <x v="4"/>
    <x v="20"/>
    <x v="2"/>
    <x v="0"/>
    <x v="0"/>
    <x v="2"/>
    <x v="20"/>
    <x v="4"/>
    <x v="434"/>
    <x v="0"/>
    <x v="0"/>
    <x v="0"/>
    <x v="10"/>
    <x v="93"/>
  </r>
  <r>
    <x v="449"/>
    <x v="1"/>
    <x v="334"/>
    <x v="0"/>
    <x v="0"/>
    <x v="1"/>
    <x v="39"/>
    <x v="4"/>
    <x v="0"/>
    <x v="0"/>
    <x v="4"/>
    <x v="39"/>
    <x v="1"/>
    <x v="435"/>
    <x v="0"/>
    <x v="0"/>
    <x v="0"/>
    <x v="17"/>
    <x v="88"/>
  </r>
  <r>
    <x v="450"/>
    <x v="2"/>
    <x v="225"/>
    <x v="0"/>
    <x v="2"/>
    <x v="2"/>
    <x v="2"/>
    <x v="34"/>
    <x v="1"/>
    <x v="0"/>
    <x v="34"/>
    <x v="2"/>
    <x v="2"/>
    <x v="436"/>
    <x v="0"/>
    <x v="0"/>
    <x v="0"/>
    <x v="9"/>
    <x v="22"/>
  </r>
  <r>
    <x v="451"/>
    <x v="3"/>
    <x v="245"/>
    <x v="0"/>
    <x v="0"/>
    <x v="1"/>
    <x v="36"/>
    <x v="18"/>
    <x v="0"/>
    <x v="0"/>
    <x v="18"/>
    <x v="36"/>
    <x v="1"/>
    <x v="437"/>
    <x v="0"/>
    <x v="0"/>
    <x v="0"/>
    <x v="25"/>
    <x v="91"/>
  </r>
  <r>
    <x v="452"/>
    <x v="4"/>
    <x v="35"/>
    <x v="0"/>
    <x v="2"/>
    <x v="1"/>
    <x v="2"/>
    <x v="45"/>
    <x v="1"/>
    <x v="0"/>
    <x v="45"/>
    <x v="2"/>
    <x v="1"/>
    <x v="438"/>
    <x v="0"/>
    <x v="0"/>
    <x v="0"/>
    <x v="16"/>
    <x v="55"/>
  </r>
  <r>
    <x v="453"/>
    <x v="4"/>
    <x v="37"/>
    <x v="42"/>
    <x v="2"/>
    <x v="3"/>
    <x v="9"/>
    <x v="3"/>
    <x v="2"/>
    <x v="1"/>
    <x v="3"/>
    <x v="9"/>
    <x v="3"/>
    <x v="439"/>
    <x v="1"/>
    <x v="1"/>
    <x v="1"/>
    <x v="21"/>
    <x v="85"/>
  </r>
  <r>
    <x v="454"/>
    <x v="2"/>
    <x v="14"/>
    <x v="0"/>
    <x v="0"/>
    <x v="4"/>
    <x v="29"/>
    <x v="23"/>
    <x v="1"/>
    <x v="0"/>
    <x v="23"/>
    <x v="29"/>
    <x v="4"/>
    <x v="440"/>
    <x v="0"/>
    <x v="0"/>
    <x v="0"/>
    <x v="4"/>
    <x v="32"/>
  </r>
  <r>
    <x v="455"/>
    <x v="2"/>
    <x v="55"/>
    <x v="43"/>
    <x v="2"/>
    <x v="4"/>
    <x v="5"/>
    <x v="78"/>
    <x v="2"/>
    <x v="1"/>
    <x v="78"/>
    <x v="5"/>
    <x v="4"/>
    <x v="441"/>
    <x v="1"/>
    <x v="1"/>
    <x v="1"/>
    <x v="1"/>
    <x v="61"/>
  </r>
  <r>
    <x v="456"/>
    <x v="1"/>
    <x v="335"/>
    <x v="0"/>
    <x v="0"/>
    <x v="0"/>
    <x v="30"/>
    <x v="95"/>
    <x v="0"/>
    <x v="0"/>
    <x v="95"/>
    <x v="30"/>
    <x v="0"/>
    <x v="442"/>
    <x v="0"/>
    <x v="0"/>
    <x v="0"/>
    <x v="4"/>
    <x v="34"/>
  </r>
  <r>
    <x v="457"/>
    <x v="3"/>
    <x v="336"/>
    <x v="0"/>
    <x v="0"/>
    <x v="0"/>
    <x v="44"/>
    <x v="2"/>
    <x v="1"/>
    <x v="0"/>
    <x v="2"/>
    <x v="44"/>
    <x v="0"/>
    <x v="443"/>
    <x v="0"/>
    <x v="0"/>
    <x v="0"/>
    <x v="25"/>
    <x v="40"/>
  </r>
  <r>
    <x v="458"/>
    <x v="2"/>
    <x v="337"/>
    <x v="0"/>
    <x v="0"/>
    <x v="4"/>
    <x v="41"/>
    <x v="76"/>
    <x v="0"/>
    <x v="0"/>
    <x v="76"/>
    <x v="41"/>
    <x v="4"/>
    <x v="444"/>
    <x v="0"/>
    <x v="0"/>
    <x v="0"/>
    <x v="2"/>
    <x v="47"/>
  </r>
  <r>
    <x v="459"/>
    <x v="2"/>
    <x v="228"/>
    <x v="0"/>
    <x v="0"/>
    <x v="1"/>
    <x v="37"/>
    <x v="73"/>
    <x v="0"/>
    <x v="0"/>
    <x v="73"/>
    <x v="37"/>
    <x v="1"/>
    <x v="445"/>
    <x v="0"/>
    <x v="0"/>
    <x v="0"/>
    <x v="23"/>
    <x v="37"/>
  </r>
  <r>
    <x v="460"/>
    <x v="4"/>
    <x v="338"/>
    <x v="0"/>
    <x v="2"/>
    <x v="1"/>
    <x v="47"/>
    <x v="3"/>
    <x v="1"/>
    <x v="0"/>
    <x v="3"/>
    <x v="47"/>
    <x v="1"/>
    <x v="446"/>
    <x v="0"/>
    <x v="0"/>
    <x v="0"/>
    <x v="23"/>
    <x v="37"/>
  </r>
  <r>
    <x v="461"/>
    <x v="3"/>
    <x v="339"/>
    <x v="0"/>
    <x v="2"/>
    <x v="0"/>
    <x v="49"/>
    <x v="71"/>
    <x v="0"/>
    <x v="0"/>
    <x v="71"/>
    <x v="49"/>
    <x v="0"/>
    <x v="447"/>
    <x v="0"/>
    <x v="0"/>
    <x v="0"/>
    <x v="0"/>
    <x v="0"/>
  </r>
  <r>
    <x v="462"/>
    <x v="1"/>
    <x v="340"/>
    <x v="0"/>
    <x v="0"/>
    <x v="3"/>
    <x v="45"/>
    <x v="95"/>
    <x v="1"/>
    <x v="0"/>
    <x v="95"/>
    <x v="45"/>
    <x v="3"/>
    <x v="448"/>
    <x v="2"/>
    <x v="0"/>
    <x v="0"/>
    <x v="13"/>
    <x v="52"/>
  </r>
  <r>
    <x v="463"/>
    <x v="0"/>
    <x v="113"/>
    <x v="0"/>
    <x v="2"/>
    <x v="3"/>
    <x v="24"/>
    <x v="75"/>
    <x v="0"/>
    <x v="0"/>
    <x v="75"/>
    <x v="24"/>
    <x v="3"/>
    <x v="449"/>
    <x v="2"/>
    <x v="0"/>
    <x v="0"/>
    <x v="7"/>
    <x v="87"/>
  </r>
  <r>
    <x v="464"/>
    <x v="1"/>
    <x v="250"/>
    <x v="0"/>
    <x v="0"/>
    <x v="4"/>
    <x v="21"/>
    <x v="35"/>
    <x v="1"/>
    <x v="0"/>
    <x v="35"/>
    <x v="21"/>
    <x v="4"/>
    <x v="450"/>
    <x v="0"/>
    <x v="0"/>
    <x v="0"/>
    <x v="7"/>
    <x v="65"/>
  </r>
  <r>
    <x v="465"/>
    <x v="2"/>
    <x v="341"/>
    <x v="0"/>
    <x v="1"/>
    <x v="1"/>
    <x v="17"/>
    <x v="8"/>
    <x v="1"/>
    <x v="0"/>
    <x v="8"/>
    <x v="17"/>
    <x v="1"/>
    <x v="451"/>
    <x v="0"/>
    <x v="0"/>
    <x v="0"/>
    <x v="27"/>
    <x v="97"/>
  </r>
  <r>
    <x v="466"/>
    <x v="1"/>
    <x v="338"/>
    <x v="0"/>
    <x v="0"/>
    <x v="0"/>
    <x v="45"/>
    <x v="82"/>
    <x v="1"/>
    <x v="0"/>
    <x v="82"/>
    <x v="45"/>
    <x v="0"/>
    <x v="452"/>
    <x v="0"/>
    <x v="0"/>
    <x v="0"/>
    <x v="23"/>
    <x v="20"/>
  </r>
  <r>
    <x v="467"/>
    <x v="2"/>
    <x v="7"/>
    <x v="0"/>
    <x v="1"/>
    <x v="1"/>
    <x v="6"/>
    <x v="59"/>
    <x v="0"/>
    <x v="0"/>
    <x v="59"/>
    <x v="6"/>
    <x v="1"/>
    <x v="453"/>
    <x v="0"/>
    <x v="0"/>
    <x v="0"/>
    <x v="6"/>
    <x v="8"/>
  </r>
  <r>
    <x v="468"/>
    <x v="2"/>
    <x v="273"/>
    <x v="0"/>
    <x v="1"/>
    <x v="3"/>
    <x v="48"/>
    <x v="56"/>
    <x v="0"/>
    <x v="0"/>
    <x v="56"/>
    <x v="48"/>
    <x v="3"/>
    <x v="454"/>
    <x v="2"/>
    <x v="0"/>
    <x v="0"/>
    <x v="23"/>
    <x v="43"/>
  </r>
  <r>
    <x v="469"/>
    <x v="3"/>
    <x v="342"/>
    <x v="0"/>
    <x v="0"/>
    <x v="3"/>
    <x v="17"/>
    <x v="86"/>
    <x v="1"/>
    <x v="0"/>
    <x v="86"/>
    <x v="17"/>
    <x v="3"/>
    <x v="455"/>
    <x v="2"/>
    <x v="0"/>
    <x v="0"/>
    <x v="19"/>
    <x v="33"/>
  </r>
  <r>
    <x v="470"/>
    <x v="2"/>
    <x v="343"/>
    <x v="44"/>
    <x v="1"/>
    <x v="4"/>
    <x v="21"/>
    <x v="45"/>
    <x v="2"/>
    <x v="1"/>
    <x v="45"/>
    <x v="21"/>
    <x v="4"/>
    <x v="456"/>
    <x v="1"/>
    <x v="1"/>
    <x v="1"/>
    <x v="24"/>
    <x v="38"/>
  </r>
  <r>
    <x v="471"/>
    <x v="3"/>
    <x v="344"/>
    <x v="45"/>
    <x v="2"/>
    <x v="3"/>
    <x v="12"/>
    <x v="65"/>
    <x v="2"/>
    <x v="1"/>
    <x v="65"/>
    <x v="12"/>
    <x v="3"/>
    <x v="457"/>
    <x v="1"/>
    <x v="1"/>
    <x v="1"/>
    <x v="31"/>
    <x v="16"/>
  </r>
  <r>
    <x v="472"/>
    <x v="1"/>
    <x v="315"/>
    <x v="0"/>
    <x v="2"/>
    <x v="1"/>
    <x v="35"/>
    <x v="81"/>
    <x v="0"/>
    <x v="0"/>
    <x v="81"/>
    <x v="35"/>
    <x v="1"/>
    <x v="283"/>
    <x v="0"/>
    <x v="0"/>
    <x v="0"/>
    <x v="2"/>
    <x v="2"/>
  </r>
  <r>
    <x v="473"/>
    <x v="3"/>
    <x v="308"/>
    <x v="46"/>
    <x v="2"/>
    <x v="1"/>
    <x v="32"/>
    <x v="16"/>
    <x v="2"/>
    <x v="1"/>
    <x v="16"/>
    <x v="32"/>
    <x v="1"/>
    <x v="458"/>
    <x v="1"/>
    <x v="1"/>
    <x v="1"/>
    <x v="15"/>
    <x v="22"/>
  </r>
  <r>
    <x v="474"/>
    <x v="1"/>
    <x v="248"/>
    <x v="0"/>
    <x v="2"/>
    <x v="3"/>
    <x v="36"/>
    <x v="98"/>
    <x v="1"/>
    <x v="0"/>
    <x v="98"/>
    <x v="36"/>
    <x v="3"/>
    <x v="459"/>
    <x v="2"/>
    <x v="0"/>
    <x v="0"/>
    <x v="10"/>
    <x v="14"/>
  </r>
  <r>
    <x v="475"/>
    <x v="2"/>
    <x v="303"/>
    <x v="0"/>
    <x v="2"/>
    <x v="4"/>
    <x v="10"/>
    <x v="8"/>
    <x v="1"/>
    <x v="0"/>
    <x v="8"/>
    <x v="10"/>
    <x v="4"/>
    <x v="460"/>
    <x v="0"/>
    <x v="0"/>
    <x v="0"/>
    <x v="18"/>
    <x v="23"/>
  </r>
  <r>
    <x v="476"/>
    <x v="3"/>
    <x v="213"/>
    <x v="0"/>
    <x v="1"/>
    <x v="1"/>
    <x v="6"/>
    <x v="2"/>
    <x v="1"/>
    <x v="0"/>
    <x v="2"/>
    <x v="6"/>
    <x v="1"/>
    <x v="461"/>
    <x v="0"/>
    <x v="0"/>
    <x v="0"/>
    <x v="20"/>
    <x v="34"/>
  </r>
  <r>
    <x v="477"/>
    <x v="3"/>
    <x v="332"/>
    <x v="0"/>
    <x v="2"/>
    <x v="1"/>
    <x v="33"/>
    <x v="17"/>
    <x v="1"/>
    <x v="0"/>
    <x v="17"/>
    <x v="33"/>
    <x v="1"/>
    <x v="462"/>
    <x v="0"/>
    <x v="0"/>
    <x v="0"/>
    <x v="16"/>
    <x v="55"/>
  </r>
  <r>
    <x v="478"/>
    <x v="0"/>
    <x v="345"/>
    <x v="0"/>
    <x v="1"/>
    <x v="1"/>
    <x v="4"/>
    <x v="8"/>
    <x v="0"/>
    <x v="0"/>
    <x v="8"/>
    <x v="4"/>
    <x v="1"/>
    <x v="463"/>
    <x v="0"/>
    <x v="0"/>
    <x v="0"/>
    <x v="1"/>
    <x v="62"/>
  </r>
  <r>
    <x v="479"/>
    <x v="1"/>
    <x v="188"/>
    <x v="0"/>
    <x v="0"/>
    <x v="1"/>
    <x v="35"/>
    <x v="78"/>
    <x v="1"/>
    <x v="0"/>
    <x v="78"/>
    <x v="35"/>
    <x v="1"/>
    <x v="464"/>
    <x v="0"/>
    <x v="0"/>
    <x v="0"/>
    <x v="13"/>
    <x v="0"/>
  </r>
  <r>
    <x v="480"/>
    <x v="0"/>
    <x v="346"/>
    <x v="0"/>
    <x v="0"/>
    <x v="0"/>
    <x v="31"/>
    <x v="31"/>
    <x v="0"/>
    <x v="0"/>
    <x v="31"/>
    <x v="31"/>
    <x v="0"/>
    <x v="465"/>
    <x v="0"/>
    <x v="0"/>
    <x v="0"/>
    <x v="22"/>
    <x v="66"/>
  </r>
  <r>
    <x v="481"/>
    <x v="2"/>
    <x v="324"/>
    <x v="0"/>
    <x v="2"/>
    <x v="0"/>
    <x v="47"/>
    <x v="60"/>
    <x v="0"/>
    <x v="0"/>
    <x v="60"/>
    <x v="47"/>
    <x v="0"/>
    <x v="466"/>
    <x v="0"/>
    <x v="0"/>
    <x v="0"/>
    <x v="2"/>
    <x v="48"/>
  </r>
  <r>
    <x v="482"/>
    <x v="0"/>
    <x v="347"/>
    <x v="47"/>
    <x v="1"/>
    <x v="4"/>
    <x v="46"/>
    <x v="39"/>
    <x v="2"/>
    <x v="1"/>
    <x v="39"/>
    <x v="46"/>
    <x v="4"/>
    <x v="467"/>
    <x v="1"/>
    <x v="1"/>
    <x v="1"/>
    <x v="20"/>
    <x v="54"/>
  </r>
  <r>
    <x v="483"/>
    <x v="4"/>
    <x v="52"/>
    <x v="0"/>
    <x v="2"/>
    <x v="4"/>
    <x v="50"/>
    <x v="68"/>
    <x v="0"/>
    <x v="0"/>
    <x v="68"/>
    <x v="50"/>
    <x v="4"/>
    <x v="468"/>
    <x v="0"/>
    <x v="0"/>
    <x v="0"/>
    <x v="22"/>
    <x v="85"/>
  </r>
  <r>
    <x v="484"/>
    <x v="3"/>
    <x v="311"/>
    <x v="0"/>
    <x v="0"/>
    <x v="2"/>
    <x v="17"/>
    <x v="8"/>
    <x v="0"/>
    <x v="0"/>
    <x v="8"/>
    <x v="17"/>
    <x v="2"/>
    <x v="451"/>
    <x v="0"/>
    <x v="0"/>
    <x v="0"/>
    <x v="5"/>
    <x v="60"/>
  </r>
  <r>
    <x v="485"/>
    <x v="2"/>
    <x v="126"/>
    <x v="0"/>
    <x v="0"/>
    <x v="1"/>
    <x v="23"/>
    <x v="25"/>
    <x v="1"/>
    <x v="0"/>
    <x v="25"/>
    <x v="23"/>
    <x v="1"/>
    <x v="469"/>
    <x v="0"/>
    <x v="0"/>
    <x v="0"/>
    <x v="10"/>
    <x v="10"/>
  </r>
  <r>
    <x v="486"/>
    <x v="1"/>
    <x v="171"/>
    <x v="0"/>
    <x v="0"/>
    <x v="0"/>
    <x v="26"/>
    <x v="83"/>
    <x v="1"/>
    <x v="0"/>
    <x v="83"/>
    <x v="26"/>
    <x v="0"/>
    <x v="470"/>
    <x v="0"/>
    <x v="0"/>
    <x v="0"/>
    <x v="22"/>
    <x v="66"/>
  </r>
  <r>
    <x v="487"/>
    <x v="3"/>
    <x v="348"/>
    <x v="48"/>
    <x v="1"/>
    <x v="2"/>
    <x v="1"/>
    <x v="24"/>
    <x v="2"/>
    <x v="1"/>
    <x v="24"/>
    <x v="1"/>
    <x v="2"/>
    <x v="471"/>
    <x v="1"/>
    <x v="1"/>
    <x v="1"/>
    <x v="26"/>
    <x v="77"/>
  </r>
  <r>
    <x v="488"/>
    <x v="4"/>
    <x v="206"/>
    <x v="0"/>
    <x v="1"/>
    <x v="2"/>
    <x v="28"/>
    <x v="59"/>
    <x v="1"/>
    <x v="0"/>
    <x v="59"/>
    <x v="28"/>
    <x v="2"/>
    <x v="472"/>
    <x v="0"/>
    <x v="0"/>
    <x v="0"/>
    <x v="20"/>
    <x v="13"/>
  </r>
  <r>
    <x v="489"/>
    <x v="0"/>
    <x v="349"/>
    <x v="0"/>
    <x v="0"/>
    <x v="1"/>
    <x v="25"/>
    <x v="67"/>
    <x v="1"/>
    <x v="0"/>
    <x v="67"/>
    <x v="25"/>
    <x v="1"/>
    <x v="473"/>
    <x v="0"/>
    <x v="0"/>
    <x v="0"/>
    <x v="15"/>
    <x v="22"/>
  </r>
  <r>
    <x v="490"/>
    <x v="0"/>
    <x v="281"/>
    <x v="0"/>
    <x v="2"/>
    <x v="1"/>
    <x v="36"/>
    <x v="42"/>
    <x v="1"/>
    <x v="0"/>
    <x v="42"/>
    <x v="36"/>
    <x v="1"/>
    <x v="474"/>
    <x v="0"/>
    <x v="0"/>
    <x v="0"/>
    <x v="4"/>
    <x v="13"/>
  </r>
  <r>
    <x v="491"/>
    <x v="3"/>
    <x v="230"/>
    <x v="0"/>
    <x v="0"/>
    <x v="4"/>
    <x v="14"/>
    <x v="45"/>
    <x v="0"/>
    <x v="0"/>
    <x v="45"/>
    <x v="14"/>
    <x v="4"/>
    <x v="475"/>
    <x v="0"/>
    <x v="0"/>
    <x v="0"/>
    <x v="13"/>
    <x v="4"/>
  </r>
  <r>
    <x v="492"/>
    <x v="4"/>
    <x v="266"/>
    <x v="0"/>
    <x v="2"/>
    <x v="0"/>
    <x v="10"/>
    <x v="72"/>
    <x v="1"/>
    <x v="0"/>
    <x v="72"/>
    <x v="10"/>
    <x v="0"/>
    <x v="476"/>
    <x v="0"/>
    <x v="0"/>
    <x v="0"/>
    <x v="27"/>
    <x v="58"/>
  </r>
  <r>
    <x v="493"/>
    <x v="4"/>
    <x v="8"/>
    <x v="0"/>
    <x v="0"/>
    <x v="1"/>
    <x v="2"/>
    <x v="30"/>
    <x v="1"/>
    <x v="0"/>
    <x v="30"/>
    <x v="2"/>
    <x v="1"/>
    <x v="477"/>
    <x v="0"/>
    <x v="0"/>
    <x v="0"/>
    <x v="7"/>
    <x v="74"/>
  </r>
  <r>
    <x v="494"/>
    <x v="2"/>
    <x v="350"/>
    <x v="0"/>
    <x v="2"/>
    <x v="3"/>
    <x v="25"/>
    <x v="84"/>
    <x v="1"/>
    <x v="0"/>
    <x v="84"/>
    <x v="25"/>
    <x v="3"/>
    <x v="478"/>
    <x v="2"/>
    <x v="0"/>
    <x v="0"/>
    <x v="5"/>
    <x v="72"/>
  </r>
  <r>
    <x v="495"/>
    <x v="0"/>
    <x v="351"/>
    <x v="0"/>
    <x v="0"/>
    <x v="3"/>
    <x v="12"/>
    <x v="13"/>
    <x v="1"/>
    <x v="0"/>
    <x v="13"/>
    <x v="12"/>
    <x v="3"/>
    <x v="479"/>
    <x v="2"/>
    <x v="0"/>
    <x v="0"/>
    <x v="21"/>
    <x v="85"/>
  </r>
  <r>
    <x v="496"/>
    <x v="0"/>
    <x v="352"/>
    <x v="0"/>
    <x v="2"/>
    <x v="3"/>
    <x v="24"/>
    <x v="58"/>
    <x v="1"/>
    <x v="0"/>
    <x v="58"/>
    <x v="24"/>
    <x v="3"/>
    <x v="480"/>
    <x v="2"/>
    <x v="0"/>
    <x v="0"/>
    <x v="14"/>
    <x v="44"/>
  </r>
  <r>
    <x v="497"/>
    <x v="2"/>
    <x v="154"/>
    <x v="0"/>
    <x v="0"/>
    <x v="3"/>
    <x v="37"/>
    <x v="90"/>
    <x v="0"/>
    <x v="0"/>
    <x v="90"/>
    <x v="37"/>
    <x v="3"/>
    <x v="481"/>
    <x v="2"/>
    <x v="0"/>
    <x v="0"/>
    <x v="15"/>
    <x v="92"/>
  </r>
  <r>
    <x v="498"/>
    <x v="1"/>
    <x v="96"/>
    <x v="49"/>
    <x v="1"/>
    <x v="1"/>
    <x v="46"/>
    <x v="3"/>
    <x v="2"/>
    <x v="1"/>
    <x v="3"/>
    <x v="46"/>
    <x v="1"/>
    <x v="482"/>
    <x v="1"/>
    <x v="1"/>
    <x v="1"/>
    <x v="14"/>
    <x v="20"/>
  </r>
  <r>
    <x v="499"/>
    <x v="3"/>
    <x v="228"/>
    <x v="0"/>
    <x v="0"/>
    <x v="1"/>
    <x v="8"/>
    <x v="97"/>
    <x v="1"/>
    <x v="0"/>
    <x v="97"/>
    <x v="8"/>
    <x v="1"/>
    <x v="483"/>
    <x v="0"/>
    <x v="0"/>
    <x v="0"/>
    <x v="23"/>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C0B969-974E-48A5-A060-DB32C9A6941F}" name="PivotTable65" cacheId="3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23">
    <pivotField dataField="1" showAll="0"/>
    <pivotField showAll="0"/>
    <pivotField numFmtId="14" multipleItemSelectionAllowed="1" showAll="0">
      <items count="354">
        <item h="1" x="315"/>
        <item h="1" x="347"/>
        <item h="1" x="280"/>
        <item x="25"/>
        <item h="1" x="128"/>
        <item h="1" x="83"/>
        <item h="1" x="324"/>
        <item h="1" x="328"/>
        <item h="1" x="90"/>
        <item h="1" x="142"/>
        <item h="1" x="67"/>
        <item h="1" x="102"/>
        <item h="1" x="337"/>
        <item h="1" x="201"/>
        <item h="1" x="2"/>
        <item h="1" x="68"/>
        <item h="1" x="338"/>
        <item h="1" x="249"/>
        <item h="1" x="267"/>
        <item h="1" x="344"/>
        <item h="1" x="50"/>
        <item h="1" x="228"/>
        <item h="1" x="192"/>
        <item h="1" x="264"/>
        <item h="1" x="57"/>
        <item h="1" x="60"/>
        <item h="1" x="148"/>
        <item h="1" x="152"/>
        <item h="1" x="273"/>
        <item h="1" x="167"/>
        <item h="1" x="308"/>
        <item h="1" x="269"/>
        <item h="1" x="283"/>
        <item h="1" x="15"/>
        <item h="1" x="11"/>
        <item h="1" x="191"/>
        <item h="1" x="248"/>
        <item h="1" x="126"/>
        <item h="1" x="36"/>
        <item h="1" x="97"/>
        <item h="1" x="169"/>
        <item h="1" x="281"/>
        <item h="1" x="106"/>
        <item h="1" x="14"/>
        <item h="1" x="4"/>
        <item h="1" x="56"/>
        <item h="1" x="335"/>
        <item h="1" x="146"/>
        <item h="1" x="129"/>
        <item h="1" x="31"/>
        <item h="1" x="314"/>
        <item h="1" x="163"/>
        <item h="1" x="235"/>
        <item h="1" x="223"/>
        <item h="1" x="187"/>
        <item h="1" x="45"/>
        <item h="1" x="319"/>
        <item h="1" x="16"/>
        <item h="1" x="300"/>
        <item h="1" x="37"/>
        <item h="1" x="205"/>
        <item h="1" x="203"/>
        <item h="1" x="209"/>
        <item h="1" x="199"/>
        <item h="1" x="207"/>
        <item h="1" x="156"/>
        <item h="1" x="40"/>
        <item h="1" x="218"/>
        <item h="1" x="285"/>
        <item h="1" x="303"/>
        <item h="1" x="176"/>
        <item h="1" x="30"/>
        <item h="1" x="214"/>
        <item h="1" x="119"/>
        <item h="1" x="46"/>
        <item h="1" x="100"/>
        <item h="1" x="200"/>
        <item h="1" x="48"/>
        <item h="1" x="3"/>
        <item h="1" x="178"/>
        <item h="1" x="55"/>
        <item h="1" x="53"/>
        <item h="1" x="69"/>
        <item h="1" x="88"/>
        <item h="1" x="302"/>
        <item h="1" x="253"/>
        <item h="1" x="259"/>
        <item h="1" x="270"/>
        <item h="1" x="162"/>
        <item h="1" x="336"/>
        <item h="1" x="131"/>
        <item h="1" x="245"/>
        <item h="1" x="323"/>
        <item h="1" x="262"/>
        <item h="1" x="289"/>
        <item h="1" x="43"/>
        <item h="1" x="261"/>
        <item h="1" x="82"/>
        <item h="1" x="317"/>
        <item h="1" x="145"/>
        <item h="1" x="256"/>
        <item h="1" x="306"/>
        <item h="1" x="304"/>
        <item h="1" x="85"/>
        <item h="1" x="51"/>
        <item h="1" x="24"/>
        <item h="1" x="133"/>
        <item h="1" x="278"/>
        <item h="1" x="318"/>
        <item h="1" x="65"/>
        <item h="1" x="7"/>
        <item h="1" x="342"/>
        <item h="1" x="179"/>
        <item h="1" x="20"/>
        <item h="1" x="254"/>
        <item h="1" x="287"/>
        <item h="1" x="9"/>
        <item h="1" x="72"/>
        <item h="1" x="94"/>
        <item h="1" x="127"/>
        <item h="1" x="284"/>
        <item h="1" x="125"/>
        <item h="1" x="155"/>
        <item h="1" x="186"/>
        <item h="1" x="202"/>
        <item h="1" x="44"/>
        <item h="1" x="42"/>
        <item h="1" x="39"/>
        <item h="1" x="279"/>
        <item h="1" x="79"/>
        <item h="1" x="274"/>
        <item h="1" x="326"/>
        <item h="1" x="112"/>
        <item h="1" x="316"/>
        <item h="1" x="0"/>
        <item h="1" x="63"/>
        <item h="1" x="149"/>
        <item h="1" x="339"/>
        <item h="1" x="181"/>
        <item h="1" x="89"/>
        <item h="1" x="182"/>
        <item h="1" x="64"/>
        <item h="1" x="109"/>
        <item h="1" x="204"/>
        <item h="1" x="282"/>
        <item h="1" x="309"/>
        <item h="1" x="193"/>
        <item h="1" x="276"/>
        <item h="1" x="211"/>
        <item h="1" x="135"/>
        <item h="1" x="87"/>
        <item h="1" x="332"/>
        <item h="1" x="247"/>
        <item h="1" x="175"/>
        <item h="1" x="241"/>
        <item h="1" x="23"/>
        <item h="1" x="298"/>
        <item h="1" x="35"/>
        <item h="1" x="275"/>
        <item h="1" x="184"/>
        <item h="1" x="329"/>
        <item h="1" x="80"/>
        <item h="1" x="159"/>
        <item h="1" x="297"/>
        <item h="1" x="196"/>
        <item h="1" x="237"/>
        <item h="1" x="118"/>
        <item h="1" x="49"/>
        <item h="1" x="161"/>
        <item h="1" x="286"/>
        <item h="1" x="238"/>
        <item h="1" x="171"/>
        <item h="1" x="194"/>
        <item h="1" x="151"/>
        <item h="1" x="294"/>
        <item h="1" x="346"/>
        <item h="1" x="307"/>
        <item h="1" x="52"/>
        <item h="1" x="189"/>
        <item h="1" x="190"/>
        <item h="1" x="130"/>
        <item h="1" x="312"/>
        <item h="1" x="8"/>
        <item h="1" x="325"/>
        <item h="1" x="70"/>
        <item h="1" x="95"/>
        <item h="1" x="117"/>
        <item h="1" x="250"/>
        <item h="1" x="113"/>
        <item h="1" x="277"/>
        <item h="1" x="320"/>
        <item h="1" x="301"/>
        <item h="1" x="33"/>
        <item h="1" x="349"/>
        <item h="1" x="154"/>
        <item h="1" x="183"/>
        <item h="1" x="157"/>
        <item h="1" x="321"/>
        <item h="1" x="93"/>
        <item h="1" x="29"/>
        <item h="1" x="271"/>
        <item h="1" x="32"/>
        <item h="1" x="105"/>
        <item h="1" x="257"/>
        <item h="1" x="293"/>
        <item h="1" x="210"/>
        <item h="1" x="291"/>
        <item h="1" x="38"/>
        <item h="1" x="195"/>
        <item h="1" x="313"/>
        <item h="1" x="153"/>
        <item h="1" x="28"/>
        <item h="1" x="348"/>
        <item h="1" x="334"/>
        <item h="1" x="160"/>
        <item h="1" x="295"/>
        <item h="1" x="212"/>
        <item h="1" x="62"/>
        <item h="1" x="290"/>
        <item h="1" x="296"/>
        <item h="1" x="98"/>
        <item h="1" x="311"/>
        <item h="1" x="17"/>
        <item h="1" x="216"/>
        <item h="1" x="12"/>
        <item h="1" x="5"/>
        <item h="1" x="111"/>
        <item h="1" x="134"/>
        <item h="1" x="350"/>
        <item h="1" x="263"/>
        <item h="1" x="215"/>
        <item h="1" x="180"/>
        <item h="1" x="104"/>
        <item h="1" x="27"/>
        <item h="1" x="242"/>
        <item h="1" x="92"/>
        <item h="1" x="132"/>
        <item h="1" x="34"/>
        <item h="1" x="266"/>
        <item h="1" x="222"/>
        <item h="1" x="236"/>
        <item h="1" x="217"/>
        <item h="1" x="234"/>
        <item h="1" x="341"/>
        <item h="1" x="144"/>
        <item h="1" x="77"/>
        <item h="1" x="114"/>
        <item h="1" x="327"/>
        <item h="1" x="198"/>
        <item h="1" x="26"/>
        <item h="1" x="239"/>
        <item h="1" x="208"/>
        <item h="1" x="103"/>
        <item h="1" x="352"/>
        <item h="1" x="170"/>
        <item h="1" x="177"/>
        <item h="1" x="244"/>
        <item h="1" x="19"/>
        <item h="1" x="252"/>
        <item h="1" x="21"/>
        <item h="1" x="322"/>
        <item h="1" x="71"/>
        <item h="1" x="331"/>
        <item h="1" x="66"/>
        <item h="1" x="41"/>
        <item h="1" x="330"/>
        <item h="1" x="116"/>
        <item h="1" x="86"/>
        <item h="1" x="206"/>
        <item h="1" x="84"/>
        <item h="1" x="147"/>
        <item h="1" x="226"/>
        <item h="1" x="213"/>
        <item h="1" x="343"/>
        <item h="1" x="139"/>
        <item h="1" x="305"/>
        <item h="1" x="101"/>
        <item h="1" x="219"/>
        <item h="1" x="345"/>
        <item h="1" x="158"/>
        <item h="1" x="6"/>
        <item h="1" x="224"/>
        <item h="1" x="265"/>
        <item h="1" x="13"/>
        <item h="1" x="143"/>
        <item h="1" x="260"/>
        <item h="1" x="292"/>
        <item h="1" x="99"/>
        <item h="1" x="1"/>
        <item h="1" x="166"/>
        <item h="1" x="288"/>
        <item h="1" x="61"/>
        <item h="1" x="140"/>
        <item h="1" x="76"/>
        <item h="1" x="220"/>
        <item h="1" x="168"/>
        <item h="1" x="74"/>
        <item h="1" x="22"/>
        <item h="1" x="81"/>
        <item h="1" x="229"/>
        <item h="1" x="221"/>
        <item h="1" x="299"/>
        <item h="1" x="124"/>
        <item h="1" x="96"/>
        <item h="1" x="108"/>
        <item h="1" x="18"/>
        <item h="1" x="121"/>
        <item h="1" x="165"/>
        <item h="1" x="164"/>
        <item h="1" x="58"/>
        <item h="1" x="268"/>
        <item h="1" x="122"/>
        <item h="1" x="123"/>
        <item h="1" x="78"/>
        <item h="1" x="230"/>
        <item h="1" x="188"/>
        <item h="1" x="150"/>
        <item h="1" x="137"/>
        <item h="1" x="340"/>
        <item h="1" x="272"/>
        <item h="1" x="232"/>
        <item h="1" x="233"/>
        <item h="1" x="251"/>
        <item h="1" x="136"/>
        <item h="1" x="107"/>
        <item h="1" x="115"/>
        <item h="1" x="141"/>
        <item h="1" x="138"/>
        <item h="1" x="173"/>
        <item h="1" x="243"/>
        <item h="1" x="240"/>
        <item h="1" x="351"/>
        <item h="1" x="73"/>
        <item h="1" x="174"/>
        <item h="1" x="310"/>
        <item h="1" x="172"/>
        <item h="1" x="258"/>
        <item h="1" x="246"/>
        <item h="1" x="231"/>
        <item h="1" x="47"/>
        <item h="1" x="10"/>
        <item h="1" x="59"/>
        <item h="1" x="197"/>
        <item h="1" x="75"/>
        <item h="1" x="120"/>
        <item h="1" x="185"/>
        <item h="1" x="91"/>
        <item h="1" x="225"/>
        <item h="1" x="255"/>
        <item h="1" x="227"/>
        <item h="1" x="54"/>
        <item h="1" x="110"/>
        <item h="1" x="333"/>
        <item t="default"/>
      </items>
    </pivotField>
    <pivotField axis="axisPage" showAll="0">
      <items count="51">
        <item x="39"/>
        <item x="14"/>
        <item x="45"/>
        <item x="31"/>
        <item x="40"/>
        <item x="22"/>
        <item x="8"/>
        <item x="27"/>
        <item x="42"/>
        <item x="47"/>
        <item x="34"/>
        <item x="17"/>
        <item x="32"/>
        <item x="48"/>
        <item x="35"/>
        <item x="10"/>
        <item x="28"/>
        <item x="43"/>
        <item x="2"/>
        <item x="1"/>
        <item x="26"/>
        <item x="5"/>
        <item x="46"/>
        <item x="12"/>
        <item x="7"/>
        <item x="3"/>
        <item x="13"/>
        <item x="24"/>
        <item x="16"/>
        <item x="44"/>
        <item x="23"/>
        <item x="6"/>
        <item x="9"/>
        <item x="25"/>
        <item x="4"/>
        <item x="41"/>
        <item x="20"/>
        <item x="21"/>
        <item x="11"/>
        <item x="29"/>
        <item x="30"/>
        <item x="33"/>
        <item x="19"/>
        <item x="36"/>
        <item x="49"/>
        <item x="18"/>
        <item x="15"/>
        <item x="37"/>
        <item x="38"/>
        <item x="0"/>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s>
  <rowItems count="1">
    <i/>
  </rowItems>
  <colItems count="1">
    <i/>
  </colItems>
  <pageFields count="1">
    <pageField fld="3" item="49" hier="-1"/>
  </pageFields>
  <dataFields count="1">
    <dataField name="Total Active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879B90-2B27-4B3F-B916-522DAFA5CFDC}" name="PivotTable71" cacheId="3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showAll="0">
      <items count="6">
        <item x="1"/>
        <item x="4"/>
        <item x="3"/>
        <item x="0"/>
        <item x="2"/>
        <item t="default"/>
      </items>
    </pivotField>
    <pivotField numFmtId="14" showAll="0">
      <items count="354">
        <item x="315"/>
        <item x="347"/>
        <item x="280"/>
        <item x="25"/>
        <item x="128"/>
        <item x="83"/>
        <item x="324"/>
        <item x="328"/>
        <item x="90"/>
        <item x="142"/>
        <item x="67"/>
        <item x="102"/>
        <item x="337"/>
        <item x="201"/>
        <item x="2"/>
        <item x="68"/>
        <item x="338"/>
        <item x="249"/>
        <item x="267"/>
        <item x="344"/>
        <item x="50"/>
        <item x="228"/>
        <item x="192"/>
        <item x="264"/>
        <item x="57"/>
        <item x="60"/>
        <item x="148"/>
        <item x="152"/>
        <item x="273"/>
        <item x="167"/>
        <item x="308"/>
        <item x="269"/>
        <item x="283"/>
        <item x="15"/>
        <item x="11"/>
        <item x="191"/>
        <item x="248"/>
        <item x="126"/>
        <item x="36"/>
        <item x="97"/>
        <item x="169"/>
        <item x="281"/>
        <item x="106"/>
        <item x="14"/>
        <item x="4"/>
        <item x="56"/>
        <item x="335"/>
        <item x="146"/>
        <item x="129"/>
        <item x="31"/>
        <item x="314"/>
        <item x="163"/>
        <item x="235"/>
        <item x="223"/>
        <item x="187"/>
        <item x="45"/>
        <item x="319"/>
        <item x="16"/>
        <item x="300"/>
        <item x="37"/>
        <item x="205"/>
        <item x="203"/>
        <item x="209"/>
        <item x="199"/>
        <item x="207"/>
        <item x="156"/>
        <item x="40"/>
        <item x="218"/>
        <item x="285"/>
        <item x="303"/>
        <item x="176"/>
        <item x="30"/>
        <item x="214"/>
        <item x="119"/>
        <item x="46"/>
        <item x="100"/>
        <item x="200"/>
        <item x="48"/>
        <item x="3"/>
        <item x="178"/>
        <item x="55"/>
        <item x="53"/>
        <item x="69"/>
        <item x="88"/>
        <item x="302"/>
        <item x="253"/>
        <item x="259"/>
        <item x="270"/>
        <item x="162"/>
        <item x="336"/>
        <item x="131"/>
        <item x="245"/>
        <item x="323"/>
        <item x="262"/>
        <item x="289"/>
        <item x="43"/>
        <item x="261"/>
        <item x="82"/>
        <item x="317"/>
        <item x="145"/>
        <item x="256"/>
        <item x="306"/>
        <item x="304"/>
        <item x="85"/>
        <item x="51"/>
        <item x="24"/>
        <item x="133"/>
        <item x="278"/>
        <item x="318"/>
        <item x="65"/>
        <item x="7"/>
        <item x="342"/>
        <item x="179"/>
        <item x="20"/>
        <item x="254"/>
        <item x="287"/>
        <item x="9"/>
        <item x="72"/>
        <item x="94"/>
        <item x="127"/>
        <item x="284"/>
        <item x="125"/>
        <item x="155"/>
        <item x="186"/>
        <item x="202"/>
        <item x="44"/>
        <item x="42"/>
        <item x="39"/>
        <item x="279"/>
        <item x="79"/>
        <item x="274"/>
        <item x="326"/>
        <item x="112"/>
        <item x="316"/>
        <item x="0"/>
        <item x="63"/>
        <item x="149"/>
        <item x="339"/>
        <item x="181"/>
        <item x="89"/>
        <item x="182"/>
        <item x="64"/>
        <item x="109"/>
        <item x="204"/>
        <item x="282"/>
        <item x="309"/>
        <item x="193"/>
        <item x="276"/>
        <item x="211"/>
        <item x="135"/>
        <item x="87"/>
        <item x="332"/>
        <item x="247"/>
        <item x="175"/>
        <item x="241"/>
        <item x="23"/>
        <item x="298"/>
        <item x="35"/>
        <item x="275"/>
        <item x="184"/>
        <item x="329"/>
        <item x="80"/>
        <item x="159"/>
        <item x="297"/>
        <item x="196"/>
        <item x="237"/>
        <item x="118"/>
        <item x="49"/>
        <item x="161"/>
        <item x="286"/>
        <item x="238"/>
        <item x="171"/>
        <item x="194"/>
        <item x="151"/>
        <item x="294"/>
        <item x="346"/>
        <item x="307"/>
        <item x="52"/>
        <item x="189"/>
        <item x="190"/>
        <item x="130"/>
        <item x="312"/>
        <item x="8"/>
        <item x="325"/>
        <item x="70"/>
        <item x="95"/>
        <item x="117"/>
        <item x="250"/>
        <item x="113"/>
        <item x="277"/>
        <item x="320"/>
        <item x="301"/>
        <item x="33"/>
        <item x="349"/>
        <item x="154"/>
        <item x="183"/>
        <item x="157"/>
        <item x="321"/>
        <item x="93"/>
        <item x="29"/>
        <item x="271"/>
        <item x="32"/>
        <item x="105"/>
        <item x="257"/>
        <item x="293"/>
        <item x="210"/>
        <item x="291"/>
        <item x="38"/>
        <item x="195"/>
        <item x="313"/>
        <item x="153"/>
        <item x="28"/>
        <item x="348"/>
        <item x="334"/>
        <item x="160"/>
        <item x="295"/>
        <item x="212"/>
        <item x="62"/>
        <item x="290"/>
        <item x="296"/>
        <item x="98"/>
        <item x="311"/>
        <item x="17"/>
        <item x="216"/>
        <item x="12"/>
        <item x="5"/>
        <item x="111"/>
        <item x="134"/>
        <item x="350"/>
        <item x="263"/>
        <item x="215"/>
        <item x="180"/>
        <item x="104"/>
        <item x="27"/>
        <item x="242"/>
        <item x="92"/>
        <item x="132"/>
        <item x="34"/>
        <item x="266"/>
        <item x="222"/>
        <item x="236"/>
        <item x="217"/>
        <item x="234"/>
        <item x="341"/>
        <item x="144"/>
        <item x="77"/>
        <item x="114"/>
        <item x="327"/>
        <item x="198"/>
        <item x="26"/>
        <item x="239"/>
        <item x="208"/>
        <item x="103"/>
        <item x="352"/>
        <item x="170"/>
        <item x="177"/>
        <item x="244"/>
        <item x="19"/>
        <item x="252"/>
        <item x="21"/>
        <item x="322"/>
        <item x="71"/>
        <item x="331"/>
        <item x="66"/>
        <item x="41"/>
        <item x="330"/>
        <item x="116"/>
        <item x="86"/>
        <item x="206"/>
        <item x="84"/>
        <item x="147"/>
        <item x="226"/>
        <item x="213"/>
        <item x="343"/>
        <item x="139"/>
        <item x="305"/>
        <item x="101"/>
        <item x="219"/>
        <item x="345"/>
        <item x="158"/>
        <item x="6"/>
        <item x="224"/>
        <item x="265"/>
        <item x="13"/>
        <item x="143"/>
        <item x="260"/>
        <item x="292"/>
        <item x="99"/>
        <item x="1"/>
        <item x="166"/>
        <item x="288"/>
        <item x="61"/>
        <item x="140"/>
        <item x="76"/>
        <item x="220"/>
        <item x="168"/>
        <item x="74"/>
        <item x="22"/>
        <item x="81"/>
        <item x="229"/>
        <item x="221"/>
        <item x="299"/>
        <item x="124"/>
        <item x="96"/>
        <item x="108"/>
        <item x="18"/>
        <item x="121"/>
        <item x="165"/>
        <item x="164"/>
        <item x="58"/>
        <item x="268"/>
        <item x="122"/>
        <item x="123"/>
        <item x="78"/>
        <item x="230"/>
        <item x="188"/>
        <item x="150"/>
        <item x="137"/>
        <item x="340"/>
        <item x="272"/>
        <item x="232"/>
        <item x="233"/>
        <item x="251"/>
        <item x="136"/>
        <item x="107"/>
        <item x="115"/>
        <item x="141"/>
        <item x="138"/>
        <item x="173"/>
        <item x="243"/>
        <item x="240"/>
        <item x="351"/>
        <item x="73"/>
        <item x="174"/>
        <item x="310"/>
        <item x="172"/>
        <item x="258"/>
        <item x="246"/>
        <item x="231"/>
        <item x="47"/>
        <item x="10"/>
        <item x="59"/>
        <item x="197"/>
        <item x="75"/>
        <item x="120"/>
        <item x="185"/>
        <item x="91"/>
        <item x="225"/>
        <item x="255"/>
        <item x="227"/>
        <item x="54"/>
        <item x="110"/>
        <item x="333"/>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s>
  <rowItems count="1">
    <i/>
  </rowItems>
  <colItems count="1">
    <i/>
  </colItems>
  <dataFields count="1">
    <dataField name="Average of Customer LTV" fld="18" subtotal="average" baseField="0" baseItem="0" numFmtId="176"/>
  </dataFields>
  <formats count="4">
    <format dxfId="89">
      <pivotArea type="all" dataOnly="0" outline="0" fieldPosition="0"/>
    </format>
    <format dxfId="88">
      <pivotArea dataOnly="0" labelOnly="1" outline="0" axis="axisValues" fieldPosition="0"/>
    </format>
    <format dxfId="87">
      <pivotArea outline="0" collapsedLevelsAreSubtotals="1" fieldPosition="0"/>
    </format>
    <format dxfId="8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5E48F7-0E1E-4213-B392-350A1225E55D}" name="PivotTable70" cacheId="3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rowPageCount="1" colPageCount="1"/>
  <pivotFields count="23">
    <pivotField showAll="0"/>
    <pivotField showAll="0"/>
    <pivotField axis="axisPage" numFmtId="14" showAll="0">
      <items count="354">
        <item x="315"/>
        <item x="347"/>
        <item x="280"/>
        <item x="25"/>
        <item x="128"/>
        <item x="83"/>
        <item x="324"/>
        <item x="328"/>
        <item x="90"/>
        <item x="142"/>
        <item x="67"/>
        <item x="102"/>
        <item x="337"/>
        <item x="201"/>
        <item x="2"/>
        <item x="68"/>
        <item x="338"/>
        <item x="249"/>
        <item x="267"/>
        <item x="344"/>
        <item x="50"/>
        <item x="228"/>
        <item x="192"/>
        <item x="264"/>
        <item x="57"/>
        <item x="60"/>
        <item x="148"/>
        <item x="152"/>
        <item x="273"/>
        <item x="167"/>
        <item x="308"/>
        <item x="269"/>
        <item x="283"/>
        <item x="15"/>
        <item x="11"/>
        <item x="191"/>
        <item x="248"/>
        <item x="126"/>
        <item x="36"/>
        <item x="97"/>
        <item x="169"/>
        <item x="281"/>
        <item x="106"/>
        <item x="14"/>
        <item x="4"/>
        <item x="56"/>
        <item x="335"/>
        <item x="146"/>
        <item x="129"/>
        <item x="31"/>
        <item x="314"/>
        <item x="163"/>
        <item x="235"/>
        <item x="223"/>
        <item x="187"/>
        <item x="45"/>
        <item x="319"/>
        <item x="16"/>
        <item x="300"/>
        <item x="37"/>
        <item x="205"/>
        <item x="203"/>
        <item x="209"/>
        <item x="199"/>
        <item x="207"/>
        <item x="156"/>
        <item x="40"/>
        <item x="218"/>
        <item x="285"/>
        <item x="303"/>
        <item x="176"/>
        <item x="30"/>
        <item x="214"/>
        <item x="119"/>
        <item x="46"/>
        <item x="100"/>
        <item x="200"/>
        <item x="48"/>
        <item x="3"/>
        <item x="178"/>
        <item x="55"/>
        <item x="53"/>
        <item x="69"/>
        <item x="88"/>
        <item x="302"/>
        <item x="253"/>
        <item x="259"/>
        <item x="270"/>
        <item x="162"/>
        <item x="336"/>
        <item x="131"/>
        <item x="245"/>
        <item x="323"/>
        <item x="262"/>
        <item x="289"/>
        <item x="43"/>
        <item x="261"/>
        <item x="82"/>
        <item x="317"/>
        <item x="145"/>
        <item x="256"/>
        <item x="306"/>
        <item x="304"/>
        <item x="85"/>
        <item x="51"/>
        <item x="24"/>
        <item x="133"/>
        <item x="278"/>
        <item x="318"/>
        <item x="65"/>
        <item x="7"/>
        <item x="342"/>
        <item x="179"/>
        <item x="20"/>
        <item x="254"/>
        <item x="287"/>
        <item x="9"/>
        <item x="72"/>
        <item x="94"/>
        <item x="127"/>
        <item x="284"/>
        <item x="125"/>
        <item x="155"/>
        <item x="186"/>
        <item x="202"/>
        <item x="44"/>
        <item x="42"/>
        <item x="39"/>
        <item x="279"/>
        <item x="79"/>
        <item x="274"/>
        <item x="326"/>
        <item x="112"/>
        <item x="316"/>
        <item x="0"/>
        <item x="63"/>
        <item x="149"/>
        <item x="339"/>
        <item x="181"/>
        <item x="89"/>
        <item x="182"/>
        <item x="64"/>
        <item x="109"/>
        <item x="204"/>
        <item x="282"/>
        <item x="309"/>
        <item x="193"/>
        <item x="276"/>
        <item x="211"/>
        <item x="135"/>
        <item x="87"/>
        <item x="332"/>
        <item x="247"/>
        <item x="175"/>
        <item x="241"/>
        <item x="23"/>
        <item x="298"/>
        <item x="35"/>
        <item x="275"/>
        <item x="184"/>
        <item x="329"/>
        <item x="80"/>
        <item x="159"/>
        <item x="297"/>
        <item x="196"/>
        <item x="237"/>
        <item x="118"/>
        <item x="49"/>
        <item x="161"/>
        <item x="286"/>
        <item x="238"/>
        <item x="171"/>
        <item x="194"/>
        <item x="151"/>
        <item x="294"/>
        <item x="346"/>
        <item x="307"/>
        <item x="52"/>
        <item x="189"/>
        <item x="190"/>
        <item x="130"/>
        <item x="312"/>
        <item x="8"/>
        <item x="325"/>
        <item x="70"/>
        <item x="95"/>
        <item x="117"/>
        <item x="250"/>
        <item x="113"/>
        <item x="277"/>
        <item x="320"/>
        <item x="301"/>
        <item x="33"/>
        <item x="349"/>
        <item x="154"/>
        <item x="183"/>
        <item x="157"/>
        <item x="321"/>
        <item x="93"/>
        <item x="29"/>
        <item x="271"/>
        <item x="32"/>
        <item x="105"/>
        <item x="257"/>
        <item x="293"/>
        <item x="210"/>
        <item x="291"/>
        <item x="38"/>
        <item x="195"/>
        <item x="313"/>
        <item x="153"/>
        <item x="28"/>
        <item x="348"/>
        <item x="334"/>
        <item x="160"/>
        <item x="295"/>
        <item x="212"/>
        <item x="62"/>
        <item x="290"/>
        <item x="296"/>
        <item x="98"/>
        <item x="311"/>
        <item x="17"/>
        <item x="216"/>
        <item x="12"/>
        <item x="5"/>
        <item x="111"/>
        <item x="134"/>
        <item x="350"/>
        <item x="263"/>
        <item x="215"/>
        <item x="180"/>
        <item x="104"/>
        <item x="27"/>
        <item x="242"/>
        <item x="92"/>
        <item x="132"/>
        <item x="34"/>
        <item x="266"/>
        <item x="222"/>
        <item x="236"/>
        <item x="217"/>
        <item x="234"/>
        <item x="341"/>
        <item x="144"/>
        <item x="77"/>
        <item x="114"/>
        <item x="327"/>
        <item x="198"/>
        <item x="26"/>
        <item x="239"/>
        <item x="208"/>
        <item x="103"/>
        <item x="352"/>
        <item x="170"/>
        <item x="177"/>
        <item x="244"/>
        <item x="19"/>
        <item x="252"/>
        <item x="21"/>
        <item x="322"/>
        <item x="71"/>
        <item x="331"/>
        <item x="66"/>
        <item x="41"/>
        <item x="330"/>
        <item x="116"/>
        <item x="86"/>
        <item x="206"/>
        <item x="84"/>
        <item x="147"/>
        <item x="226"/>
        <item x="213"/>
        <item x="343"/>
        <item x="139"/>
        <item x="305"/>
        <item x="101"/>
        <item x="219"/>
        <item x="345"/>
        <item x="158"/>
        <item x="6"/>
        <item x="224"/>
        <item x="265"/>
        <item x="13"/>
        <item x="143"/>
        <item x="260"/>
        <item x="292"/>
        <item x="99"/>
        <item x="1"/>
        <item x="166"/>
        <item x="288"/>
        <item x="61"/>
        <item x="140"/>
        <item x="76"/>
        <item x="220"/>
        <item x="168"/>
        <item x="74"/>
        <item x="22"/>
        <item x="81"/>
        <item x="229"/>
        <item x="221"/>
        <item x="299"/>
        <item x="124"/>
        <item x="96"/>
        <item x="108"/>
        <item x="18"/>
        <item x="121"/>
        <item x="165"/>
        <item x="164"/>
        <item x="58"/>
        <item x="268"/>
        <item x="122"/>
        <item x="123"/>
        <item x="78"/>
        <item x="230"/>
        <item x="188"/>
        <item x="150"/>
        <item x="137"/>
        <item x="340"/>
        <item x="272"/>
        <item x="232"/>
        <item x="233"/>
        <item x="251"/>
        <item x="136"/>
        <item x="107"/>
        <item x="115"/>
        <item x="141"/>
        <item x="138"/>
        <item x="173"/>
        <item x="243"/>
        <item x="240"/>
        <item x="351"/>
        <item x="73"/>
        <item x="174"/>
        <item x="310"/>
        <item x="172"/>
        <item x="258"/>
        <item x="246"/>
        <item x="231"/>
        <item x="47"/>
        <item x="10"/>
        <item x="59"/>
        <item x="197"/>
        <item x="75"/>
        <item x="120"/>
        <item x="185"/>
        <item x="91"/>
        <item x="225"/>
        <item x="255"/>
        <item x="227"/>
        <item x="54"/>
        <item x="110"/>
        <item x="333"/>
        <item t="default"/>
      </items>
    </pivotField>
    <pivotField showAll="0"/>
    <pivotField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s>
  <rowItems count="1">
    <i/>
  </rowItems>
  <colItems count="1">
    <i/>
  </colItems>
  <pageFields count="1">
    <pageField fld="2" hier="-1"/>
  </pageFields>
  <dataFields count="1">
    <dataField name="Sum of Monthly_Spend" fld="5" baseField="0" baseItem="0" numFmtId="176"/>
  </dataFields>
  <formats count="5">
    <format dxfId="85">
      <pivotArea type="all" dataOnly="0" outline="0" fieldPosition="0"/>
    </format>
    <format dxfId="84">
      <pivotArea outline="0" collapsedLevelsAreSubtotals="1" fieldPosition="0"/>
    </format>
    <format dxfId="83">
      <pivotArea field="2" type="button" dataOnly="0" labelOnly="1" outline="0" axis="axisPage" fieldPosition="0"/>
    </format>
    <format dxfId="82">
      <pivotArea dataOnly="0" labelOnly="1" outline="0" axis="axisValues" fieldPosition="0"/>
    </format>
    <format dxfId="8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5873C4-57F6-42F5-8930-67200DD8E52F}" name="PivotTable72" cacheId="3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23">
    <pivotField dataField="1" showAll="0"/>
    <pivotField showAll="0"/>
    <pivotField numFmtId="14" showAll="0">
      <items count="354">
        <item x="315"/>
        <item x="347"/>
        <item x="280"/>
        <item x="25"/>
        <item x="128"/>
        <item x="83"/>
        <item x="324"/>
        <item x="328"/>
        <item x="90"/>
        <item x="142"/>
        <item x="67"/>
        <item x="102"/>
        <item x="337"/>
        <item x="201"/>
        <item x="2"/>
        <item x="68"/>
        <item x="338"/>
        <item x="249"/>
        <item x="267"/>
        <item x="344"/>
        <item x="50"/>
        <item x="228"/>
        <item x="192"/>
        <item x="264"/>
        <item x="57"/>
        <item x="60"/>
        <item x="148"/>
        <item x="152"/>
        <item x="273"/>
        <item x="167"/>
        <item x="308"/>
        <item x="269"/>
        <item x="283"/>
        <item x="15"/>
        <item x="11"/>
        <item x="191"/>
        <item x="248"/>
        <item x="126"/>
        <item x="36"/>
        <item x="97"/>
        <item x="169"/>
        <item x="281"/>
        <item x="106"/>
        <item x="14"/>
        <item x="4"/>
        <item x="56"/>
        <item x="335"/>
        <item x="146"/>
        <item x="129"/>
        <item x="31"/>
        <item x="314"/>
        <item x="163"/>
        <item x="235"/>
        <item x="223"/>
        <item x="187"/>
        <item x="45"/>
        <item x="319"/>
        <item x="16"/>
        <item x="300"/>
        <item x="37"/>
        <item x="205"/>
        <item x="203"/>
        <item x="209"/>
        <item x="199"/>
        <item x="207"/>
        <item x="156"/>
        <item x="40"/>
        <item x="218"/>
        <item x="285"/>
        <item x="303"/>
        <item x="176"/>
        <item x="30"/>
        <item x="214"/>
        <item x="119"/>
        <item x="46"/>
        <item x="100"/>
        <item x="200"/>
        <item x="48"/>
        <item x="3"/>
        <item x="178"/>
        <item x="55"/>
        <item x="53"/>
        <item x="69"/>
        <item x="88"/>
        <item x="302"/>
        <item x="253"/>
        <item x="259"/>
        <item x="270"/>
        <item x="162"/>
        <item x="336"/>
        <item x="131"/>
        <item x="245"/>
        <item x="323"/>
        <item x="262"/>
        <item x="289"/>
        <item x="43"/>
        <item x="261"/>
        <item x="82"/>
        <item x="317"/>
        <item x="145"/>
        <item x="256"/>
        <item x="306"/>
        <item x="304"/>
        <item x="85"/>
        <item x="51"/>
        <item x="24"/>
        <item x="133"/>
        <item x="278"/>
        <item x="318"/>
        <item x="65"/>
        <item x="7"/>
        <item x="342"/>
        <item x="179"/>
        <item x="20"/>
        <item x="254"/>
        <item x="287"/>
        <item x="9"/>
        <item x="72"/>
        <item x="94"/>
        <item x="127"/>
        <item x="284"/>
        <item x="125"/>
        <item x="155"/>
        <item x="186"/>
        <item x="202"/>
        <item x="44"/>
        <item x="42"/>
        <item x="39"/>
        <item x="279"/>
        <item x="79"/>
        <item x="274"/>
        <item x="326"/>
        <item x="112"/>
        <item x="316"/>
        <item x="0"/>
        <item x="63"/>
        <item x="149"/>
        <item x="339"/>
        <item x="181"/>
        <item x="89"/>
        <item x="182"/>
        <item x="64"/>
        <item x="109"/>
        <item x="204"/>
        <item x="282"/>
        <item x="309"/>
        <item x="193"/>
        <item x="276"/>
        <item x="211"/>
        <item x="135"/>
        <item x="87"/>
        <item x="332"/>
        <item x="247"/>
        <item x="175"/>
        <item x="241"/>
        <item x="23"/>
        <item x="298"/>
        <item x="35"/>
        <item x="275"/>
        <item x="184"/>
        <item x="329"/>
        <item x="80"/>
        <item x="159"/>
        <item x="297"/>
        <item x="196"/>
        <item x="237"/>
        <item x="118"/>
        <item x="49"/>
        <item x="161"/>
        <item x="286"/>
        <item x="238"/>
        <item x="171"/>
        <item x="194"/>
        <item x="151"/>
        <item x="294"/>
        <item x="346"/>
        <item x="307"/>
        <item x="52"/>
        <item x="189"/>
        <item x="190"/>
        <item x="130"/>
        <item x="312"/>
        <item x="8"/>
        <item x="325"/>
        <item x="70"/>
        <item x="95"/>
        <item x="117"/>
        <item x="250"/>
        <item x="113"/>
        <item x="277"/>
        <item x="320"/>
        <item x="301"/>
        <item x="33"/>
        <item x="349"/>
        <item x="154"/>
        <item x="183"/>
        <item x="157"/>
        <item x="321"/>
        <item x="93"/>
        <item x="29"/>
        <item x="271"/>
        <item x="32"/>
        <item x="105"/>
        <item x="257"/>
        <item x="293"/>
        <item x="210"/>
        <item x="291"/>
        <item x="38"/>
        <item x="195"/>
        <item x="313"/>
        <item x="153"/>
        <item x="28"/>
        <item x="348"/>
        <item x="334"/>
        <item x="160"/>
        <item x="295"/>
        <item x="212"/>
        <item x="62"/>
        <item x="290"/>
        <item x="296"/>
        <item x="98"/>
        <item x="311"/>
        <item x="17"/>
        <item x="216"/>
        <item x="12"/>
        <item x="5"/>
        <item x="111"/>
        <item x="134"/>
        <item x="350"/>
        <item x="263"/>
        <item x="215"/>
        <item x="180"/>
        <item x="104"/>
        <item x="27"/>
        <item x="242"/>
        <item x="92"/>
        <item x="132"/>
        <item x="34"/>
        <item x="266"/>
        <item x="222"/>
        <item x="236"/>
        <item x="217"/>
        <item x="234"/>
        <item x="341"/>
        <item x="144"/>
        <item x="77"/>
        <item x="114"/>
        <item x="327"/>
        <item x="198"/>
        <item x="26"/>
        <item x="239"/>
        <item x="208"/>
        <item x="103"/>
        <item x="352"/>
        <item x="170"/>
        <item x="177"/>
        <item x="244"/>
        <item x="19"/>
        <item x="252"/>
        <item x="21"/>
        <item x="322"/>
        <item x="71"/>
        <item x="331"/>
        <item x="66"/>
        <item x="41"/>
        <item x="330"/>
        <item x="116"/>
        <item x="86"/>
        <item x="206"/>
        <item x="84"/>
        <item x="147"/>
        <item x="226"/>
        <item x="213"/>
        <item x="343"/>
        <item x="139"/>
        <item x="305"/>
        <item x="101"/>
        <item x="219"/>
        <item x="345"/>
        <item x="158"/>
        <item x="6"/>
        <item x="224"/>
        <item x="265"/>
        <item x="13"/>
        <item x="143"/>
        <item x="260"/>
        <item x="292"/>
        <item x="99"/>
        <item x="1"/>
        <item x="166"/>
        <item x="288"/>
        <item x="61"/>
        <item x="140"/>
        <item x="76"/>
        <item x="220"/>
        <item x="168"/>
        <item x="74"/>
        <item x="22"/>
        <item x="81"/>
        <item x="229"/>
        <item x="221"/>
        <item x="299"/>
        <item x="124"/>
        <item x="96"/>
        <item x="108"/>
        <item x="18"/>
        <item x="121"/>
        <item x="165"/>
        <item x="164"/>
        <item x="58"/>
        <item x="268"/>
        <item x="122"/>
        <item x="123"/>
        <item x="78"/>
        <item x="230"/>
        <item x="188"/>
        <item x="150"/>
        <item x="137"/>
        <item x="340"/>
        <item x="272"/>
        <item x="232"/>
        <item x="233"/>
        <item x="251"/>
        <item x="136"/>
        <item x="107"/>
        <item x="115"/>
        <item x="141"/>
        <item x="138"/>
        <item x="173"/>
        <item x="243"/>
        <item x="240"/>
        <item x="351"/>
        <item x="73"/>
        <item x="174"/>
        <item x="310"/>
        <item x="172"/>
        <item x="258"/>
        <item x="246"/>
        <item x="231"/>
        <item x="47"/>
        <item x="10"/>
        <item x="59"/>
        <item x="197"/>
        <item x="75"/>
        <item x="120"/>
        <item x="185"/>
        <item x="91"/>
        <item x="225"/>
        <item x="255"/>
        <item x="227"/>
        <item x="54"/>
        <item x="110"/>
        <item x="333"/>
        <item t="default"/>
      </items>
    </pivotField>
    <pivotField axis="axisPage" multipleItemSelectionAllowed="1" showAll="0">
      <items count="51">
        <item x="39"/>
        <item x="14"/>
        <item x="45"/>
        <item x="31"/>
        <item x="40"/>
        <item x="22"/>
        <item x="8"/>
        <item x="27"/>
        <item x="42"/>
        <item x="47"/>
        <item x="34"/>
        <item x="17"/>
        <item x="32"/>
        <item x="48"/>
        <item x="35"/>
        <item x="10"/>
        <item x="28"/>
        <item x="43"/>
        <item x="2"/>
        <item x="1"/>
        <item x="26"/>
        <item x="5"/>
        <item x="46"/>
        <item x="12"/>
        <item x="7"/>
        <item x="3"/>
        <item x="13"/>
        <item x="24"/>
        <item x="16"/>
        <item x="44"/>
        <item x="23"/>
        <item x="6"/>
        <item x="9"/>
        <item x="25"/>
        <item x="4"/>
        <item x="41"/>
        <item x="20"/>
        <item x="21"/>
        <item x="11"/>
        <item x="29"/>
        <item x="30"/>
        <item x="33"/>
        <item x="19"/>
        <item x="36"/>
        <item x="49"/>
        <item x="18"/>
        <item x="15"/>
        <item x="37"/>
        <item x="38"/>
        <item h="1" x="0"/>
        <item t="default"/>
      </items>
    </pivotField>
    <pivotField axis="axisRow" showAll="0">
      <items count="4">
        <item x="0"/>
        <item x="2"/>
        <item x="1"/>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s>
  <rowFields count="1">
    <field x="4"/>
  </rowFields>
  <rowItems count="4">
    <i>
      <x/>
    </i>
    <i>
      <x v="1"/>
    </i>
    <i>
      <x v="2"/>
    </i>
    <i t="grand">
      <x/>
    </i>
  </rowItems>
  <colItems count="1">
    <i/>
  </colItems>
  <pageFields count="1">
    <pageField fld="3" hier="-1"/>
  </pageField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C82256-97ED-4AFB-BAC7-24F09D6827AA}" name="PivotTable1" cacheId="3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rowPageCount="1" colPageCount="1"/>
  <pivotFields count="23">
    <pivotField dataField="1" showAll="0"/>
    <pivotField axis="axisRow" showAll="0">
      <items count="6">
        <item x="1"/>
        <item x="4"/>
        <item x="3"/>
        <item x="0"/>
        <item x="2"/>
        <item t="default"/>
      </items>
    </pivotField>
    <pivotField numFmtId="14" showAll="0">
      <items count="354">
        <item x="315"/>
        <item x="347"/>
        <item x="280"/>
        <item x="25"/>
        <item x="128"/>
        <item x="83"/>
        <item x="324"/>
        <item x="328"/>
        <item x="90"/>
        <item x="142"/>
        <item x="67"/>
        <item x="102"/>
        <item x="337"/>
        <item x="201"/>
        <item x="2"/>
        <item x="68"/>
        <item x="338"/>
        <item x="249"/>
        <item x="267"/>
        <item x="344"/>
        <item x="50"/>
        <item x="228"/>
        <item x="192"/>
        <item x="264"/>
        <item x="57"/>
        <item x="60"/>
        <item x="148"/>
        <item x="152"/>
        <item x="273"/>
        <item x="167"/>
        <item x="308"/>
        <item x="269"/>
        <item x="283"/>
        <item x="15"/>
        <item x="11"/>
        <item x="191"/>
        <item x="248"/>
        <item x="126"/>
        <item x="36"/>
        <item x="97"/>
        <item x="169"/>
        <item x="281"/>
        <item x="106"/>
        <item x="14"/>
        <item x="4"/>
        <item x="56"/>
        <item x="335"/>
        <item x="146"/>
        <item x="129"/>
        <item x="31"/>
        <item x="314"/>
        <item x="163"/>
        <item x="235"/>
        <item x="223"/>
        <item x="187"/>
        <item x="45"/>
        <item x="319"/>
        <item x="16"/>
        <item x="300"/>
        <item x="37"/>
        <item x="205"/>
        <item x="203"/>
        <item x="209"/>
        <item x="199"/>
        <item x="207"/>
        <item x="156"/>
        <item x="40"/>
        <item x="218"/>
        <item x="285"/>
        <item x="303"/>
        <item x="176"/>
        <item x="30"/>
        <item x="214"/>
        <item x="119"/>
        <item x="46"/>
        <item x="100"/>
        <item x="200"/>
        <item x="48"/>
        <item x="3"/>
        <item x="178"/>
        <item x="55"/>
        <item x="53"/>
        <item x="69"/>
        <item x="88"/>
        <item x="302"/>
        <item x="253"/>
        <item x="259"/>
        <item x="270"/>
        <item x="162"/>
        <item x="336"/>
        <item x="131"/>
        <item x="245"/>
        <item x="323"/>
        <item x="262"/>
        <item x="289"/>
        <item x="43"/>
        <item x="261"/>
        <item x="82"/>
        <item x="317"/>
        <item x="145"/>
        <item x="256"/>
        <item x="306"/>
        <item x="304"/>
        <item x="85"/>
        <item x="51"/>
        <item x="24"/>
        <item x="133"/>
        <item x="278"/>
        <item x="318"/>
        <item x="65"/>
        <item x="7"/>
        <item x="342"/>
        <item x="179"/>
        <item x="20"/>
        <item x="254"/>
        <item x="287"/>
        <item x="9"/>
        <item x="72"/>
        <item x="94"/>
        <item x="127"/>
        <item x="284"/>
        <item x="125"/>
        <item x="155"/>
        <item x="186"/>
        <item x="202"/>
        <item x="44"/>
        <item x="42"/>
        <item x="39"/>
        <item x="279"/>
        <item x="79"/>
        <item x="274"/>
        <item x="326"/>
        <item x="112"/>
        <item x="316"/>
        <item x="0"/>
        <item x="63"/>
        <item x="149"/>
        <item x="339"/>
        <item x="181"/>
        <item x="89"/>
        <item x="182"/>
        <item x="64"/>
        <item x="109"/>
        <item x="204"/>
        <item x="282"/>
        <item x="309"/>
        <item x="193"/>
        <item x="276"/>
        <item x="211"/>
        <item x="135"/>
        <item x="87"/>
        <item x="332"/>
        <item x="247"/>
        <item x="175"/>
        <item x="241"/>
        <item x="23"/>
        <item x="298"/>
        <item x="35"/>
        <item x="275"/>
        <item x="184"/>
        <item x="329"/>
        <item x="80"/>
        <item x="159"/>
        <item x="297"/>
        <item x="196"/>
        <item x="237"/>
        <item x="118"/>
        <item x="49"/>
        <item x="161"/>
        <item x="286"/>
        <item x="238"/>
        <item x="171"/>
        <item x="194"/>
        <item x="151"/>
        <item x="294"/>
        <item x="346"/>
        <item x="307"/>
        <item x="52"/>
        <item x="189"/>
        <item x="190"/>
        <item x="130"/>
        <item x="312"/>
        <item x="8"/>
        <item x="325"/>
        <item x="70"/>
        <item x="95"/>
        <item x="117"/>
        <item x="250"/>
        <item x="113"/>
        <item x="277"/>
        <item x="320"/>
        <item x="301"/>
        <item x="33"/>
        <item x="349"/>
        <item x="154"/>
        <item x="183"/>
        <item x="157"/>
        <item x="321"/>
        <item x="93"/>
        <item x="29"/>
        <item x="271"/>
        <item x="32"/>
        <item x="105"/>
        <item x="257"/>
        <item x="293"/>
        <item x="210"/>
        <item x="291"/>
        <item x="38"/>
        <item x="195"/>
        <item x="313"/>
        <item x="153"/>
        <item x="28"/>
        <item x="348"/>
        <item x="334"/>
        <item x="160"/>
        <item x="295"/>
        <item x="212"/>
        <item x="62"/>
        <item x="290"/>
        <item x="296"/>
        <item x="98"/>
        <item x="311"/>
        <item x="17"/>
        <item x="216"/>
        <item x="12"/>
        <item x="5"/>
        <item x="111"/>
        <item x="134"/>
        <item x="350"/>
        <item x="263"/>
        <item x="215"/>
        <item x="180"/>
        <item x="104"/>
        <item x="27"/>
        <item x="242"/>
        <item x="92"/>
        <item x="132"/>
        <item x="34"/>
        <item x="266"/>
        <item x="222"/>
        <item x="236"/>
        <item x="217"/>
        <item x="234"/>
        <item x="341"/>
        <item x="144"/>
        <item x="77"/>
        <item x="114"/>
        <item x="327"/>
        <item x="198"/>
        <item x="26"/>
        <item x="239"/>
        <item x="208"/>
        <item x="103"/>
        <item x="352"/>
        <item x="170"/>
        <item x="177"/>
        <item x="244"/>
        <item x="19"/>
        <item x="252"/>
        <item x="21"/>
        <item x="322"/>
        <item x="71"/>
        <item x="331"/>
        <item x="66"/>
        <item x="41"/>
        <item x="330"/>
        <item x="116"/>
        <item x="86"/>
        <item x="206"/>
        <item x="84"/>
        <item x="147"/>
        <item x="226"/>
        <item x="213"/>
        <item x="343"/>
        <item x="139"/>
        <item x="305"/>
        <item x="101"/>
        <item x="219"/>
        <item x="345"/>
        <item x="158"/>
        <item x="6"/>
        <item x="224"/>
        <item x="265"/>
        <item x="13"/>
        <item x="143"/>
        <item x="260"/>
        <item x="292"/>
        <item x="99"/>
        <item x="1"/>
        <item x="166"/>
        <item x="288"/>
        <item x="61"/>
        <item x="140"/>
        <item x="76"/>
        <item x="220"/>
        <item x="168"/>
        <item x="74"/>
        <item x="22"/>
        <item x="81"/>
        <item x="229"/>
        <item x="221"/>
        <item x="299"/>
        <item x="124"/>
        <item x="96"/>
        <item x="108"/>
        <item x="18"/>
        <item x="121"/>
        <item x="165"/>
        <item x="164"/>
        <item x="58"/>
        <item x="268"/>
        <item x="122"/>
        <item x="123"/>
        <item x="78"/>
        <item x="230"/>
        <item x="188"/>
        <item x="150"/>
        <item x="137"/>
        <item x="340"/>
        <item x="272"/>
        <item x="232"/>
        <item x="233"/>
        <item x="251"/>
        <item x="136"/>
        <item x="107"/>
        <item x="115"/>
        <item x="141"/>
        <item x="138"/>
        <item x="173"/>
        <item x="243"/>
        <item x="240"/>
        <item x="351"/>
        <item x="73"/>
        <item x="174"/>
        <item x="310"/>
        <item x="172"/>
        <item x="258"/>
        <item x="246"/>
        <item x="231"/>
        <item x="47"/>
        <item x="10"/>
        <item x="59"/>
        <item x="197"/>
        <item x="75"/>
        <item x="120"/>
        <item x="185"/>
        <item x="91"/>
        <item x="225"/>
        <item x="255"/>
        <item x="227"/>
        <item x="54"/>
        <item x="110"/>
        <item x="333"/>
        <item t="default"/>
      </items>
    </pivotField>
    <pivotField showAll="0"/>
    <pivotField showAll="0"/>
    <pivotField numFmtId="164" showAll="0"/>
    <pivotField showAll="0"/>
    <pivotField showAll="0"/>
    <pivotField axis="axisPage"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
  </rowFields>
  <rowItems count="6">
    <i>
      <x/>
    </i>
    <i>
      <x v="1"/>
    </i>
    <i>
      <x v="2"/>
    </i>
    <i>
      <x v="3"/>
    </i>
    <i>
      <x v="4"/>
    </i>
    <i t="grand">
      <x/>
    </i>
  </rowItems>
  <colItems count="1">
    <i/>
  </colItems>
  <pageFields count="1">
    <pageField fld="8" hier="-1"/>
  </pageField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E01985-AFEB-454D-BD39-DDF50205C314}" name="PivotTable1" cacheId="3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C8" firstHeaderRow="1" firstDataRow="2" firstDataCol="1"/>
  <pivotFields count="23">
    <pivotField dataField="1" showAll="0"/>
    <pivotField showAll="0"/>
    <pivotField numFmtId="14" showAll="0">
      <items count="354">
        <item x="315"/>
        <item x="347"/>
        <item x="280"/>
        <item x="25"/>
        <item x="128"/>
        <item x="83"/>
        <item x="324"/>
        <item x="328"/>
        <item x="90"/>
        <item x="142"/>
        <item x="67"/>
        <item x="102"/>
        <item x="337"/>
        <item x="201"/>
        <item x="2"/>
        <item x="68"/>
        <item x="338"/>
        <item x="249"/>
        <item x="267"/>
        <item x="344"/>
        <item x="50"/>
        <item x="228"/>
        <item x="192"/>
        <item x="264"/>
        <item x="57"/>
        <item x="60"/>
        <item x="148"/>
        <item x="152"/>
        <item x="273"/>
        <item x="167"/>
        <item x="308"/>
        <item x="269"/>
        <item x="283"/>
        <item x="15"/>
        <item x="11"/>
        <item x="191"/>
        <item x="248"/>
        <item x="126"/>
        <item x="36"/>
        <item x="97"/>
        <item x="169"/>
        <item x="281"/>
        <item x="106"/>
        <item x="14"/>
        <item x="4"/>
        <item x="56"/>
        <item x="335"/>
        <item x="146"/>
        <item x="129"/>
        <item x="31"/>
        <item x="314"/>
        <item x="163"/>
        <item x="235"/>
        <item x="223"/>
        <item x="187"/>
        <item x="45"/>
        <item x="319"/>
        <item x="16"/>
        <item x="300"/>
        <item x="37"/>
        <item x="205"/>
        <item x="203"/>
        <item x="209"/>
        <item x="199"/>
        <item x="207"/>
        <item x="156"/>
        <item x="40"/>
        <item x="218"/>
        <item x="285"/>
        <item x="303"/>
        <item x="176"/>
        <item x="30"/>
        <item x="214"/>
        <item x="119"/>
        <item x="46"/>
        <item x="100"/>
        <item x="200"/>
        <item x="48"/>
        <item x="3"/>
        <item x="178"/>
        <item x="55"/>
        <item x="53"/>
        <item x="69"/>
        <item x="88"/>
        <item x="302"/>
        <item x="253"/>
        <item x="259"/>
        <item x="270"/>
        <item x="162"/>
        <item x="336"/>
        <item x="131"/>
        <item x="245"/>
        <item x="323"/>
        <item x="262"/>
        <item x="289"/>
        <item x="43"/>
        <item x="261"/>
        <item x="82"/>
        <item x="317"/>
        <item x="145"/>
        <item x="256"/>
        <item x="306"/>
        <item x="304"/>
        <item x="85"/>
        <item x="51"/>
        <item x="24"/>
        <item x="133"/>
        <item x="278"/>
        <item x="318"/>
        <item x="65"/>
        <item x="7"/>
        <item x="342"/>
        <item x="179"/>
        <item x="20"/>
        <item x="254"/>
        <item x="287"/>
        <item x="9"/>
        <item x="72"/>
        <item x="94"/>
        <item x="127"/>
        <item x="284"/>
        <item x="125"/>
        <item x="155"/>
        <item x="186"/>
        <item x="202"/>
        <item x="44"/>
        <item x="42"/>
        <item x="39"/>
        <item x="279"/>
        <item x="79"/>
        <item x="274"/>
        <item x="326"/>
        <item x="112"/>
        <item x="316"/>
        <item x="0"/>
        <item x="63"/>
        <item x="149"/>
        <item x="339"/>
        <item x="181"/>
        <item x="89"/>
        <item x="182"/>
        <item x="64"/>
        <item x="109"/>
        <item x="204"/>
        <item x="282"/>
        <item x="309"/>
        <item x="193"/>
        <item x="276"/>
        <item x="211"/>
        <item x="135"/>
        <item x="87"/>
        <item x="332"/>
        <item x="247"/>
        <item x="175"/>
        <item x="241"/>
        <item x="23"/>
        <item x="298"/>
        <item x="35"/>
        <item x="275"/>
        <item x="184"/>
        <item x="329"/>
        <item x="80"/>
        <item x="159"/>
        <item x="297"/>
        <item x="196"/>
        <item x="237"/>
        <item x="118"/>
        <item x="49"/>
        <item x="161"/>
        <item x="286"/>
        <item x="238"/>
        <item x="171"/>
        <item x="194"/>
        <item x="151"/>
        <item x="294"/>
        <item x="346"/>
        <item x="307"/>
        <item x="52"/>
        <item x="189"/>
        <item x="190"/>
        <item x="130"/>
        <item x="312"/>
        <item x="8"/>
        <item x="325"/>
        <item x="70"/>
        <item x="95"/>
        <item x="117"/>
        <item x="250"/>
        <item x="113"/>
        <item x="277"/>
        <item x="320"/>
        <item x="301"/>
        <item x="33"/>
        <item x="349"/>
        <item x="154"/>
        <item x="183"/>
        <item x="157"/>
        <item x="321"/>
        <item x="93"/>
        <item x="29"/>
        <item x="271"/>
        <item x="32"/>
        <item x="105"/>
        <item x="257"/>
        <item x="293"/>
        <item x="210"/>
        <item x="291"/>
        <item x="38"/>
        <item x="195"/>
        <item x="313"/>
        <item x="153"/>
        <item x="28"/>
        <item x="348"/>
        <item x="334"/>
        <item x="160"/>
        <item x="295"/>
        <item x="212"/>
        <item x="62"/>
        <item x="290"/>
        <item x="296"/>
        <item x="98"/>
        <item x="311"/>
        <item x="17"/>
        <item x="216"/>
        <item x="12"/>
        <item x="5"/>
        <item x="111"/>
        <item x="134"/>
        <item x="350"/>
        <item x="263"/>
        <item x="215"/>
        <item x="180"/>
        <item x="104"/>
        <item x="27"/>
        <item x="242"/>
        <item x="92"/>
        <item x="132"/>
        <item x="34"/>
        <item x="266"/>
        <item x="222"/>
        <item x="236"/>
        <item x="217"/>
        <item x="234"/>
        <item x="341"/>
        <item x="144"/>
        <item x="77"/>
        <item x="114"/>
        <item x="327"/>
        <item x="198"/>
        <item x="26"/>
        <item x="239"/>
        <item x="208"/>
        <item x="103"/>
        <item x="352"/>
        <item x="170"/>
        <item x="177"/>
        <item x="244"/>
        <item x="19"/>
        <item x="252"/>
        <item x="21"/>
        <item x="322"/>
        <item x="71"/>
        <item x="331"/>
        <item x="66"/>
        <item x="41"/>
        <item x="330"/>
        <item x="116"/>
        <item x="86"/>
        <item x="206"/>
        <item x="84"/>
        <item x="147"/>
        <item x="226"/>
        <item x="213"/>
        <item x="343"/>
        <item x="139"/>
        <item x="305"/>
        <item x="101"/>
        <item x="219"/>
        <item x="345"/>
        <item x="158"/>
        <item x="6"/>
        <item x="224"/>
        <item x="265"/>
        <item x="13"/>
        <item x="143"/>
        <item x="260"/>
        <item x="292"/>
        <item x="99"/>
        <item x="1"/>
        <item x="166"/>
        <item x="288"/>
        <item x="61"/>
        <item x="140"/>
        <item x="76"/>
        <item x="220"/>
        <item x="168"/>
        <item x="74"/>
        <item x="22"/>
        <item x="81"/>
        <item x="229"/>
        <item x="221"/>
        <item x="299"/>
        <item x="124"/>
        <item x="96"/>
        <item x="108"/>
        <item x="18"/>
        <item x="121"/>
        <item x="165"/>
        <item x="164"/>
        <item x="58"/>
        <item x="268"/>
        <item x="122"/>
        <item x="123"/>
        <item x="78"/>
        <item x="230"/>
        <item x="188"/>
        <item x="150"/>
        <item x="137"/>
        <item x="340"/>
        <item x="272"/>
        <item x="232"/>
        <item x="233"/>
        <item x="251"/>
        <item x="136"/>
        <item x="107"/>
        <item x="115"/>
        <item x="141"/>
        <item x="138"/>
        <item x="173"/>
        <item x="243"/>
        <item x="240"/>
        <item x="351"/>
        <item x="73"/>
        <item x="174"/>
        <item x="310"/>
        <item x="172"/>
        <item x="258"/>
        <item x="246"/>
        <item x="231"/>
        <item x="47"/>
        <item x="10"/>
        <item x="59"/>
        <item x="197"/>
        <item x="75"/>
        <item x="120"/>
        <item x="185"/>
        <item x="91"/>
        <item x="225"/>
        <item x="255"/>
        <item x="227"/>
        <item x="54"/>
        <item x="110"/>
        <item x="333"/>
        <item t="default"/>
      </items>
    </pivotField>
    <pivotField showAll="0"/>
    <pivotField axis="axisRow" showAll="0">
      <items count="4">
        <item x="0"/>
        <item x="2"/>
        <item x="1"/>
        <item t="default"/>
      </items>
    </pivotField>
    <pivotField numFmtId="164" showAll="0"/>
    <pivotField showAll="0"/>
    <pivotField showAll="0"/>
    <pivotField axis="axisCol" showAll="0">
      <items count="4">
        <item h="1" x="0"/>
        <item h="1" x="1"/>
        <item x="2"/>
        <item t="default"/>
      </items>
    </pivotField>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4"/>
  </rowFields>
  <rowItems count="4">
    <i>
      <x/>
    </i>
    <i>
      <x v="1"/>
    </i>
    <i>
      <x v="2"/>
    </i>
    <i t="grand">
      <x/>
    </i>
  </rowItems>
  <colFields count="1">
    <field x="8"/>
  </colFields>
  <colItems count="2">
    <i>
      <x v="2"/>
    </i>
    <i t="grand">
      <x/>
    </i>
  </colItems>
  <dataFields count="1">
    <dataField name="Count of Customer_ID" fld="0" subtotal="count" baseField="4" baseItem="0"/>
  </dataFields>
  <chartFormats count="18">
    <chartFormat chart="10" format="0" series="1">
      <pivotArea type="data" outline="0" fieldPosition="0">
        <references count="2">
          <reference field="4294967294" count="1" selected="0">
            <x v="0"/>
          </reference>
          <reference field="8" count="1" selected="0">
            <x v="2"/>
          </reference>
        </references>
      </pivotArea>
    </chartFormat>
    <chartFormat chart="10" format="1">
      <pivotArea type="data" outline="0" fieldPosition="0">
        <references count="3">
          <reference field="4294967294" count="1" selected="0">
            <x v="0"/>
          </reference>
          <reference field="4" count="1" selected="0">
            <x v="2"/>
          </reference>
          <reference field="8" count="1" selected="0">
            <x v="2"/>
          </reference>
        </references>
      </pivotArea>
    </chartFormat>
    <chartFormat chart="10" format="2">
      <pivotArea type="data" outline="0" fieldPosition="0">
        <references count="3">
          <reference field="4294967294" count="1" selected="0">
            <x v="0"/>
          </reference>
          <reference field="4" count="1" selected="0">
            <x v="1"/>
          </reference>
          <reference field="8" count="1" selected="0">
            <x v="2"/>
          </reference>
        </references>
      </pivotArea>
    </chartFormat>
    <chartFormat chart="10" format="3">
      <pivotArea type="data" outline="0" fieldPosition="0">
        <references count="3">
          <reference field="4294967294" count="1" selected="0">
            <x v="0"/>
          </reference>
          <reference field="4" count="1" selected="0">
            <x v="0"/>
          </reference>
          <reference field="8" count="1" selected="0">
            <x v="2"/>
          </reference>
        </references>
      </pivotArea>
    </chartFormat>
    <chartFormat chart="16" format="4" series="1">
      <pivotArea type="data" outline="0" fieldPosition="0">
        <references count="2">
          <reference field="4294967294" count="1" selected="0">
            <x v="0"/>
          </reference>
          <reference field="8" count="1" selected="0">
            <x v="2"/>
          </reference>
        </references>
      </pivotArea>
    </chartFormat>
    <chartFormat chart="16" format="5">
      <pivotArea type="data" outline="0" fieldPosition="0">
        <references count="3">
          <reference field="4294967294" count="1" selected="0">
            <x v="0"/>
          </reference>
          <reference field="4" count="1" selected="0">
            <x v="0"/>
          </reference>
          <reference field="8" count="1" selected="0">
            <x v="2"/>
          </reference>
        </references>
      </pivotArea>
    </chartFormat>
    <chartFormat chart="16" format="6">
      <pivotArea type="data" outline="0" fieldPosition="0">
        <references count="3">
          <reference field="4294967294" count="1" selected="0">
            <x v="0"/>
          </reference>
          <reference field="4" count="1" selected="0">
            <x v="1"/>
          </reference>
          <reference field="8" count="1" selected="0">
            <x v="2"/>
          </reference>
        </references>
      </pivotArea>
    </chartFormat>
    <chartFormat chart="16" format="7">
      <pivotArea type="data" outline="0" fieldPosition="0">
        <references count="3">
          <reference field="4294967294" count="1" selected="0">
            <x v="0"/>
          </reference>
          <reference field="4" count="1" selected="0">
            <x v="2"/>
          </reference>
          <reference field="8" count="1" selected="0">
            <x v="2"/>
          </reference>
        </references>
      </pivotArea>
    </chartFormat>
    <chartFormat chart="17" format="8" series="1">
      <pivotArea type="data" outline="0" fieldPosition="0">
        <references count="2">
          <reference field="4294967294" count="1" selected="0">
            <x v="0"/>
          </reference>
          <reference field="8" count="1" selected="0">
            <x v="2"/>
          </reference>
        </references>
      </pivotArea>
    </chartFormat>
    <chartFormat chart="17" format="9">
      <pivotArea type="data" outline="0" fieldPosition="0">
        <references count="3">
          <reference field="4294967294" count="1" selected="0">
            <x v="0"/>
          </reference>
          <reference field="4" count="1" selected="0">
            <x v="0"/>
          </reference>
          <reference field="8" count="1" selected="0">
            <x v="2"/>
          </reference>
        </references>
      </pivotArea>
    </chartFormat>
    <chartFormat chart="17" format="10">
      <pivotArea type="data" outline="0" fieldPosition="0">
        <references count="3">
          <reference field="4294967294" count="1" selected="0">
            <x v="0"/>
          </reference>
          <reference field="4" count="1" selected="0">
            <x v="1"/>
          </reference>
          <reference field="8" count="1" selected="0">
            <x v="2"/>
          </reference>
        </references>
      </pivotArea>
    </chartFormat>
    <chartFormat chart="17" format="11">
      <pivotArea type="data" outline="0" fieldPosition="0">
        <references count="3">
          <reference field="4294967294" count="1" selected="0">
            <x v="0"/>
          </reference>
          <reference field="4" count="1" selected="0">
            <x v="2"/>
          </reference>
          <reference field="8" count="1" selected="0">
            <x v="2"/>
          </reference>
        </references>
      </pivotArea>
    </chartFormat>
    <chartFormat chart="20" format="8" series="1">
      <pivotArea type="data" outline="0" fieldPosition="0">
        <references count="2">
          <reference field="4294967294" count="1" selected="0">
            <x v="0"/>
          </reference>
          <reference field="8" count="1" selected="0">
            <x v="2"/>
          </reference>
        </references>
      </pivotArea>
    </chartFormat>
    <chartFormat chart="20" format="9">
      <pivotArea type="data" outline="0" fieldPosition="0">
        <references count="3">
          <reference field="4294967294" count="1" selected="0">
            <x v="0"/>
          </reference>
          <reference field="4" count="1" selected="0">
            <x v="0"/>
          </reference>
          <reference field="8" count="1" selected="0">
            <x v="2"/>
          </reference>
        </references>
      </pivotArea>
    </chartFormat>
    <chartFormat chart="20" format="10">
      <pivotArea type="data" outline="0" fieldPosition="0">
        <references count="3">
          <reference field="4294967294" count="1" selected="0">
            <x v="0"/>
          </reference>
          <reference field="4" count="1" selected="0">
            <x v="1"/>
          </reference>
          <reference field="8" count="1" selected="0">
            <x v="2"/>
          </reference>
        </references>
      </pivotArea>
    </chartFormat>
    <chartFormat chart="20" format="11">
      <pivotArea type="data" outline="0" fieldPosition="0">
        <references count="3">
          <reference field="4294967294" count="1" selected="0">
            <x v="0"/>
          </reference>
          <reference field="4" count="1" selected="0">
            <x v="2"/>
          </reference>
          <reference field="8" count="1" selected="0">
            <x v="2"/>
          </reference>
        </references>
      </pivotArea>
    </chartFormat>
    <chartFormat chart="20" format="1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DC003E-8118-4709-B004-D339A6DCB0FB}" name="PivotTable18" cacheId="3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E8" firstHeaderRow="1" firstDataRow="2" firstDataCol="1"/>
  <pivotFields count="23">
    <pivotField dataField="1" showAll="0"/>
    <pivotField showAll="0"/>
    <pivotField numFmtId="14" showAll="0">
      <items count="354">
        <item x="315"/>
        <item x="347"/>
        <item x="280"/>
        <item x="25"/>
        <item x="128"/>
        <item x="83"/>
        <item x="324"/>
        <item x="328"/>
        <item x="90"/>
        <item x="142"/>
        <item x="67"/>
        <item x="102"/>
        <item x="337"/>
        <item x="201"/>
        <item x="2"/>
        <item x="68"/>
        <item x="338"/>
        <item x="249"/>
        <item x="267"/>
        <item x="344"/>
        <item x="50"/>
        <item x="228"/>
        <item x="192"/>
        <item x="264"/>
        <item x="57"/>
        <item x="60"/>
        <item x="148"/>
        <item x="152"/>
        <item x="273"/>
        <item x="167"/>
        <item x="308"/>
        <item x="269"/>
        <item x="283"/>
        <item x="15"/>
        <item x="11"/>
        <item x="191"/>
        <item x="248"/>
        <item x="126"/>
        <item x="36"/>
        <item x="97"/>
        <item x="169"/>
        <item x="281"/>
        <item x="106"/>
        <item x="14"/>
        <item x="4"/>
        <item x="56"/>
        <item x="335"/>
        <item x="146"/>
        <item x="129"/>
        <item x="31"/>
        <item x="314"/>
        <item x="163"/>
        <item x="235"/>
        <item x="223"/>
        <item x="187"/>
        <item x="45"/>
        <item x="319"/>
        <item x="16"/>
        <item x="300"/>
        <item x="37"/>
        <item x="205"/>
        <item x="203"/>
        <item x="209"/>
        <item x="199"/>
        <item x="207"/>
        <item x="156"/>
        <item x="40"/>
        <item x="218"/>
        <item x="285"/>
        <item x="303"/>
        <item x="176"/>
        <item x="30"/>
        <item x="214"/>
        <item x="119"/>
        <item x="46"/>
        <item x="100"/>
        <item x="200"/>
        <item x="48"/>
        <item x="3"/>
        <item x="178"/>
        <item x="55"/>
        <item x="53"/>
        <item x="69"/>
        <item x="88"/>
        <item x="302"/>
        <item x="253"/>
        <item x="259"/>
        <item x="270"/>
        <item x="162"/>
        <item x="336"/>
        <item x="131"/>
        <item x="245"/>
        <item x="323"/>
        <item x="262"/>
        <item x="289"/>
        <item x="43"/>
        <item x="261"/>
        <item x="82"/>
        <item x="317"/>
        <item x="145"/>
        <item x="256"/>
        <item x="306"/>
        <item x="304"/>
        <item x="85"/>
        <item x="51"/>
        <item x="24"/>
        <item x="133"/>
        <item x="278"/>
        <item x="318"/>
        <item x="65"/>
        <item x="7"/>
        <item x="342"/>
        <item x="179"/>
        <item x="20"/>
        <item x="254"/>
        <item x="287"/>
        <item x="9"/>
        <item x="72"/>
        <item x="94"/>
        <item x="127"/>
        <item x="284"/>
        <item x="125"/>
        <item x="155"/>
        <item x="186"/>
        <item x="202"/>
        <item x="44"/>
        <item x="42"/>
        <item x="39"/>
        <item x="279"/>
        <item x="79"/>
        <item x="274"/>
        <item x="326"/>
        <item x="112"/>
        <item x="316"/>
        <item x="0"/>
        <item x="63"/>
        <item x="149"/>
        <item x="339"/>
        <item x="181"/>
        <item x="89"/>
        <item x="182"/>
        <item x="64"/>
        <item x="109"/>
        <item x="204"/>
        <item x="282"/>
        <item x="309"/>
        <item x="193"/>
        <item x="276"/>
        <item x="211"/>
        <item x="135"/>
        <item x="87"/>
        <item x="332"/>
        <item x="247"/>
        <item x="175"/>
        <item x="241"/>
        <item x="23"/>
        <item x="298"/>
        <item x="35"/>
        <item x="275"/>
        <item x="184"/>
        <item x="329"/>
        <item x="80"/>
        <item x="159"/>
        <item x="297"/>
        <item x="196"/>
        <item x="237"/>
        <item x="118"/>
        <item x="49"/>
        <item x="161"/>
        <item x="286"/>
        <item x="238"/>
        <item x="171"/>
        <item x="194"/>
        <item x="151"/>
        <item x="294"/>
        <item x="346"/>
        <item x="307"/>
        <item x="52"/>
        <item x="189"/>
        <item x="190"/>
        <item x="130"/>
        <item x="312"/>
        <item x="8"/>
        <item x="325"/>
        <item x="70"/>
        <item x="95"/>
        <item x="117"/>
        <item x="250"/>
        <item x="113"/>
        <item x="277"/>
        <item x="320"/>
        <item x="301"/>
        <item x="33"/>
        <item x="349"/>
        <item x="154"/>
        <item x="183"/>
        <item x="157"/>
        <item x="321"/>
        <item x="93"/>
        <item x="29"/>
        <item x="271"/>
        <item x="32"/>
        <item x="105"/>
        <item x="257"/>
        <item x="293"/>
        <item x="210"/>
        <item x="291"/>
        <item x="38"/>
        <item x="195"/>
        <item x="313"/>
        <item x="153"/>
        <item x="28"/>
        <item x="348"/>
        <item x="334"/>
        <item x="160"/>
        <item x="295"/>
        <item x="212"/>
        <item x="62"/>
        <item x="290"/>
        <item x="296"/>
        <item x="98"/>
        <item x="311"/>
        <item x="17"/>
        <item x="216"/>
        <item x="12"/>
        <item x="5"/>
        <item x="111"/>
        <item x="134"/>
        <item x="350"/>
        <item x="263"/>
        <item x="215"/>
        <item x="180"/>
        <item x="104"/>
        <item x="27"/>
        <item x="242"/>
        <item x="92"/>
        <item x="132"/>
        <item x="34"/>
        <item x="266"/>
        <item x="222"/>
        <item x="236"/>
        <item x="217"/>
        <item x="234"/>
        <item x="341"/>
        <item x="144"/>
        <item x="77"/>
        <item x="114"/>
        <item x="327"/>
        <item x="198"/>
        <item x="26"/>
        <item x="239"/>
        <item x="208"/>
        <item x="103"/>
        <item x="352"/>
        <item x="170"/>
        <item x="177"/>
        <item x="244"/>
        <item x="19"/>
        <item x="252"/>
        <item x="21"/>
        <item x="322"/>
        <item x="71"/>
        <item x="331"/>
        <item x="66"/>
        <item x="41"/>
        <item x="330"/>
        <item x="116"/>
        <item x="86"/>
        <item x="206"/>
        <item x="84"/>
        <item x="147"/>
        <item x="226"/>
        <item x="213"/>
        <item x="343"/>
        <item x="139"/>
        <item x="305"/>
        <item x="101"/>
        <item x="219"/>
        <item x="345"/>
        <item x="158"/>
        <item x="6"/>
        <item x="224"/>
        <item x="265"/>
        <item x="13"/>
        <item x="143"/>
        <item x="260"/>
        <item x="292"/>
        <item x="99"/>
        <item x="1"/>
        <item x="166"/>
        <item x="288"/>
        <item x="61"/>
        <item x="140"/>
        <item x="76"/>
        <item x="220"/>
        <item x="168"/>
        <item x="74"/>
        <item x="22"/>
        <item x="81"/>
        <item x="229"/>
        <item x="221"/>
        <item x="299"/>
        <item x="124"/>
        <item x="96"/>
        <item x="108"/>
        <item x="18"/>
        <item x="121"/>
        <item x="165"/>
        <item x="164"/>
        <item x="58"/>
        <item x="268"/>
        <item x="122"/>
        <item x="123"/>
        <item x="78"/>
        <item x="230"/>
        <item x="188"/>
        <item x="150"/>
        <item x="137"/>
        <item x="340"/>
        <item x="272"/>
        <item x="232"/>
        <item x="233"/>
        <item x="251"/>
        <item x="136"/>
        <item x="107"/>
        <item x="115"/>
        <item x="141"/>
        <item x="138"/>
        <item x="173"/>
        <item x="243"/>
        <item x="240"/>
        <item x="351"/>
        <item x="73"/>
        <item x="174"/>
        <item x="310"/>
        <item x="172"/>
        <item x="258"/>
        <item x="246"/>
        <item x="231"/>
        <item x="47"/>
        <item x="10"/>
        <item x="59"/>
        <item x="197"/>
        <item x="75"/>
        <item x="120"/>
        <item x="185"/>
        <item x="91"/>
        <item x="225"/>
        <item x="255"/>
        <item x="227"/>
        <item x="54"/>
        <item x="110"/>
        <item x="333"/>
        <item t="default"/>
      </items>
    </pivotField>
    <pivotField showAll="0"/>
    <pivotField axis="axisRow" showAll="0">
      <items count="4">
        <item x="0"/>
        <item x="2"/>
        <item x="1"/>
        <item t="default"/>
      </items>
    </pivotField>
    <pivotField numFmtId="164"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s>
  <rowFields count="1">
    <field x="4"/>
  </rowFields>
  <rowItems count="4">
    <i>
      <x/>
    </i>
    <i>
      <x v="1"/>
    </i>
    <i>
      <x v="2"/>
    </i>
    <i t="grand">
      <x/>
    </i>
  </rowItems>
  <colFields count="1">
    <field x="14"/>
  </colFields>
  <colItems count="4">
    <i>
      <x/>
    </i>
    <i>
      <x v="1"/>
    </i>
    <i>
      <x v="2"/>
    </i>
    <i t="grand">
      <x/>
    </i>
  </colItems>
  <dataFields count="1">
    <dataField name="Count of Customer_ID" fld="0" subtotal="count" baseField="0" baseItem="0"/>
  </dataFields>
  <chartFormats count="8">
    <chartFormat chart="4" format="0" series="1">
      <pivotArea type="data" outline="0" fieldPosition="0">
        <references count="2">
          <reference field="4294967294" count="1" selected="0">
            <x v="0"/>
          </reference>
          <reference field="14" count="1" selected="0">
            <x v="0"/>
          </reference>
        </references>
      </pivotArea>
    </chartFormat>
    <chartFormat chart="4" format="1" series="1">
      <pivotArea type="data" outline="0" fieldPosition="0">
        <references count="2">
          <reference field="4294967294" count="1" selected="0">
            <x v="0"/>
          </reference>
          <reference field="14" count="1" selected="0">
            <x v="1"/>
          </reference>
        </references>
      </pivotArea>
    </chartFormat>
    <chartFormat chart="4" format="2" series="1">
      <pivotArea type="data" outline="0" fieldPosition="0">
        <references count="2">
          <reference field="4294967294" count="1" selected="0">
            <x v="0"/>
          </reference>
          <reference field="14" count="1" selected="0">
            <x v="2"/>
          </reference>
        </references>
      </pivotArea>
    </chartFormat>
    <chartFormat chart="19" format="6" series="1">
      <pivotArea type="data" outline="0" fieldPosition="0">
        <references count="2">
          <reference field="4294967294" count="1" selected="0">
            <x v="0"/>
          </reference>
          <reference field="14" count="1" selected="0">
            <x v="0"/>
          </reference>
        </references>
      </pivotArea>
    </chartFormat>
    <chartFormat chart="19" format="7" series="1">
      <pivotArea type="data" outline="0" fieldPosition="0">
        <references count="2">
          <reference field="4294967294" count="1" selected="0">
            <x v="0"/>
          </reference>
          <reference field="14" count="1" selected="0">
            <x v="1"/>
          </reference>
        </references>
      </pivotArea>
    </chartFormat>
    <chartFormat chart="19" format="8" series="1">
      <pivotArea type="data" outline="0" fieldPosition="0">
        <references count="2">
          <reference field="4294967294" count="1" selected="0">
            <x v="0"/>
          </reference>
          <reference field="14" count="1" selected="0">
            <x v="2"/>
          </reference>
        </references>
      </pivotArea>
    </chartFormat>
    <chartFormat chart="19" format="9"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AB3F89-9D23-4D5F-8FCF-B27099CE0033}" name="PivotTable19" cacheId="3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17" firstHeaderRow="1" firstDataRow="2" firstDataCol="1"/>
  <pivotFields count="23">
    <pivotField dataField="1" showAll="0"/>
    <pivotField showAll="0"/>
    <pivotField numFmtId="14" showAll="0">
      <items count="354">
        <item x="315"/>
        <item x="347"/>
        <item x="280"/>
        <item x="25"/>
        <item x="128"/>
        <item x="83"/>
        <item x="324"/>
        <item x="328"/>
        <item x="90"/>
        <item x="142"/>
        <item x="67"/>
        <item x="102"/>
        <item x="337"/>
        <item x="201"/>
        <item x="2"/>
        <item x="68"/>
        <item x="338"/>
        <item x="249"/>
        <item x="267"/>
        <item x="344"/>
        <item x="50"/>
        <item x="228"/>
        <item x="192"/>
        <item x="264"/>
        <item x="57"/>
        <item x="60"/>
        <item x="148"/>
        <item x="152"/>
        <item x="273"/>
        <item x="167"/>
        <item x="308"/>
        <item x="269"/>
        <item x="283"/>
        <item x="15"/>
        <item x="11"/>
        <item x="191"/>
        <item x="248"/>
        <item x="126"/>
        <item x="36"/>
        <item x="97"/>
        <item x="169"/>
        <item x="281"/>
        <item x="106"/>
        <item x="14"/>
        <item x="4"/>
        <item x="56"/>
        <item x="335"/>
        <item x="146"/>
        <item x="129"/>
        <item x="31"/>
        <item x="314"/>
        <item x="163"/>
        <item x="235"/>
        <item x="223"/>
        <item x="187"/>
        <item x="45"/>
        <item x="319"/>
        <item x="16"/>
        <item x="300"/>
        <item x="37"/>
        <item x="205"/>
        <item x="203"/>
        <item x="209"/>
        <item x="199"/>
        <item x="207"/>
        <item x="156"/>
        <item x="40"/>
        <item x="218"/>
        <item x="285"/>
        <item x="303"/>
        <item x="176"/>
        <item x="30"/>
        <item x="214"/>
        <item x="119"/>
        <item x="46"/>
        <item x="100"/>
        <item x="200"/>
        <item x="48"/>
        <item x="3"/>
        <item x="178"/>
        <item x="55"/>
        <item x="53"/>
        <item x="69"/>
        <item x="88"/>
        <item x="302"/>
        <item x="253"/>
        <item x="259"/>
        <item x="270"/>
        <item x="162"/>
        <item x="336"/>
        <item x="131"/>
        <item x="245"/>
        <item x="323"/>
        <item x="262"/>
        <item x="289"/>
        <item x="43"/>
        <item x="261"/>
        <item x="82"/>
        <item x="317"/>
        <item x="145"/>
        <item x="256"/>
        <item x="306"/>
        <item x="304"/>
        <item x="85"/>
        <item x="51"/>
        <item x="24"/>
        <item x="133"/>
        <item x="278"/>
        <item x="318"/>
        <item x="65"/>
        <item x="7"/>
        <item x="342"/>
        <item x="179"/>
        <item x="20"/>
        <item x="254"/>
        <item x="287"/>
        <item x="9"/>
        <item x="72"/>
        <item x="94"/>
        <item x="127"/>
        <item x="284"/>
        <item x="125"/>
        <item x="155"/>
        <item x="186"/>
        <item x="202"/>
        <item x="44"/>
        <item x="42"/>
        <item x="39"/>
        <item x="279"/>
        <item x="79"/>
        <item x="274"/>
        <item x="326"/>
        <item x="112"/>
        <item x="316"/>
        <item x="0"/>
        <item x="63"/>
        <item x="149"/>
        <item x="339"/>
        <item x="181"/>
        <item x="89"/>
        <item x="182"/>
        <item x="64"/>
        <item x="109"/>
        <item x="204"/>
        <item x="282"/>
        <item x="309"/>
        <item x="193"/>
        <item x="276"/>
        <item x="211"/>
        <item x="135"/>
        <item x="87"/>
        <item x="332"/>
        <item x="247"/>
        <item x="175"/>
        <item x="241"/>
        <item x="23"/>
        <item x="298"/>
        <item x="35"/>
        <item x="275"/>
        <item x="184"/>
        <item x="329"/>
        <item x="80"/>
        <item x="159"/>
        <item x="297"/>
        <item x="196"/>
        <item x="237"/>
        <item x="118"/>
        <item x="49"/>
        <item x="161"/>
        <item x="286"/>
        <item x="238"/>
        <item x="171"/>
        <item x="194"/>
        <item x="151"/>
        <item x="294"/>
        <item x="346"/>
        <item x="307"/>
        <item x="52"/>
        <item x="189"/>
        <item x="190"/>
        <item x="130"/>
        <item x="312"/>
        <item x="8"/>
        <item x="325"/>
        <item x="70"/>
        <item x="95"/>
        <item x="117"/>
        <item x="250"/>
        <item x="113"/>
        <item x="277"/>
        <item x="320"/>
        <item x="301"/>
        <item x="33"/>
        <item x="349"/>
        <item x="154"/>
        <item x="183"/>
        <item x="157"/>
        <item x="321"/>
        <item x="93"/>
        <item x="29"/>
        <item x="271"/>
        <item x="32"/>
        <item x="105"/>
        <item x="257"/>
        <item x="293"/>
        <item x="210"/>
        <item x="291"/>
        <item x="38"/>
        <item x="195"/>
        <item x="313"/>
        <item x="153"/>
        <item x="28"/>
        <item x="348"/>
        <item x="334"/>
        <item x="160"/>
        <item x="295"/>
        <item x="212"/>
        <item x="62"/>
        <item x="290"/>
        <item x="296"/>
        <item x="98"/>
        <item x="311"/>
        <item x="17"/>
        <item x="216"/>
        <item x="12"/>
        <item x="5"/>
        <item x="111"/>
        <item x="134"/>
        <item x="350"/>
        <item x="263"/>
        <item x="215"/>
        <item x="180"/>
        <item x="104"/>
        <item x="27"/>
        <item x="242"/>
        <item x="92"/>
        <item x="132"/>
        <item x="34"/>
        <item x="266"/>
        <item x="222"/>
        <item x="236"/>
        <item x="217"/>
        <item x="234"/>
        <item x="341"/>
        <item x="144"/>
        <item x="77"/>
        <item x="114"/>
        <item x="327"/>
        <item x="198"/>
        <item x="26"/>
        <item x="239"/>
        <item x="208"/>
        <item x="103"/>
        <item x="352"/>
        <item x="170"/>
        <item x="177"/>
        <item x="244"/>
        <item x="19"/>
        <item x="252"/>
        <item x="21"/>
        <item x="322"/>
        <item x="71"/>
        <item x="331"/>
        <item x="66"/>
        <item x="41"/>
        <item x="330"/>
        <item x="116"/>
        <item x="86"/>
        <item x="206"/>
        <item x="84"/>
        <item x="147"/>
        <item x="226"/>
        <item x="213"/>
        <item x="343"/>
        <item x="139"/>
        <item x="305"/>
        <item x="101"/>
        <item x="219"/>
        <item x="345"/>
        <item x="158"/>
        <item x="6"/>
        <item x="224"/>
        <item x="265"/>
        <item x="13"/>
        <item x="143"/>
        <item x="260"/>
        <item x="292"/>
        <item x="99"/>
        <item x="1"/>
        <item x="166"/>
        <item x="288"/>
        <item x="61"/>
        <item x="140"/>
        <item x="76"/>
        <item x="220"/>
        <item x="168"/>
        <item x="74"/>
        <item x="22"/>
        <item x="81"/>
        <item x="229"/>
        <item x="221"/>
        <item x="299"/>
        <item x="124"/>
        <item x="96"/>
        <item x="108"/>
        <item x="18"/>
        <item x="121"/>
        <item x="165"/>
        <item x="164"/>
        <item x="58"/>
        <item x="268"/>
        <item x="122"/>
        <item x="123"/>
        <item x="78"/>
        <item x="230"/>
        <item x="188"/>
        <item x="150"/>
        <item x="137"/>
        <item x="340"/>
        <item x="272"/>
        <item x="232"/>
        <item x="233"/>
        <item x="251"/>
        <item x="136"/>
        <item x="107"/>
        <item x="115"/>
        <item x="141"/>
        <item x="138"/>
        <item x="173"/>
        <item x="243"/>
        <item x="240"/>
        <item x="351"/>
        <item x="73"/>
        <item x="174"/>
        <item x="310"/>
        <item x="172"/>
        <item x="258"/>
        <item x="246"/>
        <item x="231"/>
        <item x="47"/>
        <item x="10"/>
        <item x="59"/>
        <item x="197"/>
        <item x="75"/>
        <item x="120"/>
        <item x="185"/>
        <item x="91"/>
        <item x="225"/>
        <item x="255"/>
        <item x="227"/>
        <item x="54"/>
        <item x="110"/>
        <item x="333"/>
        <item t="default"/>
      </items>
    </pivotField>
    <pivotField showAll="0"/>
    <pivotField showAll="0"/>
    <pivotField numFmtId="164" showAll="0"/>
    <pivotField showAll="0"/>
    <pivotField showAll="0"/>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s>
  <rowFields count="1">
    <field x="19"/>
  </rowFields>
  <rowItems count="13">
    <i>
      <x v="1"/>
    </i>
    <i>
      <x v="2"/>
    </i>
    <i>
      <x v="3"/>
    </i>
    <i>
      <x v="4"/>
    </i>
    <i>
      <x v="5"/>
    </i>
    <i>
      <x v="6"/>
    </i>
    <i>
      <x v="7"/>
    </i>
    <i>
      <x v="8"/>
    </i>
    <i>
      <x v="9"/>
    </i>
    <i>
      <x v="10"/>
    </i>
    <i>
      <x v="11"/>
    </i>
    <i>
      <x v="12"/>
    </i>
    <i t="grand">
      <x/>
    </i>
  </rowItems>
  <colFields count="1">
    <field x="8"/>
  </colFields>
  <colItems count="3">
    <i>
      <x/>
    </i>
    <i>
      <x v="1"/>
    </i>
    <i t="grand">
      <x/>
    </i>
  </colItems>
  <dataFields count="1">
    <dataField name="Count of Customer_ID" fld="0" subtotal="count" baseField="0" baseItem="0"/>
  </dataFields>
  <chartFormats count="17">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pivotArea type="data" outline="0" fieldPosition="0">
        <references count="3">
          <reference field="4294967294" count="1" selected="0">
            <x v="0"/>
          </reference>
          <reference field="8" count="1" selected="0">
            <x v="0"/>
          </reference>
          <reference field="19" count="1" selected="0">
            <x v="3"/>
          </reference>
        </references>
      </pivotArea>
    </chartFormat>
    <chartFormat chart="0" format="4" series="1">
      <pivotArea type="data" outline="0" fieldPosition="0">
        <references count="1">
          <reference field="4294967294" count="1" selected="0">
            <x v="0"/>
          </reference>
        </references>
      </pivotArea>
    </chartFormat>
    <chartFormat chart="0" format="5">
      <pivotArea type="data" outline="0" fieldPosition="0">
        <references count="3">
          <reference field="4294967294" count="1" selected="0">
            <x v="0"/>
          </reference>
          <reference field="8" count="1" selected="0">
            <x v="0"/>
          </reference>
          <reference field="19" count="1" selected="0">
            <x v="8"/>
          </reference>
        </references>
      </pivotArea>
    </chartFormat>
    <chartFormat chart="0" format="5">
      <pivotArea type="data" outline="0" fieldPosition="0">
        <references count="3">
          <reference field="4294967294" count="1" selected="0">
            <x v="0"/>
          </reference>
          <reference field="8" count="1" selected="0">
            <x v="0"/>
          </reference>
          <reference field="19" count="1" selected="0">
            <x v="7"/>
          </reference>
        </references>
      </pivotArea>
    </chartFormat>
    <chartFormat chart="0" format="6">
      <pivotArea type="data" outline="0" fieldPosition="0">
        <references count="3">
          <reference field="4294967294" count="1" selected="0">
            <x v="0"/>
          </reference>
          <reference field="8" count="1" selected="0">
            <x v="1"/>
          </reference>
          <reference field="19" count="1" selected="0">
            <x v="6"/>
          </reference>
        </references>
      </pivotArea>
    </chartFormat>
    <chartFormat chart="0" format="7">
      <pivotArea type="data" outline="0" fieldPosition="0">
        <references count="3">
          <reference field="4294967294" count="1" selected="0">
            <x v="0"/>
          </reference>
          <reference field="8" count="1" selected="0">
            <x v="1"/>
          </reference>
          <reference field="19" count="1" selected="0">
            <x v="10"/>
          </reference>
        </references>
      </pivotArea>
    </chartFormat>
    <chartFormat chart="0" format="8">
      <pivotArea type="data" outline="0" fieldPosition="0">
        <references count="3">
          <reference field="4294967294" count="1" selected="0">
            <x v="0"/>
          </reference>
          <reference field="8" count="1" selected="0">
            <x v="1"/>
          </reference>
          <reference field="19" count="1" selected="0">
            <x v="4"/>
          </reference>
        </references>
      </pivotArea>
    </chartFormat>
    <chartFormat chart="8" format="16" series="1">
      <pivotArea type="data" outline="0" fieldPosition="0">
        <references count="2">
          <reference field="4294967294" count="1" selected="0">
            <x v="0"/>
          </reference>
          <reference field="8" count="1" selected="0">
            <x v="0"/>
          </reference>
        </references>
      </pivotArea>
    </chartFormat>
    <chartFormat chart="8" format="17">
      <pivotArea type="data" outline="0" fieldPosition="0">
        <references count="3">
          <reference field="4294967294" count="1" selected="0">
            <x v="0"/>
          </reference>
          <reference field="8" count="1" selected="0">
            <x v="0"/>
          </reference>
          <reference field="19" count="1" selected="0">
            <x v="3"/>
          </reference>
        </references>
      </pivotArea>
    </chartFormat>
    <chartFormat chart="8" format="18">
      <pivotArea type="data" outline="0" fieldPosition="0">
        <references count="3">
          <reference field="4294967294" count="1" selected="0">
            <x v="0"/>
          </reference>
          <reference field="8" count="1" selected="0">
            <x v="0"/>
          </reference>
          <reference field="19" count="1" selected="0">
            <x v="7"/>
          </reference>
        </references>
      </pivotArea>
    </chartFormat>
    <chartFormat chart="8" format="19" series="1">
      <pivotArea type="data" outline="0" fieldPosition="0">
        <references count="2">
          <reference field="4294967294" count="1" selected="0">
            <x v="0"/>
          </reference>
          <reference field="8" count="1" selected="0">
            <x v="1"/>
          </reference>
        </references>
      </pivotArea>
    </chartFormat>
    <chartFormat chart="8" format="20">
      <pivotArea type="data" outline="0" fieldPosition="0">
        <references count="3">
          <reference field="4294967294" count="1" selected="0">
            <x v="0"/>
          </reference>
          <reference field="8" count="1" selected="0">
            <x v="1"/>
          </reference>
          <reference field="19" count="1" selected="0">
            <x v="4"/>
          </reference>
        </references>
      </pivotArea>
    </chartFormat>
    <chartFormat chart="8" format="21">
      <pivotArea type="data" outline="0" fieldPosition="0">
        <references count="3">
          <reference field="4294967294" count="1" selected="0">
            <x v="0"/>
          </reference>
          <reference field="8" count="1" selected="0">
            <x v="1"/>
          </reference>
          <reference field="19" count="1" selected="0">
            <x v="6"/>
          </reference>
        </references>
      </pivotArea>
    </chartFormat>
    <chartFormat chart="8" format="22">
      <pivotArea type="data" outline="0" fieldPosition="0">
        <references count="3">
          <reference field="4294967294" count="1" selected="0">
            <x v="0"/>
          </reference>
          <reference field="8" count="1" selected="0">
            <x v="1"/>
          </reference>
          <reference field="19"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E8375E-C688-437B-AF1A-95558F8494B9}" name="PivotTable74" cacheId="3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23">
    <pivotField showAll="0"/>
    <pivotField showAll="0"/>
    <pivotField numFmtId="14" showAll="0">
      <items count="354">
        <item x="315"/>
        <item x="347"/>
        <item x="280"/>
        <item x="25"/>
        <item x="128"/>
        <item x="83"/>
        <item x="324"/>
        <item x="328"/>
        <item x="90"/>
        <item x="142"/>
        <item x="67"/>
        <item x="102"/>
        <item x="337"/>
        <item x="201"/>
        <item x="2"/>
        <item x="68"/>
        <item x="338"/>
        <item x="249"/>
        <item x="267"/>
        <item x="344"/>
        <item x="50"/>
        <item x="228"/>
        <item x="192"/>
        <item x="264"/>
        <item x="57"/>
        <item x="60"/>
        <item x="148"/>
        <item x="152"/>
        <item x="273"/>
        <item x="167"/>
        <item x="308"/>
        <item x="269"/>
        <item x="283"/>
        <item x="15"/>
        <item x="11"/>
        <item x="191"/>
        <item x="248"/>
        <item x="126"/>
        <item x="36"/>
        <item x="97"/>
        <item x="169"/>
        <item x="281"/>
        <item x="106"/>
        <item x="14"/>
        <item x="4"/>
        <item x="56"/>
        <item x="335"/>
        <item x="146"/>
        <item x="129"/>
        <item x="31"/>
        <item x="314"/>
        <item x="163"/>
        <item x="235"/>
        <item x="223"/>
        <item x="187"/>
        <item x="45"/>
        <item x="319"/>
        <item x="16"/>
        <item x="300"/>
        <item x="37"/>
        <item x="205"/>
        <item x="203"/>
        <item x="209"/>
        <item x="199"/>
        <item x="207"/>
        <item x="156"/>
        <item x="40"/>
        <item x="218"/>
        <item x="285"/>
        <item x="303"/>
        <item x="176"/>
        <item x="30"/>
        <item x="214"/>
        <item x="119"/>
        <item x="46"/>
        <item x="100"/>
        <item x="200"/>
        <item x="48"/>
        <item x="3"/>
        <item x="178"/>
        <item x="55"/>
        <item x="53"/>
        <item x="69"/>
        <item x="88"/>
        <item x="302"/>
        <item x="253"/>
        <item x="259"/>
        <item x="270"/>
        <item x="162"/>
        <item x="336"/>
        <item x="131"/>
        <item x="245"/>
        <item x="323"/>
        <item x="262"/>
        <item x="289"/>
        <item x="43"/>
        <item x="261"/>
        <item x="82"/>
        <item x="317"/>
        <item x="145"/>
        <item x="256"/>
        <item x="306"/>
        <item x="304"/>
        <item x="85"/>
        <item x="51"/>
        <item x="24"/>
        <item x="133"/>
        <item x="278"/>
        <item x="318"/>
        <item x="65"/>
        <item x="7"/>
        <item x="342"/>
        <item x="179"/>
        <item x="20"/>
        <item x="254"/>
        <item x="287"/>
        <item x="9"/>
        <item x="72"/>
        <item x="94"/>
        <item x="127"/>
        <item x="284"/>
        <item x="125"/>
        <item x="155"/>
        <item x="186"/>
        <item x="202"/>
        <item x="44"/>
        <item x="42"/>
        <item x="39"/>
        <item x="279"/>
        <item x="79"/>
        <item x="274"/>
        <item x="326"/>
        <item x="112"/>
        <item x="316"/>
        <item x="0"/>
        <item x="63"/>
        <item x="149"/>
        <item x="339"/>
        <item x="181"/>
        <item x="89"/>
        <item x="182"/>
        <item x="64"/>
        <item x="109"/>
        <item x="204"/>
        <item x="282"/>
        <item x="309"/>
        <item x="193"/>
        <item x="276"/>
        <item x="211"/>
        <item x="135"/>
        <item x="87"/>
        <item x="332"/>
        <item x="247"/>
        <item x="175"/>
        <item x="241"/>
        <item x="23"/>
        <item x="298"/>
        <item x="35"/>
        <item x="275"/>
        <item x="184"/>
        <item x="329"/>
        <item x="80"/>
        <item x="159"/>
        <item x="297"/>
        <item x="196"/>
        <item x="237"/>
        <item x="118"/>
        <item x="49"/>
        <item x="161"/>
        <item x="286"/>
        <item x="238"/>
        <item x="171"/>
        <item x="194"/>
        <item x="151"/>
        <item x="294"/>
        <item x="346"/>
        <item x="307"/>
        <item x="52"/>
        <item x="189"/>
        <item x="190"/>
        <item x="130"/>
        <item x="312"/>
        <item x="8"/>
        <item x="325"/>
        <item x="70"/>
        <item x="95"/>
        <item x="117"/>
        <item x="250"/>
        <item x="113"/>
        <item x="277"/>
        <item x="320"/>
        <item x="301"/>
        <item x="33"/>
        <item x="349"/>
        <item x="154"/>
        <item x="183"/>
        <item x="157"/>
        <item x="321"/>
        <item x="93"/>
        <item x="29"/>
        <item x="271"/>
        <item x="32"/>
        <item x="105"/>
        <item x="257"/>
        <item x="293"/>
        <item x="210"/>
        <item x="291"/>
        <item x="38"/>
        <item x="195"/>
        <item x="313"/>
        <item x="153"/>
        <item x="28"/>
        <item x="348"/>
        <item x="334"/>
        <item x="160"/>
        <item x="295"/>
        <item x="212"/>
        <item x="62"/>
        <item x="290"/>
        <item x="296"/>
        <item x="98"/>
        <item x="311"/>
        <item x="17"/>
        <item x="216"/>
        <item x="12"/>
        <item x="5"/>
        <item x="111"/>
        <item x="134"/>
        <item x="350"/>
        <item x="263"/>
        <item x="215"/>
        <item x="180"/>
        <item x="104"/>
        <item x="27"/>
        <item x="242"/>
        <item x="92"/>
        <item x="132"/>
        <item x="34"/>
        <item x="266"/>
        <item x="222"/>
        <item x="236"/>
        <item x="217"/>
        <item x="234"/>
        <item x="341"/>
        <item x="144"/>
        <item x="77"/>
        <item x="114"/>
        <item x="327"/>
        <item x="198"/>
        <item x="26"/>
        <item x="239"/>
        <item x="208"/>
        <item x="103"/>
        <item x="352"/>
        <item x="170"/>
        <item x="177"/>
        <item x="244"/>
        <item x="19"/>
        <item x="252"/>
        <item x="21"/>
        <item x="322"/>
        <item x="71"/>
        <item x="331"/>
        <item x="66"/>
        <item x="41"/>
        <item x="330"/>
        <item x="116"/>
        <item x="86"/>
        <item x="206"/>
        <item x="84"/>
        <item x="147"/>
        <item x="226"/>
        <item x="213"/>
        <item x="343"/>
        <item x="139"/>
        <item x="305"/>
        <item x="101"/>
        <item x="219"/>
        <item x="345"/>
        <item x="158"/>
        <item x="6"/>
        <item x="224"/>
        <item x="265"/>
        <item x="13"/>
        <item x="143"/>
        <item x="260"/>
        <item x="292"/>
        <item x="99"/>
        <item x="1"/>
        <item x="166"/>
        <item x="288"/>
        <item x="61"/>
        <item x="140"/>
        <item x="76"/>
        <item x="220"/>
        <item x="168"/>
        <item x="74"/>
        <item x="22"/>
        <item x="81"/>
        <item x="229"/>
        <item x="221"/>
        <item x="299"/>
        <item x="124"/>
        <item x="96"/>
        <item x="108"/>
        <item x="18"/>
        <item x="121"/>
        <item x="165"/>
        <item x="164"/>
        <item x="58"/>
        <item x="268"/>
        <item x="122"/>
        <item x="123"/>
        <item x="78"/>
        <item x="230"/>
        <item x="188"/>
        <item x="150"/>
        <item x="137"/>
        <item x="340"/>
        <item x="272"/>
        <item x="232"/>
        <item x="233"/>
        <item x="251"/>
        <item x="136"/>
        <item x="107"/>
        <item x="115"/>
        <item x="141"/>
        <item x="138"/>
        <item x="173"/>
        <item x="243"/>
        <item x="240"/>
        <item x="351"/>
        <item x="73"/>
        <item x="174"/>
        <item x="310"/>
        <item x="172"/>
        <item x="258"/>
        <item x="246"/>
        <item x="231"/>
        <item x="47"/>
        <item x="10"/>
        <item x="59"/>
        <item x="197"/>
        <item x="75"/>
        <item x="120"/>
        <item x="185"/>
        <item x="91"/>
        <item x="225"/>
        <item x="255"/>
        <item x="227"/>
        <item x="54"/>
        <item x="110"/>
        <item x="333"/>
        <item t="default"/>
      </items>
    </pivotField>
    <pivotField showAll="0"/>
    <pivotField showAll="0">
      <items count="4">
        <item x="0"/>
        <item x="2"/>
        <item x="1"/>
        <item t="default"/>
      </items>
    </pivotField>
    <pivotField dataField="1" numFmtId="164"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items count="3">
        <item x="0"/>
        <item x="1"/>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s>
  <rowFields count="1">
    <field x="16"/>
  </rowFields>
  <rowItems count="3">
    <i>
      <x/>
    </i>
    <i>
      <x v="1"/>
    </i>
    <i t="grand">
      <x/>
    </i>
  </rowItems>
  <colItems count="1">
    <i/>
  </colItems>
  <dataFields count="1">
    <dataField name="Sum of Monthly_Spend" fld="5" baseField="0" baseItem="0" numFmtId="175"/>
  </dataFields>
  <formats count="1">
    <format dxfId="80">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6"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0F1449-C36B-466D-9BAD-9D137BEEBB8D}" name="PivotTable1" cacheId="3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N11" firstHeaderRow="1" firstDataRow="3" firstDataCol="1" rowPageCount="1" colPageCount="1"/>
  <pivotFields count="23">
    <pivotField dataField="1" showAll="0"/>
    <pivotField axis="axisRow" showAll="0">
      <items count="6">
        <item x="1"/>
        <item x="4"/>
        <item x="3"/>
        <item x="0"/>
        <item x="2"/>
        <item t="default"/>
      </items>
    </pivotField>
    <pivotField axis="axisCol" numFmtId="14" showAll="0">
      <items count="354">
        <item x="315"/>
        <item x="347"/>
        <item x="280"/>
        <item x="25"/>
        <item x="128"/>
        <item x="83"/>
        <item x="324"/>
        <item x="328"/>
        <item x="90"/>
        <item x="142"/>
        <item x="67"/>
        <item x="102"/>
        <item x="337"/>
        <item x="201"/>
        <item x="2"/>
        <item x="68"/>
        <item x="338"/>
        <item x="249"/>
        <item x="267"/>
        <item x="344"/>
        <item x="50"/>
        <item x="228"/>
        <item x="192"/>
        <item x="264"/>
        <item x="57"/>
        <item x="60"/>
        <item x="148"/>
        <item x="152"/>
        <item x="273"/>
        <item x="167"/>
        <item x="308"/>
        <item x="269"/>
        <item x="283"/>
        <item x="15"/>
        <item x="11"/>
        <item x="191"/>
        <item x="248"/>
        <item x="126"/>
        <item x="36"/>
        <item x="97"/>
        <item x="169"/>
        <item x="281"/>
        <item x="106"/>
        <item x="14"/>
        <item x="4"/>
        <item x="56"/>
        <item x="335"/>
        <item x="146"/>
        <item x="129"/>
        <item x="31"/>
        <item x="314"/>
        <item x="163"/>
        <item x="235"/>
        <item x="223"/>
        <item x="187"/>
        <item x="45"/>
        <item x="319"/>
        <item x="16"/>
        <item x="300"/>
        <item x="37"/>
        <item x="205"/>
        <item x="203"/>
        <item x="209"/>
        <item x="199"/>
        <item x="207"/>
        <item x="156"/>
        <item x="40"/>
        <item x="218"/>
        <item x="285"/>
        <item x="303"/>
        <item x="176"/>
        <item x="30"/>
        <item x="214"/>
        <item x="119"/>
        <item x="46"/>
        <item x="100"/>
        <item x="200"/>
        <item x="48"/>
        <item x="3"/>
        <item x="178"/>
        <item x="55"/>
        <item x="53"/>
        <item x="69"/>
        <item x="88"/>
        <item x="302"/>
        <item x="253"/>
        <item x="259"/>
        <item x="270"/>
        <item x="162"/>
        <item x="336"/>
        <item x="131"/>
        <item x="245"/>
        <item x="323"/>
        <item x="262"/>
        <item x="289"/>
        <item x="43"/>
        <item x="261"/>
        <item x="82"/>
        <item x="317"/>
        <item x="145"/>
        <item x="256"/>
        <item x="306"/>
        <item x="304"/>
        <item x="85"/>
        <item x="51"/>
        <item x="24"/>
        <item x="133"/>
        <item x="278"/>
        <item x="318"/>
        <item x="65"/>
        <item x="7"/>
        <item x="342"/>
        <item x="179"/>
        <item x="20"/>
        <item x="254"/>
        <item x="287"/>
        <item x="9"/>
        <item x="72"/>
        <item x="94"/>
        <item x="127"/>
        <item x="284"/>
        <item x="125"/>
        <item x="155"/>
        <item x="186"/>
        <item x="202"/>
        <item x="44"/>
        <item x="42"/>
        <item x="39"/>
        <item x="279"/>
        <item x="79"/>
        <item x="274"/>
        <item x="326"/>
        <item x="112"/>
        <item x="316"/>
        <item x="0"/>
        <item x="63"/>
        <item x="149"/>
        <item x="339"/>
        <item x="181"/>
        <item x="89"/>
        <item x="182"/>
        <item x="64"/>
        <item x="109"/>
        <item x="204"/>
        <item x="282"/>
        <item x="309"/>
        <item x="193"/>
        <item x="276"/>
        <item x="211"/>
        <item x="135"/>
        <item x="87"/>
        <item x="332"/>
        <item x="247"/>
        <item x="175"/>
        <item x="241"/>
        <item x="23"/>
        <item x="298"/>
        <item x="35"/>
        <item x="275"/>
        <item x="184"/>
        <item x="329"/>
        <item x="80"/>
        <item x="159"/>
        <item x="297"/>
        <item x="196"/>
        <item x="237"/>
        <item x="118"/>
        <item x="49"/>
        <item x="161"/>
        <item x="286"/>
        <item x="238"/>
        <item x="171"/>
        <item x="194"/>
        <item x="151"/>
        <item x="294"/>
        <item x="346"/>
        <item x="307"/>
        <item x="52"/>
        <item x="189"/>
        <item x="190"/>
        <item x="130"/>
        <item x="312"/>
        <item x="8"/>
        <item x="325"/>
        <item x="70"/>
        <item x="95"/>
        <item x="117"/>
        <item x="250"/>
        <item x="113"/>
        <item x="277"/>
        <item x="320"/>
        <item x="301"/>
        <item x="33"/>
        <item x="349"/>
        <item x="154"/>
        <item x="183"/>
        <item x="157"/>
        <item x="321"/>
        <item x="93"/>
        <item x="29"/>
        <item x="271"/>
        <item x="32"/>
        <item x="105"/>
        <item x="257"/>
        <item x="293"/>
        <item x="210"/>
        <item x="291"/>
        <item x="38"/>
        <item x="195"/>
        <item x="313"/>
        <item x="153"/>
        <item x="28"/>
        <item x="348"/>
        <item x="334"/>
        <item x="160"/>
        <item x="295"/>
        <item x="212"/>
        <item x="62"/>
        <item x="290"/>
        <item x="296"/>
        <item x="98"/>
        <item x="311"/>
        <item x="17"/>
        <item x="216"/>
        <item x="12"/>
        <item x="5"/>
        <item x="111"/>
        <item x="134"/>
        <item x="350"/>
        <item x="263"/>
        <item x="215"/>
        <item x="180"/>
        <item x="104"/>
        <item x="27"/>
        <item x="242"/>
        <item x="92"/>
        <item x="132"/>
        <item x="34"/>
        <item x="266"/>
        <item x="222"/>
        <item x="236"/>
        <item x="217"/>
        <item x="234"/>
        <item x="341"/>
        <item x="144"/>
        <item x="77"/>
        <item x="114"/>
        <item x="327"/>
        <item x="198"/>
        <item x="26"/>
        <item x="239"/>
        <item x="208"/>
        <item x="103"/>
        <item x="352"/>
        <item x="170"/>
        <item x="177"/>
        <item x="244"/>
        <item x="19"/>
        <item x="252"/>
        <item x="21"/>
        <item x="322"/>
        <item x="71"/>
        <item x="331"/>
        <item x="66"/>
        <item x="41"/>
        <item x="330"/>
        <item x="116"/>
        <item x="86"/>
        <item x="206"/>
        <item x="84"/>
        <item x="147"/>
        <item x="226"/>
        <item x="213"/>
        <item x="343"/>
        <item x="139"/>
        <item x="305"/>
        <item x="101"/>
        <item x="219"/>
        <item x="345"/>
        <item x="158"/>
        <item x="6"/>
        <item x="224"/>
        <item x="265"/>
        <item x="13"/>
        <item x="143"/>
        <item x="260"/>
        <item x="292"/>
        <item x="99"/>
        <item x="1"/>
        <item x="166"/>
        <item x="288"/>
        <item x="61"/>
        <item x="140"/>
        <item x="76"/>
        <item x="220"/>
        <item x="168"/>
        <item x="74"/>
        <item x="22"/>
        <item x="81"/>
        <item x="229"/>
        <item x="221"/>
        <item x="299"/>
        <item x="124"/>
        <item x="96"/>
        <item x="108"/>
        <item x="18"/>
        <item x="121"/>
        <item x="165"/>
        <item x="164"/>
        <item x="58"/>
        <item x="268"/>
        <item x="122"/>
        <item x="123"/>
        <item x="78"/>
        <item x="230"/>
        <item x="188"/>
        <item x="150"/>
        <item x="137"/>
        <item x="340"/>
        <item x="272"/>
        <item x="232"/>
        <item x="233"/>
        <item x="251"/>
        <item x="136"/>
        <item x="107"/>
        <item x="115"/>
        <item x="141"/>
        <item x="138"/>
        <item x="173"/>
        <item x="243"/>
        <item x="240"/>
        <item x="351"/>
        <item x="73"/>
        <item x="174"/>
        <item x="310"/>
        <item x="172"/>
        <item x="258"/>
        <item x="246"/>
        <item x="231"/>
        <item x="47"/>
        <item x="10"/>
        <item x="59"/>
        <item x="197"/>
        <item x="75"/>
        <item x="120"/>
        <item x="185"/>
        <item x="91"/>
        <item x="225"/>
        <item x="255"/>
        <item x="227"/>
        <item x="54"/>
        <item x="110"/>
        <item x="333"/>
        <item t="default"/>
      </items>
    </pivotField>
    <pivotField showAll="0"/>
    <pivotField showAll="0"/>
    <pivotField numFmtId="164" showAll="0"/>
    <pivotField showAll="0"/>
    <pivotField showAll="0"/>
    <pivotField axis="axisPage"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1"/>
  </rowFields>
  <rowItems count="6">
    <i>
      <x/>
    </i>
    <i>
      <x v="1"/>
    </i>
    <i>
      <x v="2"/>
    </i>
    <i>
      <x v="3"/>
    </i>
    <i>
      <x v="4"/>
    </i>
    <i t="grand">
      <x/>
    </i>
  </rowItems>
  <colFields count="2">
    <field x="19"/>
    <field x="2"/>
  </colFields>
  <colItems count="13">
    <i>
      <x v="1"/>
    </i>
    <i>
      <x v="2"/>
    </i>
    <i>
      <x v="3"/>
    </i>
    <i>
      <x v="4"/>
    </i>
    <i>
      <x v="5"/>
    </i>
    <i>
      <x v="6"/>
    </i>
    <i>
      <x v="7"/>
    </i>
    <i>
      <x v="8"/>
    </i>
    <i>
      <x v="9"/>
    </i>
    <i>
      <x v="10"/>
    </i>
    <i>
      <x v="11"/>
    </i>
    <i>
      <x v="12"/>
    </i>
    <i t="grand">
      <x/>
    </i>
  </colItems>
  <pageFields count="1">
    <pageField fld="8" hier="-1"/>
  </pageField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ubscription_Start_Date" xr10:uid="{311FC500-3415-447A-A730-7EA8A7866591}" sourceName="Months (Subscription_Start_Date)">
  <pivotTables>
    <pivotTable tabId="21" name="PivotTable18"/>
    <pivotTable tabId="7" name="PivotTable1"/>
    <pivotTable tabId="48" name="PivotTable72"/>
    <pivotTable tabId="46" name="PivotTable71"/>
    <pivotTable tabId="45" name="PivotTable70"/>
    <pivotTable tabId="37" name="PivotTable65"/>
    <pivotTable tabId="5" name="PivotTable1"/>
    <pivotTable tabId="3" name="PivotTable1"/>
    <pivotTable tabId="22" name="PivotTable19"/>
    <pivotTable tabId="53" name="PivotTable74"/>
  </pivotTables>
  <data>
    <tabular pivotCacheId="569622">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Subscription_Start_Date" xr10:uid="{C4DB45D2-2A67-4F9F-BE50-FA1CEB7E222B}" sourceName="Quarters (Subscription_Start_Date)">
  <pivotTables>
    <pivotTable tabId="21" name="PivotTable18"/>
    <pivotTable tabId="7" name="PivotTable1"/>
    <pivotTable tabId="48" name="PivotTable72"/>
    <pivotTable tabId="46" name="PivotTable71"/>
    <pivotTable tabId="45" name="PivotTable70"/>
    <pivotTable tabId="37" name="PivotTable65"/>
    <pivotTable tabId="5" name="PivotTable1"/>
    <pivotTable tabId="53" name="PivotTable74"/>
    <pivotTable tabId="3" name="PivotTable1"/>
    <pivotTable tabId="22" name="PivotTable19"/>
  </pivotTables>
  <data>
    <tabular pivotCacheId="569622">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ubscription_Start_Date)" xr10:uid="{B7EB3B24-D6D4-4C73-9819-C47812D975D9}" cache="Slicer_Months__Subscription_Start_Date" caption="Months (Subscription_Start_Date)" style="SlicerStyleLight6" rowHeight="241300"/>
  <slicer name="Quarters (Subscription_Start_Date)" xr10:uid="{601D73A5-D294-4404-8BD9-8449E6AA74E8}" cache="Slicer_Quarters__Subscription_Start_Date" caption="Quarters (Subscription_Start_Date)"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F47B27-5542-48F5-A6B4-F1D292B63567}" name="Table1" displayName="Table1" ref="A1:S501">
  <autoFilter ref="A1:S501" xr:uid="{3EF47B27-5542-48F5-A6B4-F1D292B63567}"/>
  <tableColumns count="19">
    <tableColumn id="1" xr3:uid="{FD2C9CE9-C89F-46BA-AACB-6200FB7A78F1}" name="Customer_ID" totalsRowLabel="Total"/>
    <tableColumn id="2" xr3:uid="{BCD5B77D-D160-4A8F-9856-4362B29E2DC2}" name="Product_Line"/>
    <tableColumn id="3" xr3:uid="{48984F43-7FD4-43B2-A68E-80DD20624A3A}" name="Subscription_Start_Date" dataDxfId="101"/>
    <tableColumn id="4" xr3:uid="{4168E783-170E-4A75-A572-1A0A5C9D2785}" name="Subscription_End_Date"/>
    <tableColumn id="5" xr3:uid="{F06767C2-5376-4858-9F19-45EFD32190E5}" name="Customer_Segment"/>
    <tableColumn id="6" xr3:uid="{0EFB7636-1D7B-4085-BD40-EE0D1F618161}" name="Monthly_Spend" dataDxfId="100"/>
    <tableColumn id="7" xr3:uid="{25772634-DEA0-44FC-89F9-162A5AF0C6F2}" name="Support_Tickets"/>
    <tableColumn id="8" xr3:uid="{9BE5282A-B947-4A59-A109-111FD1AAD331}" name="Login_Frequency"/>
    <tableColumn id="9" xr3:uid="{7641640E-1811-47B6-9859-49B680580A6B}" name="Status"/>
    <tableColumn id="13" xr3:uid="{A0ED912C-1BBE-4AB9-8493-0A610E0DFFEB}" name="Is_Churned" dataDxfId="99">
      <calculatedColumnFormula>IF(Table1[[#This Row],[Status]]="Churned",1,0)</calculatedColumnFormula>
    </tableColumn>
    <tableColumn id="19" xr3:uid="{2CE43AAB-D441-4723-9205-5C6E716D75F3}" name="Norm. Login" dataDxfId="98">
      <calculatedColumnFormula>(H2-MIN($H$2:$H$501))/(MAX($H$2:$H$501)-MIN($H$2:$H$501))</calculatedColumnFormula>
    </tableColumn>
    <tableColumn id="20" xr3:uid="{8EC2C868-8358-4296-95A7-87C708FD1588}" name="Norm. Support" dataDxfId="97">
      <calculatedColumnFormula>1 - ((G2-MIN($G$2:$G$501))/(MAX($G$2:$G$501)-MIN($G$2:$G$501)))</calculatedColumnFormula>
    </tableColumn>
    <tableColumn id="21" xr3:uid="{6CC9FB38-F206-4911-8D7F-62DE92EB004C}" name="Norm. Spend" dataDxfId="96">
      <calculatedColumnFormula>(F2-MIN($F$2:$F$501))/(MAX($F$2:$F$501)-MIN($F$2:$F$501))</calculatedColumnFormula>
    </tableColumn>
    <tableColumn id="22" xr3:uid="{52A50CB2-1AC6-4F11-BDDA-2506A63C0822}" name="Health Score" dataDxfId="95">
      <calculatedColumnFormula>(J2*0.3) + (K2*0.2) + (L2*0.5)</calculatedColumnFormula>
    </tableColumn>
    <tableColumn id="23" xr3:uid="{841D0FC1-1907-4F6D-9DF8-2C64425D5A24}" name="Health Status" totalsRowFunction="count" dataDxfId="94">
      <calculatedColumnFormula>IF(I2="Churned", "Churned", IF(M2&gt;=0.6, "Healthy", "At-Risk"))</calculatedColumnFormula>
    </tableColumn>
    <tableColumn id="24" xr3:uid="{7884CEB2-AD92-4BB6-9D41-199C69D44293}" name="Retention Status" dataDxfId="93">
      <calculatedColumnFormula>IF(Table1[[#This Row],[Health Status]]="Churned",0,1)</calculatedColumnFormula>
    </tableColumn>
    <tableColumn id="26" xr3:uid="{84C1D97B-8EC9-4DB7-9035-C72ADB185CD4}" name="Status2" dataDxfId="92">
      <calculatedColumnFormula>IF(Table1[[#This Row],[Subscription_End_Date]]="", "Active", "Churned")</calculatedColumnFormula>
    </tableColumn>
    <tableColumn id="27" xr3:uid="{E36D9772-405D-4AAA-A9BA-9608157603DF}" name="Customer Lifetime(Months)" dataDxfId="91">
      <calculatedColumnFormula>IF(Table1[[#This Row],[Subscription_End_Date]]="", DATEDIF(Table1[[#This Row],[Subscription_Start_Date]], TODAY(), "m"),
DATEDIF(Table1[[#This Row],[Subscription_Start_Date]], Table1[[#This Row],[Subscription_End_Date]], "m"))</calculatedColumnFormula>
    </tableColumn>
    <tableColumn id="28" xr3:uid="{E81E586A-6F81-4503-AC96-35025CAB90CF}" name="Customer LTV" dataDxfId="90">
      <calculatedColumnFormula>Table1[[#This Row],[Monthly_Spend]] * Table1[[#This Row],[Customer Lifetime(Months)]]</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93627-F3B1-489E-894E-7663635E0885}">
  <sheetPr>
    <tabColor rgb="FFFF0000"/>
  </sheetPr>
  <dimension ref="A1:S501"/>
  <sheetViews>
    <sheetView topLeftCell="Q1" workbookViewId="0">
      <selection activeCell="E17" sqref="E17"/>
    </sheetView>
  </sheetViews>
  <sheetFormatPr defaultRowHeight="14.5" x14ac:dyDescent="0.35"/>
  <cols>
    <col min="1" max="1" width="14" bestFit="1" customWidth="1"/>
    <col min="2" max="2" width="17.453125" bestFit="1" customWidth="1"/>
    <col min="3" max="3" width="23.453125" bestFit="1" customWidth="1"/>
    <col min="4" max="4" width="22.6328125" bestFit="1" customWidth="1"/>
    <col min="5" max="5" width="19.54296875" bestFit="1" customWidth="1"/>
    <col min="6" max="6" width="16.36328125" style="2" bestFit="1" customWidth="1"/>
    <col min="7" max="7" width="16.453125" bestFit="1" customWidth="1"/>
    <col min="8" max="8" width="17.1796875" bestFit="1" customWidth="1"/>
    <col min="9" max="9" width="8.1796875" bestFit="1" customWidth="1"/>
    <col min="10" max="10" width="12.6328125" bestFit="1" customWidth="1"/>
    <col min="11" max="11" width="13.1796875" bestFit="1" customWidth="1"/>
    <col min="12" max="12" width="15.54296875" bestFit="1" customWidth="1"/>
    <col min="13" max="13" width="14" bestFit="1" customWidth="1"/>
    <col min="14" max="14" width="13.54296875" bestFit="1" customWidth="1"/>
    <col min="15" max="15" width="14.08984375" bestFit="1" customWidth="1"/>
    <col min="16" max="16" width="16.81640625" bestFit="1" customWidth="1"/>
    <col min="17" max="17" width="9.1796875" bestFit="1" customWidth="1"/>
    <col min="18" max="18" width="26.26953125" bestFit="1" customWidth="1"/>
    <col min="19" max="19" width="14.54296875" style="2" bestFit="1" customWidth="1"/>
  </cols>
  <sheetData>
    <row r="1" spans="1:19" x14ac:dyDescent="0.35">
      <c r="A1" t="s">
        <v>0</v>
      </c>
      <c r="B1" t="s">
        <v>1</v>
      </c>
      <c r="C1" t="s">
        <v>2</v>
      </c>
      <c r="D1" t="s">
        <v>3</v>
      </c>
      <c r="E1" t="s">
        <v>4</v>
      </c>
      <c r="F1" s="2" t="s">
        <v>5</v>
      </c>
      <c r="G1" t="s">
        <v>6</v>
      </c>
      <c r="H1" t="s">
        <v>7</v>
      </c>
      <c r="I1" t="s">
        <v>8</v>
      </c>
      <c r="J1" t="s">
        <v>546</v>
      </c>
      <c r="K1" t="s">
        <v>547</v>
      </c>
      <c r="L1" t="s">
        <v>548</v>
      </c>
      <c r="M1" t="s">
        <v>549</v>
      </c>
      <c r="N1" t="s">
        <v>550</v>
      </c>
      <c r="O1" t="s">
        <v>551</v>
      </c>
      <c r="P1" t="s">
        <v>554</v>
      </c>
      <c r="Q1" t="s">
        <v>558</v>
      </c>
      <c r="R1" t="s">
        <v>559</v>
      </c>
      <c r="S1" s="2" t="s">
        <v>560</v>
      </c>
    </row>
    <row r="2" spans="1:19" x14ac:dyDescent="0.35">
      <c r="A2" t="s">
        <v>9</v>
      </c>
      <c r="B2" t="s">
        <v>10</v>
      </c>
      <c r="C2" s="1">
        <v>45208</v>
      </c>
      <c r="E2" t="s">
        <v>11</v>
      </c>
      <c r="F2" s="2">
        <v>5000</v>
      </c>
      <c r="G2">
        <v>43</v>
      </c>
      <c r="H2">
        <v>95</v>
      </c>
      <c r="I2" t="s">
        <v>12</v>
      </c>
      <c r="J2">
        <f>IF(Table1[[#This Row],[Status]]="Churned",1,0)</f>
        <v>0</v>
      </c>
      <c r="K2" s="13">
        <f>(H2-MIN($H$2:$H$501))/(MAX($H$2:$H$501)-MIN($H$2:$H$501))</f>
        <v>0.9494949494949495</v>
      </c>
      <c r="L2" s="13">
        <f t="shared" ref="L2:L65" si="0">1 - ((G2-MIN($G$2:$G$501))/(MAX($G$2:$G$501)-MIN($G$2:$G$501)))</f>
        <v>0.14000000000000001</v>
      </c>
      <c r="M2" s="14">
        <f t="shared" ref="M2:M65" si="1">(F2-MIN($F$2:$F$501))/(MAX($F$2:$F$501)-MIN($F$2:$F$501))</f>
        <v>0</v>
      </c>
      <c r="N2" s="14">
        <f t="shared" ref="N2:N65" si="2">(J2*0.3) + (K2*0.2) + (L2*0.5)</f>
        <v>0.25989898989898991</v>
      </c>
      <c r="O2" s="14" t="str">
        <f t="shared" ref="O2:O65" si="3">IF(I2="Churned", "Churned", IF(M2&gt;=0.6, "Healthy", "At-Risk"))</f>
        <v>At-Risk</v>
      </c>
      <c r="P2" s="5">
        <f>IF(Table1[[#This Row],[Health Status]]="Churned",0,1)</f>
        <v>1</v>
      </c>
      <c r="Q2" s="5" t="str">
        <f>IF(Table1[[#This Row],[Subscription_End_Date]]="", "Active", "Churned")</f>
        <v>Active</v>
      </c>
      <c r="R2" s="5">
        <f ca="1">IF(Table1[[#This Row],[Subscription_End_Date]]="", DATEDIF(Table1[[#This Row],[Subscription_Start_Date]], TODAY(), "m"),
DATEDIF(Table1[[#This Row],[Subscription_Start_Date]], Table1[[#This Row],[Subscription_End_Date]], "m"))</f>
        <v>24</v>
      </c>
      <c r="S2" s="2">
        <f ca="1">Table1[[#This Row],[Monthly_Spend]] * Table1[[#This Row],[Customer Lifetime(Months)]]</f>
        <v>120000</v>
      </c>
    </row>
    <row r="3" spans="1:19" x14ac:dyDescent="0.35">
      <c r="A3" t="s">
        <v>13</v>
      </c>
      <c r="B3" t="s">
        <v>14</v>
      </c>
      <c r="C3" s="1">
        <v>45531</v>
      </c>
      <c r="E3" t="s">
        <v>11</v>
      </c>
      <c r="F3" s="2">
        <v>5000</v>
      </c>
      <c r="G3">
        <v>13</v>
      </c>
      <c r="H3">
        <v>30</v>
      </c>
      <c r="I3" t="s">
        <v>12</v>
      </c>
      <c r="J3">
        <f>IF(Table1[[#This Row],[Status]]="Churned",1,0)</f>
        <v>0</v>
      </c>
      <c r="K3">
        <f t="shared" ref="K2:K65" si="4">(H3-MIN($H$2:$H$501))/(MAX($H$2:$H$501)-MIN($H$2:$H$501))</f>
        <v>0.29292929292929293</v>
      </c>
      <c r="L3">
        <f t="shared" si="0"/>
        <v>0.74</v>
      </c>
      <c r="M3" s="5">
        <f t="shared" si="1"/>
        <v>0</v>
      </c>
      <c r="N3" s="5">
        <f t="shared" si="2"/>
        <v>0.42858585858585857</v>
      </c>
      <c r="O3" s="5" t="str">
        <f t="shared" si="3"/>
        <v>At-Risk</v>
      </c>
      <c r="P3" s="5">
        <f>IF(Table1[[#This Row],[Health Status]]="Churned",0,1)</f>
        <v>1</v>
      </c>
      <c r="Q3" s="5" t="str">
        <f>IF(Table1[[#This Row],[Subscription_End_Date]]="", "Active", "Churned")</f>
        <v>Active</v>
      </c>
      <c r="R3" s="5">
        <f ca="1">IF(Table1[[#This Row],[Subscription_End_Date]]="", DATEDIF(Table1[[#This Row],[Subscription_Start_Date]], TODAY(), "m"),
DATEDIF(Table1[[#This Row],[Subscription_Start_Date]], Table1[[#This Row],[Subscription_End_Date]], "m"))</f>
        <v>14</v>
      </c>
      <c r="S3" s="2">
        <f ca="1">Table1[[#This Row],[Monthly_Spend]] * Table1[[#This Row],[Customer Lifetime(Months)]]</f>
        <v>70000</v>
      </c>
    </row>
    <row r="4" spans="1:19" x14ac:dyDescent="0.35">
      <c r="A4" t="s">
        <v>15</v>
      </c>
      <c r="B4" t="s">
        <v>14</v>
      </c>
      <c r="C4" s="1">
        <v>44954</v>
      </c>
      <c r="E4" t="s">
        <v>16</v>
      </c>
      <c r="F4" s="2">
        <v>10000</v>
      </c>
      <c r="G4">
        <v>28</v>
      </c>
      <c r="H4">
        <v>76</v>
      </c>
      <c r="I4" t="s">
        <v>17</v>
      </c>
      <c r="J4">
        <f>IF(Table1[[#This Row],[Status]]="Churned",1,0)</f>
        <v>0</v>
      </c>
      <c r="K4">
        <f t="shared" si="4"/>
        <v>0.75757575757575757</v>
      </c>
      <c r="L4">
        <f t="shared" si="0"/>
        <v>0.43999999999999995</v>
      </c>
      <c r="M4" s="5">
        <f t="shared" si="1"/>
        <v>5.2631578947368418E-2</v>
      </c>
      <c r="N4" s="5">
        <f t="shared" si="2"/>
        <v>0.37151515151515146</v>
      </c>
      <c r="O4" s="5" t="str">
        <f t="shared" si="3"/>
        <v>At-Risk</v>
      </c>
      <c r="P4" s="5">
        <f>IF(Table1[[#This Row],[Health Status]]="Churned",0,1)</f>
        <v>1</v>
      </c>
      <c r="Q4" s="5" t="str">
        <f>IF(Table1[[#This Row],[Subscription_End_Date]]="", "Active", "Churned")</f>
        <v>Active</v>
      </c>
      <c r="R4" s="5">
        <f ca="1">IF(Table1[[#This Row],[Subscription_End_Date]]="", DATEDIF(Table1[[#This Row],[Subscription_Start_Date]], TODAY(), "m"),
DATEDIF(Table1[[#This Row],[Subscription_Start_Date]], Table1[[#This Row],[Subscription_End_Date]], "m"))</f>
        <v>33</v>
      </c>
      <c r="S4" s="2">
        <f ca="1">Table1[[#This Row],[Monthly_Spend]] * Table1[[#This Row],[Customer Lifetime(Months)]]</f>
        <v>330000</v>
      </c>
    </row>
    <row r="5" spans="1:19" x14ac:dyDescent="0.35">
      <c r="A5" t="s">
        <v>18</v>
      </c>
      <c r="B5" t="s">
        <v>19</v>
      </c>
      <c r="C5" s="1">
        <v>45090</v>
      </c>
      <c r="E5" t="s">
        <v>11</v>
      </c>
      <c r="F5" s="2">
        <v>20000</v>
      </c>
      <c r="G5">
        <v>9</v>
      </c>
      <c r="H5">
        <v>28</v>
      </c>
      <c r="I5" t="s">
        <v>17</v>
      </c>
      <c r="J5">
        <f>IF(Table1[[#This Row],[Status]]="Churned",1,0)</f>
        <v>0</v>
      </c>
      <c r="K5">
        <f t="shared" si="4"/>
        <v>0.27272727272727271</v>
      </c>
      <c r="L5">
        <f t="shared" si="0"/>
        <v>0.82000000000000006</v>
      </c>
      <c r="M5" s="5">
        <f t="shared" si="1"/>
        <v>0.15789473684210525</v>
      </c>
      <c r="N5" s="5">
        <f t="shared" si="2"/>
        <v>0.46454545454545459</v>
      </c>
      <c r="O5" s="5" t="str">
        <f t="shared" si="3"/>
        <v>At-Risk</v>
      </c>
      <c r="P5" s="5">
        <f>IF(Table1[[#This Row],[Health Status]]="Churned",0,1)</f>
        <v>1</v>
      </c>
      <c r="Q5" s="5" t="str">
        <f>IF(Table1[[#This Row],[Subscription_End_Date]]="", "Active", "Churned")</f>
        <v>Active</v>
      </c>
      <c r="R5" s="5">
        <f ca="1">IF(Table1[[#This Row],[Subscription_End_Date]]="", DATEDIF(Table1[[#This Row],[Subscription_Start_Date]], TODAY(), "m"),
DATEDIF(Table1[[#This Row],[Subscription_Start_Date]], Table1[[#This Row],[Subscription_End_Date]], "m"))</f>
        <v>28</v>
      </c>
      <c r="S5" s="2">
        <f ca="1">Table1[[#This Row],[Monthly_Spend]] * Table1[[#This Row],[Customer Lifetime(Months)]]</f>
        <v>560000</v>
      </c>
    </row>
    <row r="6" spans="1:19" x14ac:dyDescent="0.35">
      <c r="A6" t="s">
        <v>20</v>
      </c>
      <c r="B6" t="s">
        <v>19</v>
      </c>
      <c r="C6" s="1">
        <v>45021</v>
      </c>
      <c r="E6" t="s">
        <v>11</v>
      </c>
      <c r="F6" s="2">
        <v>20000</v>
      </c>
      <c r="G6">
        <v>38</v>
      </c>
      <c r="H6">
        <v>34</v>
      </c>
      <c r="I6" t="s">
        <v>17</v>
      </c>
      <c r="J6">
        <f>IF(Table1[[#This Row],[Status]]="Churned",1,0)</f>
        <v>0</v>
      </c>
      <c r="K6">
        <f t="shared" si="4"/>
        <v>0.33333333333333331</v>
      </c>
      <c r="L6">
        <f t="shared" si="0"/>
        <v>0.24</v>
      </c>
      <c r="M6" s="5">
        <f t="shared" si="1"/>
        <v>0.15789473684210525</v>
      </c>
      <c r="N6" s="5">
        <f t="shared" si="2"/>
        <v>0.18666666666666665</v>
      </c>
      <c r="O6" s="5" t="str">
        <f t="shared" si="3"/>
        <v>At-Risk</v>
      </c>
      <c r="P6" s="5">
        <f>IF(Table1[[#This Row],[Health Status]]="Churned",0,1)</f>
        <v>1</v>
      </c>
      <c r="Q6" s="5" t="str">
        <f>IF(Table1[[#This Row],[Subscription_End_Date]]="", "Active", "Churned")</f>
        <v>Active</v>
      </c>
      <c r="R6" s="5">
        <f ca="1">IF(Table1[[#This Row],[Subscription_End_Date]]="", DATEDIF(Table1[[#This Row],[Subscription_Start_Date]], TODAY(), "m"),
DATEDIF(Table1[[#This Row],[Subscription_Start_Date]], Table1[[#This Row],[Subscription_End_Date]], "m"))</f>
        <v>30</v>
      </c>
      <c r="S6" s="2">
        <f ca="1">Table1[[#This Row],[Monthly_Spend]] * Table1[[#This Row],[Customer Lifetime(Months)]]</f>
        <v>600000</v>
      </c>
    </row>
    <row r="7" spans="1:19" x14ac:dyDescent="0.35">
      <c r="A7" t="s">
        <v>21</v>
      </c>
      <c r="B7" t="s">
        <v>10</v>
      </c>
      <c r="C7" s="1">
        <v>45397</v>
      </c>
      <c r="E7" t="s">
        <v>16</v>
      </c>
      <c r="F7" s="2">
        <v>5000</v>
      </c>
      <c r="G7">
        <v>35</v>
      </c>
      <c r="H7">
        <v>38</v>
      </c>
      <c r="I7" t="s">
        <v>17</v>
      </c>
      <c r="J7">
        <f>IF(Table1[[#This Row],[Status]]="Churned",1,0)</f>
        <v>0</v>
      </c>
      <c r="K7">
        <f t="shared" si="4"/>
        <v>0.37373737373737376</v>
      </c>
      <c r="L7">
        <f t="shared" si="0"/>
        <v>0.30000000000000004</v>
      </c>
      <c r="M7" s="5">
        <f t="shared" si="1"/>
        <v>0</v>
      </c>
      <c r="N7" s="5">
        <f t="shared" si="2"/>
        <v>0.22474747474747478</v>
      </c>
      <c r="O7" s="5" t="str">
        <f t="shared" si="3"/>
        <v>At-Risk</v>
      </c>
      <c r="P7" s="5">
        <f>IF(Table1[[#This Row],[Health Status]]="Churned",0,1)</f>
        <v>1</v>
      </c>
      <c r="Q7" s="5" t="str">
        <f>IF(Table1[[#This Row],[Subscription_End_Date]]="", "Active", "Churned")</f>
        <v>Active</v>
      </c>
      <c r="R7" s="5">
        <f ca="1">IF(Table1[[#This Row],[Subscription_End_Date]]="", DATEDIF(Table1[[#This Row],[Subscription_Start_Date]], TODAY(), "m"),
DATEDIF(Table1[[#This Row],[Subscription_Start_Date]], Table1[[#This Row],[Subscription_End_Date]], "m"))</f>
        <v>18</v>
      </c>
      <c r="S7" s="2">
        <f ca="1">Table1[[#This Row],[Monthly_Spend]] * Table1[[#This Row],[Customer Lifetime(Months)]]</f>
        <v>90000</v>
      </c>
    </row>
    <row r="8" spans="1:19" x14ac:dyDescent="0.35">
      <c r="A8" t="s">
        <v>22</v>
      </c>
      <c r="B8" t="s">
        <v>14</v>
      </c>
      <c r="C8" s="1">
        <v>45518</v>
      </c>
      <c r="E8" t="s">
        <v>23</v>
      </c>
      <c r="F8" s="2">
        <v>5000</v>
      </c>
      <c r="G8">
        <v>42</v>
      </c>
      <c r="H8">
        <v>30</v>
      </c>
      <c r="I8" t="s">
        <v>12</v>
      </c>
      <c r="J8">
        <f>IF(Table1[[#This Row],[Status]]="Churned",1,0)</f>
        <v>0</v>
      </c>
      <c r="K8">
        <f t="shared" si="4"/>
        <v>0.29292929292929293</v>
      </c>
      <c r="L8">
        <f t="shared" si="0"/>
        <v>0.16000000000000003</v>
      </c>
      <c r="M8" s="5">
        <f t="shared" si="1"/>
        <v>0</v>
      </c>
      <c r="N8" s="5">
        <f t="shared" si="2"/>
        <v>0.13858585858585859</v>
      </c>
      <c r="O8" s="5" t="str">
        <f t="shared" si="3"/>
        <v>At-Risk</v>
      </c>
      <c r="P8" s="5">
        <f>IF(Table1[[#This Row],[Health Status]]="Churned",0,1)</f>
        <v>1</v>
      </c>
      <c r="Q8" s="5" t="str">
        <f>IF(Table1[[#This Row],[Subscription_End_Date]]="", "Active", "Churned")</f>
        <v>Active</v>
      </c>
      <c r="R8" s="5">
        <f ca="1">IF(Table1[[#This Row],[Subscription_End_Date]]="", DATEDIF(Table1[[#This Row],[Subscription_Start_Date]], TODAY(), "m"),
DATEDIF(Table1[[#This Row],[Subscription_Start_Date]], Table1[[#This Row],[Subscription_End_Date]], "m"))</f>
        <v>14</v>
      </c>
      <c r="S8" s="2">
        <f ca="1">Table1[[#This Row],[Monthly_Spend]] * Table1[[#This Row],[Customer Lifetime(Months)]]</f>
        <v>70000</v>
      </c>
    </row>
    <row r="9" spans="1:19" x14ac:dyDescent="0.35">
      <c r="A9" t="s">
        <v>24</v>
      </c>
      <c r="B9" t="s">
        <v>19</v>
      </c>
      <c r="C9" s="1">
        <v>45165</v>
      </c>
      <c r="E9" t="s">
        <v>11</v>
      </c>
      <c r="F9" s="2">
        <v>20000</v>
      </c>
      <c r="G9">
        <v>29</v>
      </c>
      <c r="H9">
        <v>82</v>
      </c>
      <c r="I9" t="s">
        <v>17</v>
      </c>
      <c r="J9">
        <f>IF(Table1[[#This Row],[Status]]="Churned",1,0)</f>
        <v>0</v>
      </c>
      <c r="K9">
        <f t="shared" si="4"/>
        <v>0.81818181818181823</v>
      </c>
      <c r="L9">
        <f t="shared" si="0"/>
        <v>0.42000000000000004</v>
      </c>
      <c r="M9" s="5">
        <f t="shared" si="1"/>
        <v>0.15789473684210525</v>
      </c>
      <c r="N9" s="5">
        <f t="shared" si="2"/>
        <v>0.37363636363636366</v>
      </c>
      <c r="O9" s="5" t="str">
        <f t="shared" si="3"/>
        <v>At-Risk</v>
      </c>
      <c r="P9" s="5">
        <f>IF(Table1[[#This Row],[Health Status]]="Churned",0,1)</f>
        <v>1</v>
      </c>
      <c r="Q9" s="5" t="str">
        <f>IF(Table1[[#This Row],[Subscription_End_Date]]="", "Active", "Churned")</f>
        <v>Active</v>
      </c>
      <c r="R9" s="5">
        <f ca="1">IF(Table1[[#This Row],[Subscription_End_Date]]="", DATEDIF(Table1[[#This Row],[Subscription_Start_Date]], TODAY(), "m"),
DATEDIF(Table1[[#This Row],[Subscription_Start_Date]], Table1[[#This Row],[Subscription_End_Date]], "m"))</f>
        <v>26</v>
      </c>
      <c r="S9" s="2">
        <f ca="1">Table1[[#This Row],[Monthly_Spend]] * Table1[[#This Row],[Customer Lifetime(Months)]]</f>
        <v>520000</v>
      </c>
    </row>
    <row r="10" spans="1:19" x14ac:dyDescent="0.35">
      <c r="A10" t="s">
        <v>25</v>
      </c>
      <c r="B10" t="s">
        <v>19</v>
      </c>
      <c r="C10" s="1">
        <v>45306</v>
      </c>
      <c r="E10" t="s">
        <v>11</v>
      </c>
      <c r="F10" s="2">
        <v>5000</v>
      </c>
      <c r="G10">
        <v>38</v>
      </c>
      <c r="H10">
        <v>82</v>
      </c>
      <c r="I10" t="s">
        <v>17</v>
      </c>
      <c r="J10">
        <f>IF(Table1[[#This Row],[Status]]="Churned",1,0)</f>
        <v>0</v>
      </c>
      <c r="K10">
        <f t="shared" si="4"/>
        <v>0.81818181818181823</v>
      </c>
      <c r="L10">
        <f t="shared" si="0"/>
        <v>0.24</v>
      </c>
      <c r="M10" s="5">
        <f t="shared" si="1"/>
        <v>0</v>
      </c>
      <c r="N10" s="5">
        <f t="shared" si="2"/>
        <v>0.28363636363636369</v>
      </c>
      <c r="O10" s="5" t="str">
        <f t="shared" si="3"/>
        <v>At-Risk</v>
      </c>
      <c r="P10" s="5">
        <f>IF(Table1[[#This Row],[Health Status]]="Churned",0,1)</f>
        <v>1</v>
      </c>
      <c r="Q10" s="5" t="str">
        <f>IF(Table1[[#This Row],[Subscription_End_Date]]="", "Active", "Churned")</f>
        <v>Active</v>
      </c>
      <c r="R10" s="5">
        <f ca="1">IF(Table1[[#This Row],[Subscription_End_Date]]="", DATEDIF(Table1[[#This Row],[Subscription_Start_Date]], TODAY(), "m"),
DATEDIF(Table1[[#This Row],[Subscription_Start_Date]], Table1[[#This Row],[Subscription_End_Date]], "m"))</f>
        <v>21</v>
      </c>
      <c r="S10" s="2">
        <f ca="1">Table1[[#This Row],[Monthly_Spend]] * Table1[[#This Row],[Customer Lifetime(Months)]]</f>
        <v>105000</v>
      </c>
    </row>
    <row r="11" spans="1:19" x14ac:dyDescent="0.35">
      <c r="A11" t="s">
        <v>26</v>
      </c>
      <c r="B11" t="s">
        <v>27</v>
      </c>
      <c r="C11" s="1">
        <v>45177</v>
      </c>
      <c r="D11" s="1">
        <v>45595</v>
      </c>
      <c r="E11" t="s">
        <v>16</v>
      </c>
      <c r="F11" s="2">
        <v>20000</v>
      </c>
      <c r="G11">
        <v>40</v>
      </c>
      <c r="H11">
        <v>89</v>
      </c>
      <c r="I11" t="s">
        <v>28</v>
      </c>
      <c r="J11">
        <f>IF(Table1[[#This Row],[Status]]="Churned",1,0)</f>
        <v>1</v>
      </c>
      <c r="K11">
        <f t="shared" si="4"/>
        <v>0.88888888888888884</v>
      </c>
      <c r="L11">
        <f t="shared" si="0"/>
        <v>0.19999999999999996</v>
      </c>
      <c r="M11" s="5">
        <f t="shared" si="1"/>
        <v>0.15789473684210525</v>
      </c>
      <c r="N11" s="5">
        <f t="shared" si="2"/>
        <v>0.57777777777777772</v>
      </c>
      <c r="O11" s="5" t="str">
        <f t="shared" si="3"/>
        <v>Churned</v>
      </c>
      <c r="P11" s="5">
        <f>IF(Table1[[#This Row],[Health Status]]="Churned",0,1)</f>
        <v>0</v>
      </c>
      <c r="Q11" s="5" t="str">
        <f>IF(Table1[[#This Row],[Subscription_End_Date]]="", "Active", "Churned")</f>
        <v>Churned</v>
      </c>
      <c r="R11" s="5">
        <f ca="1">IF(Table1[[#This Row],[Subscription_End_Date]]="", DATEDIF(Table1[[#This Row],[Subscription_Start_Date]], TODAY(), "m"),
DATEDIF(Table1[[#This Row],[Subscription_Start_Date]], Table1[[#This Row],[Subscription_End_Date]], "m"))</f>
        <v>13</v>
      </c>
      <c r="S11" s="2">
        <f ca="1">Table1[[#This Row],[Monthly_Spend]] * Table1[[#This Row],[Customer Lifetime(Months)]]</f>
        <v>260000</v>
      </c>
    </row>
    <row r="12" spans="1:19" x14ac:dyDescent="0.35">
      <c r="A12" t="s">
        <v>29</v>
      </c>
      <c r="B12" t="s">
        <v>14</v>
      </c>
      <c r="C12" s="1">
        <v>45628</v>
      </c>
      <c r="E12" t="s">
        <v>11</v>
      </c>
      <c r="F12" s="2">
        <v>10000</v>
      </c>
      <c r="G12">
        <v>2</v>
      </c>
      <c r="H12">
        <v>41</v>
      </c>
      <c r="I12" t="s">
        <v>12</v>
      </c>
      <c r="J12">
        <f>IF(Table1[[#This Row],[Status]]="Churned",1,0)</f>
        <v>0</v>
      </c>
      <c r="K12">
        <f t="shared" si="4"/>
        <v>0.40404040404040403</v>
      </c>
      <c r="L12">
        <f t="shared" si="0"/>
        <v>0.96</v>
      </c>
      <c r="M12" s="5">
        <f t="shared" si="1"/>
        <v>5.2631578947368418E-2</v>
      </c>
      <c r="N12" s="5">
        <f t="shared" si="2"/>
        <v>0.56080808080808076</v>
      </c>
      <c r="O12" s="5" t="str">
        <f t="shared" si="3"/>
        <v>At-Risk</v>
      </c>
      <c r="P12" s="5">
        <f>IF(Table1[[#This Row],[Health Status]]="Churned",0,1)</f>
        <v>1</v>
      </c>
      <c r="Q12" s="5" t="str">
        <f>IF(Table1[[#This Row],[Subscription_End_Date]]="", "Active", "Churned")</f>
        <v>Active</v>
      </c>
      <c r="R12" s="5">
        <f ca="1">IF(Table1[[#This Row],[Subscription_End_Date]]="", DATEDIF(Table1[[#This Row],[Subscription_Start_Date]], TODAY(), "m"),
DATEDIF(Table1[[#This Row],[Subscription_Start_Date]], Table1[[#This Row],[Subscription_End_Date]], "m"))</f>
        <v>10</v>
      </c>
      <c r="S12" s="2">
        <f ca="1">Table1[[#This Row],[Monthly_Spend]] * Table1[[#This Row],[Customer Lifetime(Months)]]</f>
        <v>100000</v>
      </c>
    </row>
    <row r="13" spans="1:19" x14ac:dyDescent="0.35">
      <c r="A13" t="s">
        <v>30</v>
      </c>
      <c r="B13" t="s">
        <v>31</v>
      </c>
      <c r="C13" s="1">
        <v>44994</v>
      </c>
      <c r="E13" t="s">
        <v>23</v>
      </c>
      <c r="F13" s="2">
        <v>10000</v>
      </c>
      <c r="G13">
        <v>41</v>
      </c>
      <c r="H13">
        <v>64</v>
      </c>
      <c r="I13" t="s">
        <v>17</v>
      </c>
      <c r="J13">
        <f>IF(Table1[[#This Row],[Status]]="Churned",1,0)</f>
        <v>0</v>
      </c>
      <c r="K13">
        <f t="shared" si="4"/>
        <v>0.63636363636363635</v>
      </c>
      <c r="L13">
        <f t="shared" si="0"/>
        <v>0.18000000000000005</v>
      </c>
      <c r="M13" s="5">
        <f t="shared" si="1"/>
        <v>5.2631578947368418E-2</v>
      </c>
      <c r="N13" s="5">
        <f t="shared" si="2"/>
        <v>0.21727272727272731</v>
      </c>
      <c r="O13" s="5" t="str">
        <f t="shared" si="3"/>
        <v>At-Risk</v>
      </c>
      <c r="P13" s="5">
        <f>IF(Table1[[#This Row],[Health Status]]="Churned",0,1)</f>
        <v>1</v>
      </c>
      <c r="Q13" s="5" t="str">
        <f>IF(Table1[[#This Row],[Subscription_End_Date]]="", "Active", "Churned")</f>
        <v>Active</v>
      </c>
      <c r="R13" s="5">
        <f ca="1">IF(Table1[[#This Row],[Subscription_End_Date]]="", DATEDIF(Table1[[#This Row],[Subscription_Start_Date]], TODAY(), "m"),
DATEDIF(Table1[[#This Row],[Subscription_Start_Date]], Table1[[#This Row],[Subscription_End_Date]], "m"))</f>
        <v>31</v>
      </c>
      <c r="S13" s="2">
        <f ca="1">Table1[[#This Row],[Monthly_Spend]] * Table1[[#This Row],[Customer Lifetime(Months)]]</f>
        <v>310000</v>
      </c>
    </row>
    <row r="14" spans="1:19" x14ac:dyDescent="0.35">
      <c r="A14" t="s">
        <v>32</v>
      </c>
      <c r="B14" t="s">
        <v>31</v>
      </c>
      <c r="C14" s="1">
        <v>45396</v>
      </c>
      <c r="D14" s="1">
        <v>45568</v>
      </c>
      <c r="E14" t="s">
        <v>16</v>
      </c>
      <c r="F14" s="2">
        <v>10000</v>
      </c>
      <c r="G14">
        <v>47</v>
      </c>
      <c r="H14">
        <v>72</v>
      </c>
      <c r="I14" t="s">
        <v>28</v>
      </c>
      <c r="J14">
        <f>IF(Table1[[#This Row],[Status]]="Churned",1,0)</f>
        <v>1</v>
      </c>
      <c r="K14">
        <f t="shared" si="4"/>
        <v>0.71717171717171713</v>
      </c>
      <c r="L14">
        <f t="shared" si="0"/>
        <v>6.0000000000000053E-2</v>
      </c>
      <c r="M14" s="5">
        <f t="shared" si="1"/>
        <v>5.2631578947368418E-2</v>
      </c>
      <c r="N14" s="5">
        <f t="shared" si="2"/>
        <v>0.47343434343434343</v>
      </c>
      <c r="O14" s="5" t="str">
        <f t="shared" si="3"/>
        <v>Churned</v>
      </c>
      <c r="P14" s="5">
        <f>IF(Table1[[#This Row],[Health Status]]="Churned",0,1)</f>
        <v>0</v>
      </c>
      <c r="Q14" s="5" t="str">
        <f>IF(Table1[[#This Row],[Subscription_End_Date]]="", "Active", "Churned")</f>
        <v>Churned</v>
      </c>
      <c r="R14" s="5">
        <f ca="1">IF(Table1[[#This Row],[Subscription_End_Date]]="", DATEDIF(Table1[[#This Row],[Subscription_Start_Date]], TODAY(), "m"),
DATEDIF(Table1[[#This Row],[Subscription_Start_Date]], Table1[[#This Row],[Subscription_End_Date]], "m"))</f>
        <v>5</v>
      </c>
      <c r="S14" s="2">
        <f ca="1">Table1[[#This Row],[Monthly_Spend]] * Table1[[#This Row],[Customer Lifetime(Months)]]</f>
        <v>50000</v>
      </c>
    </row>
    <row r="15" spans="1:19" x14ac:dyDescent="0.35">
      <c r="A15" t="s">
        <v>33</v>
      </c>
      <c r="B15" t="s">
        <v>14</v>
      </c>
      <c r="C15" s="1">
        <v>45525</v>
      </c>
      <c r="E15" t="s">
        <v>23</v>
      </c>
      <c r="F15" s="2">
        <v>20000</v>
      </c>
      <c r="G15">
        <v>14</v>
      </c>
      <c r="H15">
        <v>18</v>
      </c>
      <c r="I15" t="s">
        <v>17</v>
      </c>
      <c r="J15">
        <f>IF(Table1[[#This Row],[Status]]="Churned",1,0)</f>
        <v>0</v>
      </c>
      <c r="K15">
        <f t="shared" si="4"/>
        <v>0.17171717171717171</v>
      </c>
      <c r="L15">
        <f t="shared" si="0"/>
        <v>0.72</v>
      </c>
      <c r="M15" s="5">
        <f t="shared" si="1"/>
        <v>0.15789473684210525</v>
      </c>
      <c r="N15" s="5">
        <f t="shared" si="2"/>
        <v>0.39434343434343433</v>
      </c>
      <c r="O15" s="5" t="str">
        <f t="shared" si="3"/>
        <v>At-Risk</v>
      </c>
      <c r="P15" s="5">
        <f>IF(Table1[[#This Row],[Health Status]]="Churned",0,1)</f>
        <v>1</v>
      </c>
      <c r="Q15" s="5" t="str">
        <f>IF(Table1[[#This Row],[Subscription_End_Date]]="", "Active", "Churned")</f>
        <v>Active</v>
      </c>
      <c r="R15" s="5">
        <f ca="1">IF(Table1[[#This Row],[Subscription_End_Date]]="", DATEDIF(Table1[[#This Row],[Subscription_Start_Date]], TODAY(), "m"),
DATEDIF(Table1[[#This Row],[Subscription_Start_Date]], Table1[[#This Row],[Subscription_End_Date]], "m"))</f>
        <v>14</v>
      </c>
      <c r="S15" s="2">
        <f ca="1">Table1[[#This Row],[Monthly_Spend]] * Table1[[#This Row],[Customer Lifetime(Months)]]</f>
        <v>280000</v>
      </c>
    </row>
    <row r="16" spans="1:19" x14ac:dyDescent="0.35">
      <c r="A16" t="s">
        <v>34</v>
      </c>
      <c r="B16" t="s">
        <v>14</v>
      </c>
      <c r="C16" s="1">
        <v>45020</v>
      </c>
      <c r="E16" t="s">
        <v>23</v>
      </c>
      <c r="F16" s="2">
        <v>10000</v>
      </c>
      <c r="G16">
        <v>40</v>
      </c>
      <c r="H16">
        <v>21</v>
      </c>
      <c r="I16" t="s">
        <v>12</v>
      </c>
      <c r="J16">
        <f>IF(Table1[[#This Row],[Status]]="Churned",1,0)</f>
        <v>0</v>
      </c>
      <c r="K16">
        <f t="shared" si="4"/>
        <v>0.20202020202020202</v>
      </c>
      <c r="L16">
        <f t="shared" si="0"/>
        <v>0.19999999999999996</v>
      </c>
      <c r="M16" s="5">
        <f t="shared" si="1"/>
        <v>5.2631578947368418E-2</v>
      </c>
      <c r="N16" s="5">
        <f t="shared" si="2"/>
        <v>0.14040404040404039</v>
      </c>
      <c r="O16" s="5" t="str">
        <f t="shared" si="3"/>
        <v>At-Risk</v>
      </c>
      <c r="P16" s="5">
        <f>IF(Table1[[#This Row],[Health Status]]="Churned",0,1)</f>
        <v>1</v>
      </c>
      <c r="Q16" s="5" t="str">
        <f>IF(Table1[[#This Row],[Subscription_End_Date]]="", "Active", "Churned")</f>
        <v>Active</v>
      </c>
      <c r="R16" s="5">
        <f ca="1">IF(Table1[[#This Row],[Subscription_End_Date]]="", DATEDIF(Table1[[#This Row],[Subscription_Start_Date]], TODAY(), "m"),
DATEDIF(Table1[[#This Row],[Subscription_Start_Date]], Table1[[#This Row],[Subscription_End_Date]], "m"))</f>
        <v>30</v>
      </c>
      <c r="S16" s="2">
        <f ca="1">Table1[[#This Row],[Monthly_Spend]] * Table1[[#This Row],[Customer Lifetime(Months)]]</f>
        <v>300000</v>
      </c>
    </row>
    <row r="17" spans="1:19" x14ac:dyDescent="0.35">
      <c r="A17" t="s">
        <v>35</v>
      </c>
      <c r="B17" t="s">
        <v>31</v>
      </c>
      <c r="C17" s="1">
        <v>44992</v>
      </c>
      <c r="E17" t="s">
        <v>16</v>
      </c>
      <c r="F17" s="2">
        <v>100000</v>
      </c>
      <c r="G17">
        <v>16</v>
      </c>
      <c r="H17">
        <v>71</v>
      </c>
      <c r="I17" t="s">
        <v>17</v>
      </c>
      <c r="J17">
        <f>IF(Table1[[#This Row],[Status]]="Churned",1,0)</f>
        <v>0</v>
      </c>
      <c r="K17">
        <f t="shared" si="4"/>
        <v>0.70707070707070707</v>
      </c>
      <c r="L17">
        <f t="shared" si="0"/>
        <v>0.67999999999999994</v>
      </c>
      <c r="M17" s="5">
        <f t="shared" si="1"/>
        <v>1</v>
      </c>
      <c r="N17" s="5">
        <f t="shared" si="2"/>
        <v>0.48141414141414141</v>
      </c>
      <c r="O17" s="5" t="str">
        <f t="shared" si="3"/>
        <v>Healthy</v>
      </c>
      <c r="P17" s="5">
        <f>IF(Table1[[#This Row],[Health Status]]="Churned",0,1)</f>
        <v>1</v>
      </c>
      <c r="Q17" s="5" t="str">
        <f>IF(Table1[[#This Row],[Subscription_End_Date]]="", "Active", "Churned")</f>
        <v>Active</v>
      </c>
      <c r="R17" s="5">
        <f ca="1">IF(Table1[[#This Row],[Subscription_End_Date]]="", DATEDIF(Table1[[#This Row],[Subscription_Start_Date]], TODAY(), "m"),
DATEDIF(Table1[[#This Row],[Subscription_Start_Date]], Table1[[#This Row],[Subscription_End_Date]], "m"))</f>
        <v>31</v>
      </c>
      <c r="S17" s="2">
        <f ca="1">Table1[[#This Row],[Monthly_Spend]] * Table1[[#This Row],[Customer Lifetime(Months)]]</f>
        <v>3100000</v>
      </c>
    </row>
    <row r="18" spans="1:19" x14ac:dyDescent="0.35">
      <c r="A18" t="s">
        <v>36</v>
      </c>
      <c r="B18" t="s">
        <v>10</v>
      </c>
      <c r="C18" s="1">
        <v>45044</v>
      </c>
      <c r="E18" t="s">
        <v>16</v>
      </c>
      <c r="F18" s="2">
        <v>20000</v>
      </c>
      <c r="G18">
        <v>7</v>
      </c>
      <c r="H18">
        <v>38</v>
      </c>
      <c r="I18" t="s">
        <v>17</v>
      </c>
      <c r="J18">
        <f>IF(Table1[[#This Row],[Status]]="Churned",1,0)</f>
        <v>0</v>
      </c>
      <c r="K18">
        <f t="shared" si="4"/>
        <v>0.37373737373737376</v>
      </c>
      <c r="L18">
        <f t="shared" si="0"/>
        <v>0.86</v>
      </c>
      <c r="M18" s="5">
        <f t="shared" si="1"/>
        <v>0.15789473684210525</v>
      </c>
      <c r="N18" s="5">
        <f t="shared" si="2"/>
        <v>0.50474747474747472</v>
      </c>
      <c r="O18" s="5" t="str">
        <f t="shared" si="3"/>
        <v>At-Risk</v>
      </c>
      <c r="P18" s="5">
        <f>IF(Table1[[#This Row],[Health Status]]="Churned",0,1)</f>
        <v>1</v>
      </c>
      <c r="Q18" s="5" t="str">
        <f>IF(Table1[[#This Row],[Subscription_End_Date]]="", "Active", "Churned")</f>
        <v>Active</v>
      </c>
      <c r="R18" s="5">
        <f ca="1">IF(Table1[[#This Row],[Subscription_End_Date]]="", DATEDIF(Table1[[#This Row],[Subscription_Start_Date]], TODAY(), "m"),
DATEDIF(Table1[[#This Row],[Subscription_Start_Date]], Table1[[#This Row],[Subscription_End_Date]], "m"))</f>
        <v>30</v>
      </c>
      <c r="S18" s="2">
        <f ca="1">Table1[[#This Row],[Monthly_Spend]] * Table1[[#This Row],[Customer Lifetime(Months)]]</f>
        <v>600000</v>
      </c>
    </row>
    <row r="19" spans="1:19" x14ac:dyDescent="0.35">
      <c r="A19" t="s">
        <v>37</v>
      </c>
      <c r="B19" t="s">
        <v>31</v>
      </c>
      <c r="C19" s="1">
        <v>45391</v>
      </c>
      <c r="D19" s="1">
        <v>45690</v>
      </c>
      <c r="E19" t="s">
        <v>11</v>
      </c>
      <c r="F19" s="2">
        <v>100000</v>
      </c>
      <c r="G19">
        <v>48</v>
      </c>
      <c r="H19">
        <v>23</v>
      </c>
      <c r="I19" t="s">
        <v>28</v>
      </c>
      <c r="J19">
        <f>IF(Table1[[#This Row],[Status]]="Churned",1,0)</f>
        <v>1</v>
      </c>
      <c r="K19">
        <f t="shared" si="4"/>
        <v>0.22222222222222221</v>
      </c>
      <c r="L19">
        <f t="shared" si="0"/>
        <v>4.0000000000000036E-2</v>
      </c>
      <c r="M19" s="5">
        <f t="shared" si="1"/>
        <v>1</v>
      </c>
      <c r="N19" s="5">
        <f t="shared" si="2"/>
        <v>0.36444444444444446</v>
      </c>
      <c r="O19" s="5" t="str">
        <f t="shared" si="3"/>
        <v>Churned</v>
      </c>
      <c r="P19" s="5">
        <f>IF(Table1[[#This Row],[Health Status]]="Churned",0,1)</f>
        <v>0</v>
      </c>
      <c r="Q19" s="5" t="str">
        <f>IF(Table1[[#This Row],[Subscription_End_Date]]="", "Active", "Churned")</f>
        <v>Churned</v>
      </c>
      <c r="R19" s="5">
        <f ca="1">IF(Table1[[#This Row],[Subscription_End_Date]]="", DATEDIF(Table1[[#This Row],[Subscription_Start_Date]], TODAY(), "m"),
DATEDIF(Table1[[#This Row],[Subscription_Start_Date]], Table1[[#This Row],[Subscription_End_Date]], "m"))</f>
        <v>9</v>
      </c>
      <c r="S19" s="2">
        <f ca="1">Table1[[#This Row],[Monthly_Spend]] * Table1[[#This Row],[Customer Lifetime(Months)]]</f>
        <v>900000</v>
      </c>
    </row>
    <row r="20" spans="1:19" x14ac:dyDescent="0.35">
      <c r="A20" t="s">
        <v>38</v>
      </c>
      <c r="B20" t="s">
        <v>14</v>
      </c>
      <c r="C20" s="1">
        <v>45567</v>
      </c>
      <c r="E20" t="s">
        <v>11</v>
      </c>
      <c r="F20" s="2">
        <v>10000</v>
      </c>
      <c r="G20">
        <v>23</v>
      </c>
      <c r="H20">
        <v>98</v>
      </c>
      <c r="I20" t="s">
        <v>12</v>
      </c>
      <c r="J20">
        <f>IF(Table1[[#This Row],[Status]]="Churned",1,0)</f>
        <v>0</v>
      </c>
      <c r="K20">
        <f t="shared" si="4"/>
        <v>0.97979797979797978</v>
      </c>
      <c r="L20">
        <f t="shared" si="0"/>
        <v>0.54</v>
      </c>
      <c r="M20" s="5">
        <f t="shared" si="1"/>
        <v>5.2631578947368418E-2</v>
      </c>
      <c r="N20" s="5">
        <f t="shared" si="2"/>
        <v>0.46595959595959602</v>
      </c>
      <c r="O20" s="5" t="str">
        <f t="shared" si="3"/>
        <v>At-Risk</v>
      </c>
      <c r="P20" s="5">
        <f>IF(Table1[[#This Row],[Health Status]]="Churned",0,1)</f>
        <v>1</v>
      </c>
      <c r="Q20" s="5" t="str">
        <f>IF(Table1[[#This Row],[Subscription_End_Date]]="", "Active", "Churned")</f>
        <v>Active</v>
      </c>
      <c r="R20" s="5">
        <f ca="1">IF(Table1[[#This Row],[Subscription_End_Date]]="", DATEDIF(Table1[[#This Row],[Subscription_Start_Date]], TODAY(), "m"),
DATEDIF(Table1[[#This Row],[Subscription_Start_Date]], Table1[[#This Row],[Subscription_End_Date]], "m"))</f>
        <v>12</v>
      </c>
      <c r="S20" s="2">
        <f ca="1">Table1[[#This Row],[Monthly_Spend]] * Table1[[#This Row],[Customer Lifetime(Months)]]</f>
        <v>120000</v>
      </c>
    </row>
    <row r="21" spans="1:19" x14ac:dyDescent="0.35">
      <c r="A21" t="s">
        <v>39</v>
      </c>
      <c r="B21" t="s">
        <v>27</v>
      </c>
      <c r="C21" s="1">
        <v>45470</v>
      </c>
      <c r="E21" t="s">
        <v>16</v>
      </c>
      <c r="F21" s="2">
        <v>50000</v>
      </c>
      <c r="G21">
        <v>1</v>
      </c>
      <c r="H21">
        <v>15</v>
      </c>
      <c r="I21" t="s">
        <v>17</v>
      </c>
      <c r="J21">
        <f>IF(Table1[[#This Row],[Status]]="Churned",1,0)</f>
        <v>0</v>
      </c>
      <c r="K21">
        <f t="shared" si="4"/>
        <v>0.14141414141414141</v>
      </c>
      <c r="L21">
        <f t="shared" si="0"/>
        <v>0.98</v>
      </c>
      <c r="M21" s="5">
        <f t="shared" si="1"/>
        <v>0.47368421052631576</v>
      </c>
      <c r="N21" s="5">
        <f t="shared" si="2"/>
        <v>0.51828282828282823</v>
      </c>
      <c r="O21" s="5" t="str">
        <f t="shared" si="3"/>
        <v>At-Risk</v>
      </c>
      <c r="P21" s="5">
        <f>IF(Table1[[#This Row],[Health Status]]="Churned",0,1)</f>
        <v>1</v>
      </c>
      <c r="Q21" s="5" t="str">
        <f>IF(Table1[[#This Row],[Subscription_End_Date]]="", "Active", "Churned")</f>
        <v>Active</v>
      </c>
      <c r="R21" s="5">
        <f ca="1">IF(Table1[[#This Row],[Subscription_End_Date]]="", DATEDIF(Table1[[#This Row],[Subscription_Start_Date]], TODAY(), "m"),
DATEDIF(Table1[[#This Row],[Subscription_Start_Date]], Table1[[#This Row],[Subscription_End_Date]], "m"))</f>
        <v>16</v>
      </c>
      <c r="S21" s="2">
        <f ca="1">Table1[[#This Row],[Monthly_Spend]] * Table1[[#This Row],[Customer Lifetime(Months)]]</f>
        <v>800000</v>
      </c>
    </row>
    <row r="22" spans="1:19" x14ac:dyDescent="0.35">
      <c r="A22" t="s">
        <v>40</v>
      </c>
      <c r="B22" t="s">
        <v>19</v>
      </c>
      <c r="C22" s="1">
        <v>45172</v>
      </c>
      <c r="D22" s="1">
        <v>45782</v>
      </c>
      <c r="E22" t="s">
        <v>23</v>
      </c>
      <c r="F22" s="2">
        <v>5000</v>
      </c>
      <c r="G22">
        <v>5</v>
      </c>
      <c r="H22">
        <v>94</v>
      </c>
      <c r="I22" t="s">
        <v>28</v>
      </c>
      <c r="J22">
        <f>IF(Table1[[#This Row],[Status]]="Churned",1,0)</f>
        <v>1</v>
      </c>
      <c r="K22">
        <f t="shared" si="4"/>
        <v>0.93939393939393945</v>
      </c>
      <c r="L22">
        <f t="shared" si="0"/>
        <v>0.9</v>
      </c>
      <c r="M22" s="5">
        <f t="shared" si="1"/>
        <v>0</v>
      </c>
      <c r="N22" s="5">
        <f t="shared" si="2"/>
        <v>0.93787878787878798</v>
      </c>
      <c r="O22" s="5" t="str">
        <f t="shared" si="3"/>
        <v>Churned</v>
      </c>
      <c r="P22" s="5">
        <f>IF(Table1[[#This Row],[Health Status]]="Churned",0,1)</f>
        <v>0</v>
      </c>
      <c r="Q22" s="5" t="str">
        <f>IF(Table1[[#This Row],[Subscription_End_Date]]="", "Active", "Churned")</f>
        <v>Churned</v>
      </c>
      <c r="R22" s="5">
        <f ca="1">IF(Table1[[#This Row],[Subscription_End_Date]]="", DATEDIF(Table1[[#This Row],[Subscription_Start_Date]], TODAY(), "m"),
DATEDIF(Table1[[#This Row],[Subscription_Start_Date]], Table1[[#This Row],[Subscription_End_Date]], "m"))</f>
        <v>20</v>
      </c>
      <c r="S22" s="2">
        <f ca="1">Table1[[#This Row],[Monthly_Spend]] * Table1[[#This Row],[Customer Lifetime(Months)]]</f>
        <v>100000</v>
      </c>
    </row>
    <row r="23" spans="1:19" x14ac:dyDescent="0.35">
      <c r="A23" t="s">
        <v>41</v>
      </c>
      <c r="B23" t="s">
        <v>31</v>
      </c>
      <c r="C23" s="1">
        <v>45472</v>
      </c>
      <c r="E23" t="s">
        <v>11</v>
      </c>
      <c r="F23" s="2">
        <v>50000</v>
      </c>
      <c r="G23">
        <v>35</v>
      </c>
      <c r="H23">
        <v>22</v>
      </c>
      <c r="I23" t="s">
        <v>12</v>
      </c>
      <c r="J23">
        <f>IF(Table1[[#This Row],[Status]]="Churned",1,0)</f>
        <v>0</v>
      </c>
      <c r="K23">
        <f t="shared" si="4"/>
        <v>0.21212121212121213</v>
      </c>
      <c r="L23">
        <f t="shared" si="0"/>
        <v>0.30000000000000004</v>
      </c>
      <c r="M23" s="5">
        <f t="shared" si="1"/>
        <v>0.47368421052631576</v>
      </c>
      <c r="N23" s="5">
        <f t="shared" si="2"/>
        <v>0.19242424242424244</v>
      </c>
      <c r="O23" s="5" t="str">
        <f t="shared" si="3"/>
        <v>At-Risk</v>
      </c>
      <c r="P23" s="5">
        <f>IF(Table1[[#This Row],[Health Status]]="Churned",0,1)</f>
        <v>1</v>
      </c>
      <c r="Q23" s="5" t="str">
        <f>IF(Table1[[#This Row],[Subscription_End_Date]]="", "Active", "Churned")</f>
        <v>Active</v>
      </c>
      <c r="R23" s="5">
        <f ca="1">IF(Table1[[#This Row],[Subscription_End_Date]]="", DATEDIF(Table1[[#This Row],[Subscription_Start_Date]], TODAY(), "m"),
DATEDIF(Table1[[#This Row],[Subscription_Start_Date]], Table1[[#This Row],[Subscription_End_Date]], "m"))</f>
        <v>16</v>
      </c>
      <c r="S23" s="2">
        <f ca="1">Table1[[#This Row],[Monthly_Spend]] * Table1[[#This Row],[Customer Lifetime(Months)]]</f>
        <v>800000</v>
      </c>
    </row>
    <row r="24" spans="1:19" x14ac:dyDescent="0.35">
      <c r="A24" t="s">
        <v>42</v>
      </c>
      <c r="B24" t="s">
        <v>19</v>
      </c>
      <c r="C24" s="1">
        <v>45548</v>
      </c>
      <c r="E24" t="s">
        <v>16</v>
      </c>
      <c r="F24" s="2">
        <v>100000</v>
      </c>
      <c r="G24">
        <v>48</v>
      </c>
      <c r="H24">
        <v>94</v>
      </c>
      <c r="I24" t="s">
        <v>12</v>
      </c>
      <c r="J24">
        <f>IF(Table1[[#This Row],[Status]]="Churned",1,0)</f>
        <v>0</v>
      </c>
      <c r="K24">
        <f t="shared" si="4"/>
        <v>0.93939393939393945</v>
      </c>
      <c r="L24">
        <f t="shared" si="0"/>
        <v>4.0000000000000036E-2</v>
      </c>
      <c r="M24" s="5">
        <f t="shared" si="1"/>
        <v>1</v>
      </c>
      <c r="N24" s="5">
        <f t="shared" si="2"/>
        <v>0.20787878787878791</v>
      </c>
      <c r="O24" s="5" t="str">
        <f t="shared" si="3"/>
        <v>Healthy</v>
      </c>
      <c r="P24" s="5">
        <f>IF(Table1[[#This Row],[Health Status]]="Churned",0,1)</f>
        <v>1</v>
      </c>
      <c r="Q24" s="5" t="str">
        <f>IF(Table1[[#This Row],[Subscription_End_Date]]="", "Active", "Churned")</f>
        <v>Active</v>
      </c>
      <c r="R24" s="5">
        <f ca="1">IF(Table1[[#This Row],[Subscription_End_Date]]="", DATEDIF(Table1[[#This Row],[Subscription_Start_Date]], TODAY(), "m"),
DATEDIF(Table1[[#This Row],[Subscription_Start_Date]], Table1[[#This Row],[Subscription_End_Date]], "m"))</f>
        <v>13</v>
      </c>
      <c r="S24" s="2">
        <f ca="1">Table1[[#This Row],[Monthly_Spend]] * Table1[[#This Row],[Customer Lifetime(Months)]]</f>
        <v>1300000</v>
      </c>
    </row>
    <row r="25" spans="1:19" x14ac:dyDescent="0.35">
      <c r="A25" t="s">
        <v>43</v>
      </c>
      <c r="B25" t="s">
        <v>27</v>
      </c>
      <c r="C25" s="1">
        <v>45246</v>
      </c>
      <c r="E25" t="s">
        <v>16</v>
      </c>
      <c r="F25" s="2">
        <v>50000</v>
      </c>
      <c r="G25">
        <v>33</v>
      </c>
      <c r="H25">
        <v>58</v>
      </c>
      <c r="I25" t="s">
        <v>17</v>
      </c>
      <c r="J25">
        <f>IF(Table1[[#This Row],[Status]]="Churned",1,0)</f>
        <v>0</v>
      </c>
      <c r="K25">
        <f t="shared" si="4"/>
        <v>0.5757575757575758</v>
      </c>
      <c r="L25">
        <f t="shared" si="0"/>
        <v>0.33999999999999997</v>
      </c>
      <c r="M25" s="5">
        <f t="shared" si="1"/>
        <v>0.47368421052631576</v>
      </c>
      <c r="N25" s="5">
        <f t="shared" si="2"/>
        <v>0.28515151515151516</v>
      </c>
      <c r="O25" s="5" t="str">
        <f t="shared" si="3"/>
        <v>At-Risk</v>
      </c>
      <c r="P25" s="5">
        <f>IF(Table1[[#This Row],[Health Status]]="Churned",0,1)</f>
        <v>1</v>
      </c>
      <c r="Q25" s="5" t="str">
        <f>IF(Table1[[#This Row],[Subscription_End_Date]]="", "Active", "Churned")</f>
        <v>Active</v>
      </c>
      <c r="R25" s="5">
        <f ca="1">IF(Table1[[#This Row],[Subscription_End_Date]]="", DATEDIF(Table1[[#This Row],[Subscription_Start_Date]], TODAY(), "m"),
DATEDIF(Table1[[#This Row],[Subscription_Start_Date]], Table1[[#This Row],[Subscription_End_Date]], "m"))</f>
        <v>23</v>
      </c>
      <c r="S25" s="2">
        <f ca="1">Table1[[#This Row],[Monthly_Spend]] * Table1[[#This Row],[Customer Lifetime(Months)]]</f>
        <v>1150000</v>
      </c>
    </row>
    <row r="26" spans="1:19" x14ac:dyDescent="0.35">
      <c r="A26" t="s">
        <v>44</v>
      </c>
      <c r="B26" t="s">
        <v>10</v>
      </c>
      <c r="C26" s="1">
        <v>45157</v>
      </c>
      <c r="E26" t="s">
        <v>11</v>
      </c>
      <c r="F26" s="2">
        <v>100000</v>
      </c>
      <c r="G26">
        <v>35</v>
      </c>
      <c r="H26">
        <v>30</v>
      </c>
      <c r="I26" t="s">
        <v>12</v>
      </c>
      <c r="J26">
        <f>IF(Table1[[#This Row],[Status]]="Churned",1,0)</f>
        <v>0</v>
      </c>
      <c r="K26">
        <f t="shared" si="4"/>
        <v>0.29292929292929293</v>
      </c>
      <c r="L26">
        <f t="shared" si="0"/>
        <v>0.30000000000000004</v>
      </c>
      <c r="M26" s="5">
        <f t="shared" si="1"/>
        <v>1</v>
      </c>
      <c r="N26" s="5">
        <f t="shared" si="2"/>
        <v>0.2085858585858586</v>
      </c>
      <c r="O26" s="5" t="str">
        <f t="shared" si="3"/>
        <v>Healthy</v>
      </c>
      <c r="P26" s="5">
        <f>IF(Table1[[#This Row],[Health Status]]="Churned",0,1)</f>
        <v>1</v>
      </c>
      <c r="Q26" s="5" t="str">
        <f>IF(Table1[[#This Row],[Subscription_End_Date]]="", "Active", "Churned")</f>
        <v>Active</v>
      </c>
      <c r="R26" s="5">
        <f ca="1">IF(Table1[[#This Row],[Subscription_End_Date]]="", DATEDIF(Table1[[#This Row],[Subscription_Start_Date]], TODAY(), "m"),
DATEDIF(Table1[[#This Row],[Subscription_Start_Date]], Table1[[#This Row],[Subscription_End_Date]], "m"))</f>
        <v>26</v>
      </c>
      <c r="S26" s="2">
        <f ca="1">Table1[[#This Row],[Monthly_Spend]] * Table1[[#This Row],[Customer Lifetime(Months)]]</f>
        <v>2600000</v>
      </c>
    </row>
    <row r="27" spans="1:19" x14ac:dyDescent="0.35">
      <c r="A27" t="s">
        <v>45</v>
      </c>
      <c r="B27" t="s">
        <v>14</v>
      </c>
      <c r="C27" s="1">
        <v>44934</v>
      </c>
      <c r="E27" t="s">
        <v>11</v>
      </c>
      <c r="F27" s="2">
        <v>10000</v>
      </c>
      <c r="G27">
        <v>4</v>
      </c>
      <c r="H27">
        <v>5</v>
      </c>
      <c r="I27" t="s">
        <v>12</v>
      </c>
      <c r="J27">
        <f>IF(Table1[[#This Row],[Status]]="Churned",1,0)</f>
        <v>0</v>
      </c>
      <c r="K27">
        <f t="shared" si="4"/>
        <v>4.0404040404040407E-2</v>
      </c>
      <c r="L27">
        <f t="shared" si="0"/>
        <v>0.92</v>
      </c>
      <c r="M27" s="5">
        <f t="shared" si="1"/>
        <v>5.2631578947368418E-2</v>
      </c>
      <c r="N27" s="5">
        <f t="shared" si="2"/>
        <v>0.4680808080808081</v>
      </c>
      <c r="O27" s="5" t="str">
        <f t="shared" si="3"/>
        <v>At-Risk</v>
      </c>
      <c r="P27" s="5">
        <f>IF(Table1[[#This Row],[Health Status]]="Churned",0,1)</f>
        <v>1</v>
      </c>
      <c r="Q27" s="5" t="str">
        <f>IF(Table1[[#This Row],[Subscription_End_Date]]="", "Active", "Churned")</f>
        <v>Active</v>
      </c>
      <c r="R27" s="5">
        <f ca="1">IF(Table1[[#This Row],[Subscription_End_Date]]="", DATEDIF(Table1[[#This Row],[Subscription_Start_Date]], TODAY(), "m"),
DATEDIF(Table1[[#This Row],[Subscription_Start_Date]], Table1[[#This Row],[Subscription_End_Date]], "m"))</f>
        <v>33</v>
      </c>
      <c r="S27" s="2">
        <f ca="1">Table1[[#This Row],[Monthly_Spend]] * Table1[[#This Row],[Customer Lifetime(Months)]]</f>
        <v>330000</v>
      </c>
    </row>
    <row r="28" spans="1:19" x14ac:dyDescent="0.35">
      <c r="A28" t="s">
        <v>46</v>
      </c>
      <c r="B28" t="s">
        <v>19</v>
      </c>
      <c r="C28" s="1">
        <v>45453</v>
      </c>
      <c r="E28" t="s">
        <v>11</v>
      </c>
      <c r="F28" s="2">
        <v>10000</v>
      </c>
      <c r="G28">
        <v>34</v>
      </c>
      <c r="H28">
        <v>17</v>
      </c>
      <c r="I28" t="s">
        <v>17</v>
      </c>
      <c r="J28">
        <f>IF(Table1[[#This Row],[Status]]="Churned",1,0)</f>
        <v>0</v>
      </c>
      <c r="K28">
        <f t="shared" si="4"/>
        <v>0.16161616161616163</v>
      </c>
      <c r="L28">
        <f t="shared" si="0"/>
        <v>0.31999999999999995</v>
      </c>
      <c r="M28" s="5">
        <f t="shared" si="1"/>
        <v>5.2631578947368418E-2</v>
      </c>
      <c r="N28" s="5">
        <f t="shared" si="2"/>
        <v>0.19232323232323231</v>
      </c>
      <c r="O28" s="5" t="str">
        <f t="shared" si="3"/>
        <v>At-Risk</v>
      </c>
      <c r="P28" s="5">
        <f>IF(Table1[[#This Row],[Health Status]]="Churned",0,1)</f>
        <v>1</v>
      </c>
      <c r="Q28" s="5" t="str">
        <f>IF(Table1[[#This Row],[Subscription_End_Date]]="", "Active", "Churned")</f>
        <v>Active</v>
      </c>
      <c r="R28" s="5">
        <f ca="1">IF(Table1[[#This Row],[Subscription_End_Date]]="", DATEDIF(Table1[[#This Row],[Subscription_Start_Date]], TODAY(), "m"),
DATEDIF(Table1[[#This Row],[Subscription_Start_Date]], Table1[[#This Row],[Subscription_End_Date]], "m"))</f>
        <v>16</v>
      </c>
      <c r="S28" s="2">
        <f ca="1">Table1[[#This Row],[Monthly_Spend]] * Table1[[#This Row],[Customer Lifetime(Months)]]</f>
        <v>160000</v>
      </c>
    </row>
    <row r="29" spans="1:19" x14ac:dyDescent="0.35">
      <c r="A29" t="s">
        <v>47</v>
      </c>
      <c r="B29" t="s">
        <v>14</v>
      </c>
      <c r="C29" s="1">
        <v>45411</v>
      </c>
      <c r="E29" t="s">
        <v>16</v>
      </c>
      <c r="F29" s="2">
        <v>50000</v>
      </c>
      <c r="G29">
        <v>12</v>
      </c>
      <c r="H29">
        <v>13</v>
      </c>
      <c r="I29" t="s">
        <v>17</v>
      </c>
      <c r="J29">
        <f>IF(Table1[[#This Row],[Status]]="Churned",1,0)</f>
        <v>0</v>
      </c>
      <c r="K29">
        <f t="shared" si="4"/>
        <v>0.12121212121212122</v>
      </c>
      <c r="L29">
        <f t="shared" si="0"/>
        <v>0.76</v>
      </c>
      <c r="M29" s="5">
        <f t="shared" si="1"/>
        <v>0.47368421052631576</v>
      </c>
      <c r="N29" s="5">
        <f t="shared" si="2"/>
        <v>0.40424242424242424</v>
      </c>
      <c r="O29" s="5" t="str">
        <f t="shared" si="3"/>
        <v>At-Risk</v>
      </c>
      <c r="P29" s="5">
        <f>IF(Table1[[#This Row],[Health Status]]="Churned",0,1)</f>
        <v>1</v>
      </c>
      <c r="Q29" s="5" t="str">
        <f>IF(Table1[[#This Row],[Subscription_End_Date]]="", "Active", "Churned")</f>
        <v>Active</v>
      </c>
      <c r="R29" s="5">
        <f ca="1">IF(Table1[[#This Row],[Subscription_End_Date]]="", DATEDIF(Table1[[#This Row],[Subscription_Start_Date]], TODAY(), "m"),
DATEDIF(Table1[[#This Row],[Subscription_Start_Date]], Table1[[#This Row],[Subscription_End_Date]], "m"))</f>
        <v>18</v>
      </c>
      <c r="S29" s="2">
        <f ca="1">Table1[[#This Row],[Monthly_Spend]] * Table1[[#This Row],[Customer Lifetime(Months)]]</f>
        <v>900000</v>
      </c>
    </row>
    <row r="30" spans="1:19" x14ac:dyDescent="0.35">
      <c r="A30" t="s">
        <v>48</v>
      </c>
      <c r="B30" t="s">
        <v>10</v>
      </c>
      <c r="C30" s="1">
        <v>45368</v>
      </c>
      <c r="E30" t="s">
        <v>16</v>
      </c>
      <c r="F30" s="2">
        <v>50000</v>
      </c>
      <c r="G30">
        <v>46</v>
      </c>
      <c r="H30">
        <v>7</v>
      </c>
      <c r="I30" t="s">
        <v>17</v>
      </c>
      <c r="J30">
        <f>IF(Table1[[#This Row],[Status]]="Churned",1,0)</f>
        <v>0</v>
      </c>
      <c r="K30">
        <f t="shared" si="4"/>
        <v>6.0606060606060608E-2</v>
      </c>
      <c r="L30">
        <f t="shared" si="0"/>
        <v>7.999999999999996E-2</v>
      </c>
      <c r="M30" s="5">
        <f t="shared" si="1"/>
        <v>0.47368421052631576</v>
      </c>
      <c r="N30" s="5">
        <f t="shared" si="2"/>
        <v>5.2121212121212103E-2</v>
      </c>
      <c r="O30" s="5" t="str">
        <f t="shared" si="3"/>
        <v>At-Risk</v>
      </c>
      <c r="P30" s="5">
        <f>IF(Table1[[#This Row],[Health Status]]="Churned",0,1)</f>
        <v>1</v>
      </c>
      <c r="Q30" s="5" t="str">
        <f>IF(Table1[[#This Row],[Subscription_End_Date]]="", "Active", "Churned")</f>
        <v>Active</v>
      </c>
      <c r="R30" s="5">
        <f ca="1">IF(Table1[[#This Row],[Subscription_End_Date]]="", DATEDIF(Table1[[#This Row],[Subscription_Start_Date]], TODAY(), "m"),
DATEDIF(Table1[[#This Row],[Subscription_Start_Date]], Table1[[#This Row],[Subscription_End_Date]], "m"))</f>
        <v>19</v>
      </c>
      <c r="S30" s="2">
        <f ca="1">Table1[[#This Row],[Monthly_Spend]] * Table1[[#This Row],[Customer Lifetime(Months)]]</f>
        <v>950000</v>
      </c>
    </row>
    <row r="31" spans="1:19" x14ac:dyDescent="0.35">
      <c r="A31" t="s">
        <v>49</v>
      </c>
      <c r="B31" t="s">
        <v>10</v>
      </c>
      <c r="C31" s="1">
        <v>45339</v>
      </c>
      <c r="E31" t="s">
        <v>11</v>
      </c>
      <c r="F31" s="2">
        <v>10000</v>
      </c>
      <c r="G31">
        <v>12</v>
      </c>
      <c r="H31">
        <v>25</v>
      </c>
      <c r="I31" t="s">
        <v>12</v>
      </c>
      <c r="J31">
        <f>IF(Table1[[#This Row],[Status]]="Churned",1,0)</f>
        <v>0</v>
      </c>
      <c r="K31">
        <f t="shared" si="4"/>
        <v>0.24242424242424243</v>
      </c>
      <c r="L31">
        <f t="shared" si="0"/>
        <v>0.76</v>
      </c>
      <c r="M31" s="5">
        <f t="shared" si="1"/>
        <v>5.2631578947368418E-2</v>
      </c>
      <c r="N31" s="5">
        <f t="shared" si="2"/>
        <v>0.42848484848484847</v>
      </c>
      <c r="O31" s="5" t="str">
        <f t="shared" si="3"/>
        <v>At-Risk</v>
      </c>
      <c r="P31" s="5">
        <f>IF(Table1[[#This Row],[Health Status]]="Churned",0,1)</f>
        <v>1</v>
      </c>
      <c r="Q31" s="5" t="str">
        <f>IF(Table1[[#This Row],[Subscription_End_Date]]="", "Active", "Churned")</f>
        <v>Active</v>
      </c>
      <c r="R31" s="5">
        <f ca="1">IF(Table1[[#This Row],[Subscription_End_Date]]="", DATEDIF(Table1[[#This Row],[Subscription_Start_Date]], TODAY(), "m"),
DATEDIF(Table1[[#This Row],[Subscription_Start_Date]], Table1[[#This Row],[Subscription_End_Date]], "m"))</f>
        <v>20</v>
      </c>
      <c r="S31" s="2">
        <f ca="1">Table1[[#This Row],[Monthly_Spend]] * Table1[[#This Row],[Customer Lifetime(Months)]]</f>
        <v>200000</v>
      </c>
    </row>
    <row r="32" spans="1:19" x14ac:dyDescent="0.35">
      <c r="A32" t="s">
        <v>50</v>
      </c>
      <c r="B32" t="s">
        <v>14</v>
      </c>
      <c r="C32" s="1">
        <v>45070</v>
      </c>
      <c r="E32" t="s">
        <v>23</v>
      </c>
      <c r="F32" s="2">
        <v>50000</v>
      </c>
      <c r="G32">
        <v>15</v>
      </c>
      <c r="H32">
        <v>10</v>
      </c>
      <c r="I32" t="s">
        <v>17</v>
      </c>
      <c r="J32">
        <f>IF(Table1[[#This Row],[Status]]="Churned",1,0)</f>
        <v>0</v>
      </c>
      <c r="K32">
        <f t="shared" si="4"/>
        <v>9.0909090909090912E-2</v>
      </c>
      <c r="L32">
        <f t="shared" si="0"/>
        <v>0.7</v>
      </c>
      <c r="M32" s="5">
        <f t="shared" si="1"/>
        <v>0.47368421052631576</v>
      </c>
      <c r="N32" s="5">
        <f t="shared" si="2"/>
        <v>0.36818181818181817</v>
      </c>
      <c r="O32" s="5" t="str">
        <f t="shared" si="3"/>
        <v>At-Risk</v>
      </c>
      <c r="P32" s="5">
        <f>IF(Table1[[#This Row],[Health Status]]="Churned",0,1)</f>
        <v>1</v>
      </c>
      <c r="Q32" s="5" t="str">
        <f>IF(Table1[[#This Row],[Subscription_End_Date]]="", "Active", "Churned")</f>
        <v>Active</v>
      </c>
      <c r="R32" s="5">
        <f ca="1">IF(Table1[[#This Row],[Subscription_End_Date]]="", DATEDIF(Table1[[#This Row],[Subscription_Start_Date]], TODAY(), "m"),
DATEDIF(Table1[[#This Row],[Subscription_Start_Date]], Table1[[#This Row],[Subscription_End_Date]], "m"))</f>
        <v>29</v>
      </c>
      <c r="S32" s="2">
        <f ca="1">Table1[[#This Row],[Monthly_Spend]] * Table1[[#This Row],[Customer Lifetime(Months)]]</f>
        <v>1450000</v>
      </c>
    </row>
    <row r="33" spans="1:19" x14ac:dyDescent="0.35">
      <c r="A33" t="s">
        <v>51</v>
      </c>
      <c r="B33" t="s">
        <v>31</v>
      </c>
      <c r="C33" s="1">
        <v>45027</v>
      </c>
      <c r="D33" s="1">
        <v>45610</v>
      </c>
      <c r="E33" t="s">
        <v>16</v>
      </c>
      <c r="F33" s="2">
        <v>5000</v>
      </c>
      <c r="G33">
        <v>5</v>
      </c>
      <c r="H33">
        <v>97</v>
      </c>
      <c r="I33" t="s">
        <v>28</v>
      </c>
      <c r="J33">
        <f>IF(Table1[[#This Row],[Status]]="Churned",1,0)</f>
        <v>1</v>
      </c>
      <c r="K33">
        <f t="shared" si="4"/>
        <v>0.96969696969696972</v>
      </c>
      <c r="L33">
        <f t="shared" si="0"/>
        <v>0.9</v>
      </c>
      <c r="M33" s="5">
        <f t="shared" si="1"/>
        <v>0</v>
      </c>
      <c r="N33" s="5">
        <f t="shared" si="2"/>
        <v>0.94393939393939397</v>
      </c>
      <c r="O33" s="5" t="str">
        <f t="shared" si="3"/>
        <v>Churned</v>
      </c>
      <c r="P33" s="5">
        <f>IF(Table1[[#This Row],[Health Status]]="Churned",0,1)</f>
        <v>0</v>
      </c>
      <c r="Q33" s="5" t="str">
        <f>IF(Table1[[#This Row],[Subscription_End_Date]]="", "Active", "Churned")</f>
        <v>Churned</v>
      </c>
      <c r="R33" s="5">
        <f ca="1">IF(Table1[[#This Row],[Subscription_End_Date]]="", DATEDIF(Table1[[#This Row],[Subscription_Start_Date]], TODAY(), "m"),
DATEDIF(Table1[[#This Row],[Subscription_Start_Date]], Table1[[#This Row],[Subscription_End_Date]], "m"))</f>
        <v>19</v>
      </c>
      <c r="S33" s="2">
        <f ca="1">Table1[[#This Row],[Monthly_Spend]] * Table1[[#This Row],[Customer Lifetime(Months)]]</f>
        <v>95000</v>
      </c>
    </row>
    <row r="34" spans="1:19" x14ac:dyDescent="0.35">
      <c r="A34" t="s">
        <v>52</v>
      </c>
      <c r="B34" t="s">
        <v>27</v>
      </c>
      <c r="C34" s="1">
        <v>45343</v>
      </c>
      <c r="E34" t="s">
        <v>11</v>
      </c>
      <c r="F34" s="2">
        <v>50000</v>
      </c>
      <c r="G34">
        <v>3</v>
      </c>
      <c r="H34">
        <v>22</v>
      </c>
      <c r="I34" t="s">
        <v>12</v>
      </c>
      <c r="J34">
        <f>IF(Table1[[#This Row],[Status]]="Churned",1,0)</f>
        <v>0</v>
      </c>
      <c r="K34">
        <f t="shared" si="4"/>
        <v>0.21212121212121213</v>
      </c>
      <c r="L34">
        <f t="shared" si="0"/>
        <v>0.94</v>
      </c>
      <c r="M34" s="5">
        <f t="shared" si="1"/>
        <v>0.47368421052631576</v>
      </c>
      <c r="N34" s="5">
        <f t="shared" si="2"/>
        <v>0.51242424242424245</v>
      </c>
      <c r="O34" s="5" t="str">
        <f t="shared" si="3"/>
        <v>At-Risk</v>
      </c>
      <c r="P34" s="5">
        <f>IF(Table1[[#This Row],[Health Status]]="Churned",0,1)</f>
        <v>1</v>
      </c>
      <c r="Q34" s="5" t="str">
        <f>IF(Table1[[#This Row],[Subscription_End_Date]]="", "Active", "Churned")</f>
        <v>Active</v>
      </c>
      <c r="R34" s="5">
        <f ca="1">IF(Table1[[#This Row],[Subscription_End_Date]]="", DATEDIF(Table1[[#This Row],[Subscription_Start_Date]], TODAY(), "m"),
DATEDIF(Table1[[#This Row],[Subscription_Start_Date]], Table1[[#This Row],[Subscription_End_Date]], "m"))</f>
        <v>20</v>
      </c>
      <c r="S34" s="2">
        <f ca="1">Table1[[#This Row],[Monthly_Spend]] * Table1[[#This Row],[Customer Lifetime(Months)]]</f>
        <v>1000000</v>
      </c>
    </row>
    <row r="35" spans="1:19" x14ac:dyDescent="0.35">
      <c r="A35" t="s">
        <v>53</v>
      </c>
      <c r="B35" t="s">
        <v>31</v>
      </c>
      <c r="C35" s="1">
        <v>45326</v>
      </c>
      <c r="E35" t="s">
        <v>11</v>
      </c>
      <c r="F35" s="2">
        <v>20000</v>
      </c>
      <c r="G35">
        <v>27</v>
      </c>
      <c r="H35">
        <v>90</v>
      </c>
      <c r="I35" t="s">
        <v>17</v>
      </c>
      <c r="J35">
        <f>IF(Table1[[#This Row],[Status]]="Churned",1,0)</f>
        <v>0</v>
      </c>
      <c r="K35">
        <f t="shared" si="4"/>
        <v>0.89898989898989901</v>
      </c>
      <c r="L35">
        <f t="shared" si="0"/>
        <v>0.45999999999999996</v>
      </c>
      <c r="M35" s="5">
        <f t="shared" si="1"/>
        <v>0.15789473684210525</v>
      </c>
      <c r="N35" s="5">
        <f t="shared" si="2"/>
        <v>0.40979797979797983</v>
      </c>
      <c r="O35" s="5" t="str">
        <f t="shared" si="3"/>
        <v>At-Risk</v>
      </c>
      <c r="P35" s="5">
        <f>IF(Table1[[#This Row],[Health Status]]="Churned",0,1)</f>
        <v>1</v>
      </c>
      <c r="Q35" s="5" t="str">
        <f>IF(Table1[[#This Row],[Subscription_End_Date]]="", "Active", "Churned")</f>
        <v>Active</v>
      </c>
      <c r="R35" s="5">
        <f ca="1">IF(Table1[[#This Row],[Subscription_End_Date]]="", DATEDIF(Table1[[#This Row],[Subscription_Start_Date]], TODAY(), "m"),
DATEDIF(Table1[[#This Row],[Subscription_Start_Date]], Table1[[#This Row],[Subscription_End_Date]], "m"))</f>
        <v>20</v>
      </c>
      <c r="S35" s="2">
        <f ca="1">Table1[[#This Row],[Monthly_Spend]] * Table1[[#This Row],[Customer Lifetime(Months)]]</f>
        <v>400000</v>
      </c>
    </row>
    <row r="36" spans="1:19" x14ac:dyDescent="0.35">
      <c r="A36" t="s">
        <v>54</v>
      </c>
      <c r="B36" t="s">
        <v>14</v>
      </c>
      <c r="C36" s="1">
        <v>45425</v>
      </c>
      <c r="D36" s="1">
        <v>45758</v>
      </c>
      <c r="E36" t="s">
        <v>16</v>
      </c>
      <c r="F36" s="2">
        <v>10000</v>
      </c>
      <c r="G36">
        <v>3</v>
      </c>
      <c r="H36">
        <v>75</v>
      </c>
      <c r="I36" t="s">
        <v>28</v>
      </c>
      <c r="J36">
        <f>IF(Table1[[#This Row],[Status]]="Churned",1,0)</f>
        <v>1</v>
      </c>
      <c r="K36">
        <f t="shared" si="4"/>
        <v>0.74747474747474751</v>
      </c>
      <c r="L36">
        <f t="shared" si="0"/>
        <v>0.94</v>
      </c>
      <c r="M36" s="5">
        <f t="shared" si="1"/>
        <v>5.2631578947368418E-2</v>
      </c>
      <c r="N36" s="5">
        <f t="shared" si="2"/>
        <v>0.91949494949494948</v>
      </c>
      <c r="O36" s="5" t="str">
        <f t="shared" si="3"/>
        <v>Churned</v>
      </c>
      <c r="P36" s="5">
        <f>IF(Table1[[#This Row],[Health Status]]="Churned",0,1)</f>
        <v>0</v>
      </c>
      <c r="Q36" s="5" t="str">
        <f>IF(Table1[[#This Row],[Subscription_End_Date]]="", "Active", "Churned")</f>
        <v>Churned</v>
      </c>
      <c r="R36" s="5">
        <f ca="1">IF(Table1[[#This Row],[Subscription_End_Date]]="", DATEDIF(Table1[[#This Row],[Subscription_Start_Date]], TODAY(), "m"),
DATEDIF(Table1[[#This Row],[Subscription_Start_Date]], Table1[[#This Row],[Subscription_End_Date]], "m"))</f>
        <v>10</v>
      </c>
      <c r="S36" s="2">
        <f ca="1">Table1[[#This Row],[Monthly_Spend]] * Table1[[#This Row],[Customer Lifetime(Months)]]</f>
        <v>100000</v>
      </c>
    </row>
    <row r="37" spans="1:19" x14ac:dyDescent="0.35">
      <c r="A37" t="s">
        <v>55</v>
      </c>
      <c r="B37" t="s">
        <v>14</v>
      </c>
      <c r="C37" s="1">
        <v>45248</v>
      </c>
      <c r="E37" t="s">
        <v>11</v>
      </c>
      <c r="F37" s="2">
        <v>100000</v>
      </c>
      <c r="G37">
        <v>33</v>
      </c>
      <c r="H37">
        <v>21</v>
      </c>
      <c r="I37" t="s">
        <v>17</v>
      </c>
      <c r="J37">
        <f>IF(Table1[[#This Row],[Status]]="Churned",1,0)</f>
        <v>0</v>
      </c>
      <c r="K37">
        <f t="shared" si="4"/>
        <v>0.20202020202020202</v>
      </c>
      <c r="L37">
        <f t="shared" si="0"/>
        <v>0.33999999999999997</v>
      </c>
      <c r="M37" s="5">
        <f t="shared" si="1"/>
        <v>1</v>
      </c>
      <c r="N37" s="5">
        <f t="shared" si="2"/>
        <v>0.2104040404040404</v>
      </c>
      <c r="O37" s="5" t="str">
        <f t="shared" si="3"/>
        <v>Healthy</v>
      </c>
      <c r="P37" s="5">
        <f>IF(Table1[[#This Row],[Health Status]]="Churned",0,1)</f>
        <v>1</v>
      </c>
      <c r="Q37" s="5" t="str">
        <f>IF(Table1[[#This Row],[Subscription_End_Date]]="", "Active", "Churned")</f>
        <v>Active</v>
      </c>
      <c r="R37" s="5">
        <f ca="1">IF(Table1[[#This Row],[Subscription_End_Date]]="", DATEDIF(Table1[[#This Row],[Subscription_Start_Date]], TODAY(), "m"),
DATEDIF(Table1[[#This Row],[Subscription_Start_Date]], Table1[[#This Row],[Subscription_End_Date]], "m"))</f>
        <v>23</v>
      </c>
      <c r="S37" s="2">
        <f ca="1">Table1[[#This Row],[Monthly_Spend]] * Table1[[#This Row],[Customer Lifetime(Months)]]</f>
        <v>2300000</v>
      </c>
    </row>
    <row r="38" spans="1:19" x14ac:dyDescent="0.35">
      <c r="A38" t="s">
        <v>56</v>
      </c>
      <c r="B38" t="s">
        <v>10</v>
      </c>
      <c r="C38" s="1">
        <v>45009</v>
      </c>
      <c r="E38" t="s">
        <v>16</v>
      </c>
      <c r="F38" s="2">
        <v>100000</v>
      </c>
      <c r="G38">
        <v>4</v>
      </c>
      <c r="H38">
        <v>87</v>
      </c>
      <c r="I38" t="s">
        <v>12</v>
      </c>
      <c r="J38">
        <f>IF(Table1[[#This Row],[Status]]="Churned",1,0)</f>
        <v>0</v>
      </c>
      <c r="K38">
        <f t="shared" si="4"/>
        <v>0.86868686868686873</v>
      </c>
      <c r="L38">
        <f t="shared" si="0"/>
        <v>0.92</v>
      </c>
      <c r="M38" s="5">
        <f t="shared" si="1"/>
        <v>1</v>
      </c>
      <c r="N38" s="5">
        <f t="shared" si="2"/>
        <v>0.63373737373737371</v>
      </c>
      <c r="O38" s="5" t="str">
        <f t="shared" si="3"/>
        <v>Healthy</v>
      </c>
      <c r="P38" s="5">
        <f>IF(Table1[[#This Row],[Health Status]]="Churned",0,1)</f>
        <v>1</v>
      </c>
      <c r="Q38" s="5" t="str">
        <f>IF(Table1[[#This Row],[Subscription_End_Date]]="", "Active", "Churned")</f>
        <v>Active</v>
      </c>
      <c r="R38" s="5">
        <f ca="1">IF(Table1[[#This Row],[Subscription_End_Date]]="", DATEDIF(Table1[[#This Row],[Subscription_Start_Date]], TODAY(), "m"),
DATEDIF(Table1[[#This Row],[Subscription_Start_Date]], Table1[[#This Row],[Subscription_End_Date]], "m"))</f>
        <v>31</v>
      </c>
      <c r="S38" s="2">
        <f ca="1">Table1[[#This Row],[Monthly_Spend]] * Table1[[#This Row],[Customer Lifetime(Months)]]</f>
        <v>3100000</v>
      </c>
    </row>
    <row r="39" spans="1:19" x14ac:dyDescent="0.35">
      <c r="A39" t="s">
        <v>57</v>
      </c>
      <c r="B39" t="s">
        <v>27</v>
      </c>
      <c r="C39" s="1">
        <v>45049</v>
      </c>
      <c r="E39" t="s">
        <v>23</v>
      </c>
      <c r="F39" s="2">
        <v>100000</v>
      </c>
      <c r="G39">
        <v>38</v>
      </c>
      <c r="H39">
        <v>6</v>
      </c>
      <c r="I39" t="s">
        <v>12</v>
      </c>
      <c r="J39">
        <f>IF(Table1[[#This Row],[Status]]="Churned",1,0)</f>
        <v>0</v>
      </c>
      <c r="K39">
        <f t="shared" si="4"/>
        <v>5.0505050505050504E-2</v>
      </c>
      <c r="L39">
        <f t="shared" si="0"/>
        <v>0.24</v>
      </c>
      <c r="M39" s="5">
        <f t="shared" si="1"/>
        <v>1</v>
      </c>
      <c r="N39" s="5">
        <f t="shared" si="2"/>
        <v>0.13010101010101011</v>
      </c>
      <c r="O39" s="5" t="str">
        <f t="shared" si="3"/>
        <v>Healthy</v>
      </c>
      <c r="P39" s="5">
        <f>IF(Table1[[#This Row],[Health Status]]="Churned",0,1)</f>
        <v>1</v>
      </c>
      <c r="Q39" s="5" t="str">
        <f>IF(Table1[[#This Row],[Subscription_End_Date]]="", "Active", "Churned")</f>
        <v>Active</v>
      </c>
      <c r="R39" s="5">
        <f ca="1">IF(Table1[[#This Row],[Subscription_End_Date]]="", DATEDIF(Table1[[#This Row],[Subscription_Start_Date]], TODAY(), "m"),
DATEDIF(Table1[[#This Row],[Subscription_Start_Date]], Table1[[#This Row],[Subscription_End_Date]], "m"))</f>
        <v>29</v>
      </c>
      <c r="S39" s="2">
        <f ca="1">Table1[[#This Row],[Monthly_Spend]] * Table1[[#This Row],[Customer Lifetime(Months)]]</f>
        <v>2900000</v>
      </c>
    </row>
    <row r="40" spans="1:19" x14ac:dyDescent="0.35">
      <c r="A40" t="s">
        <v>58</v>
      </c>
      <c r="B40" t="s">
        <v>14</v>
      </c>
      <c r="C40" s="1">
        <v>45356</v>
      </c>
      <c r="E40" t="s">
        <v>11</v>
      </c>
      <c r="F40" s="2">
        <v>20000</v>
      </c>
      <c r="G40">
        <v>13</v>
      </c>
      <c r="H40">
        <v>86</v>
      </c>
      <c r="I40" t="s">
        <v>17</v>
      </c>
      <c r="J40">
        <f>IF(Table1[[#This Row],[Status]]="Churned",1,0)</f>
        <v>0</v>
      </c>
      <c r="K40">
        <f t="shared" si="4"/>
        <v>0.85858585858585856</v>
      </c>
      <c r="L40">
        <f t="shared" si="0"/>
        <v>0.74</v>
      </c>
      <c r="M40" s="5">
        <f t="shared" si="1"/>
        <v>0.15789473684210525</v>
      </c>
      <c r="N40" s="5">
        <f t="shared" si="2"/>
        <v>0.54171717171717171</v>
      </c>
      <c r="O40" s="5" t="str">
        <f t="shared" si="3"/>
        <v>At-Risk</v>
      </c>
      <c r="P40" s="5">
        <f>IF(Table1[[#This Row],[Health Status]]="Churned",0,1)</f>
        <v>1</v>
      </c>
      <c r="Q40" s="5" t="str">
        <f>IF(Table1[[#This Row],[Subscription_End_Date]]="", "Active", "Churned")</f>
        <v>Active</v>
      </c>
      <c r="R40" s="5">
        <f ca="1">IF(Table1[[#This Row],[Subscription_End_Date]]="", DATEDIF(Table1[[#This Row],[Subscription_Start_Date]], TODAY(), "m"),
DATEDIF(Table1[[#This Row],[Subscription_Start_Date]], Table1[[#This Row],[Subscription_End_Date]], "m"))</f>
        <v>19</v>
      </c>
      <c r="S40" s="2">
        <f ca="1">Table1[[#This Row],[Monthly_Spend]] * Table1[[#This Row],[Customer Lifetime(Months)]]</f>
        <v>380000</v>
      </c>
    </row>
    <row r="41" spans="1:19" x14ac:dyDescent="0.35">
      <c r="A41" t="s">
        <v>59</v>
      </c>
      <c r="B41" t="s">
        <v>19</v>
      </c>
      <c r="C41" s="1">
        <v>45198</v>
      </c>
      <c r="E41" t="s">
        <v>11</v>
      </c>
      <c r="F41" s="2">
        <v>50000</v>
      </c>
      <c r="G41">
        <v>20</v>
      </c>
      <c r="H41">
        <v>97</v>
      </c>
      <c r="I41" t="s">
        <v>17</v>
      </c>
      <c r="J41">
        <f>IF(Table1[[#This Row],[Status]]="Churned",1,0)</f>
        <v>0</v>
      </c>
      <c r="K41">
        <f t="shared" si="4"/>
        <v>0.96969696969696972</v>
      </c>
      <c r="L41">
        <f t="shared" si="0"/>
        <v>0.6</v>
      </c>
      <c r="M41" s="5">
        <f t="shared" si="1"/>
        <v>0.47368421052631576</v>
      </c>
      <c r="N41" s="5">
        <f t="shared" si="2"/>
        <v>0.49393939393939396</v>
      </c>
      <c r="O41" s="5" t="str">
        <f t="shared" si="3"/>
        <v>At-Risk</v>
      </c>
      <c r="P41" s="5">
        <f>IF(Table1[[#This Row],[Health Status]]="Churned",0,1)</f>
        <v>1</v>
      </c>
      <c r="Q41" s="5" t="str">
        <f>IF(Table1[[#This Row],[Subscription_End_Date]]="", "Active", "Churned")</f>
        <v>Active</v>
      </c>
      <c r="R41" s="5">
        <f ca="1">IF(Table1[[#This Row],[Subscription_End_Date]]="", DATEDIF(Table1[[#This Row],[Subscription_Start_Date]], TODAY(), "m"),
DATEDIF(Table1[[#This Row],[Subscription_Start_Date]], Table1[[#This Row],[Subscription_End_Date]], "m"))</f>
        <v>25</v>
      </c>
      <c r="S41" s="2">
        <f ca="1">Table1[[#This Row],[Monthly_Spend]] * Table1[[#This Row],[Customer Lifetime(Months)]]</f>
        <v>1250000</v>
      </c>
    </row>
    <row r="42" spans="1:19" x14ac:dyDescent="0.35">
      <c r="A42" t="s">
        <v>60</v>
      </c>
      <c r="B42" t="s">
        <v>10</v>
      </c>
      <c r="C42" s="1">
        <v>45396</v>
      </c>
      <c r="E42" t="s">
        <v>11</v>
      </c>
      <c r="F42" s="2">
        <v>5000</v>
      </c>
      <c r="G42">
        <v>34</v>
      </c>
      <c r="H42">
        <v>28</v>
      </c>
      <c r="I42" t="s">
        <v>12</v>
      </c>
      <c r="J42">
        <f>IF(Table1[[#This Row],[Status]]="Churned",1,0)</f>
        <v>0</v>
      </c>
      <c r="K42">
        <f t="shared" si="4"/>
        <v>0.27272727272727271</v>
      </c>
      <c r="L42">
        <f t="shared" si="0"/>
        <v>0.31999999999999995</v>
      </c>
      <c r="M42" s="5">
        <f t="shared" si="1"/>
        <v>0</v>
      </c>
      <c r="N42" s="5">
        <f t="shared" si="2"/>
        <v>0.21454545454545451</v>
      </c>
      <c r="O42" s="5" t="str">
        <f t="shared" si="3"/>
        <v>At-Risk</v>
      </c>
      <c r="P42" s="5">
        <f>IF(Table1[[#This Row],[Health Status]]="Churned",0,1)</f>
        <v>1</v>
      </c>
      <c r="Q42" s="5" t="str">
        <f>IF(Table1[[#This Row],[Subscription_End_Date]]="", "Active", "Churned")</f>
        <v>Active</v>
      </c>
      <c r="R42" s="5">
        <f ca="1">IF(Table1[[#This Row],[Subscription_End_Date]]="", DATEDIF(Table1[[#This Row],[Subscription_Start_Date]], TODAY(), "m"),
DATEDIF(Table1[[#This Row],[Subscription_Start_Date]], Table1[[#This Row],[Subscription_End_Date]], "m"))</f>
        <v>18</v>
      </c>
      <c r="S42" s="2">
        <f ca="1">Table1[[#This Row],[Monthly_Spend]] * Table1[[#This Row],[Customer Lifetime(Months)]]</f>
        <v>90000</v>
      </c>
    </row>
    <row r="43" spans="1:19" x14ac:dyDescent="0.35">
      <c r="A43" t="s">
        <v>61</v>
      </c>
      <c r="B43" t="s">
        <v>14</v>
      </c>
      <c r="C43" s="1">
        <v>45062</v>
      </c>
      <c r="E43" t="s">
        <v>23</v>
      </c>
      <c r="F43" s="2">
        <v>10000</v>
      </c>
      <c r="G43">
        <v>23</v>
      </c>
      <c r="H43">
        <v>37</v>
      </c>
      <c r="I43" t="s">
        <v>12</v>
      </c>
      <c r="J43">
        <f>IF(Table1[[#This Row],[Status]]="Churned",1,0)</f>
        <v>0</v>
      </c>
      <c r="K43">
        <f t="shared" si="4"/>
        <v>0.36363636363636365</v>
      </c>
      <c r="L43">
        <f t="shared" si="0"/>
        <v>0.54</v>
      </c>
      <c r="M43" s="5">
        <f t="shared" si="1"/>
        <v>5.2631578947368418E-2</v>
      </c>
      <c r="N43" s="5">
        <f t="shared" si="2"/>
        <v>0.34272727272727277</v>
      </c>
      <c r="O43" s="5" t="str">
        <f t="shared" si="3"/>
        <v>At-Risk</v>
      </c>
      <c r="P43" s="5">
        <f>IF(Table1[[#This Row],[Health Status]]="Churned",0,1)</f>
        <v>1</v>
      </c>
      <c r="Q43" s="5" t="str">
        <f>IF(Table1[[#This Row],[Subscription_End_Date]]="", "Active", "Churned")</f>
        <v>Active</v>
      </c>
      <c r="R43" s="5">
        <f ca="1">IF(Table1[[#This Row],[Subscription_End_Date]]="", DATEDIF(Table1[[#This Row],[Subscription_Start_Date]], TODAY(), "m"),
DATEDIF(Table1[[#This Row],[Subscription_Start_Date]], Table1[[#This Row],[Subscription_End_Date]], "m"))</f>
        <v>29</v>
      </c>
      <c r="S43" s="2">
        <f ca="1">Table1[[#This Row],[Monthly_Spend]] * Table1[[#This Row],[Customer Lifetime(Months)]]</f>
        <v>290000</v>
      </c>
    </row>
    <row r="44" spans="1:19" x14ac:dyDescent="0.35">
      <c r="A44" t="s">
        <v>62</v>
      </c>
      <c r="B44" t="s">
        <v>27</v>
      </c>
      <c r="C44" s="1">
        <v>45483</v>
      </c>
      <c r="E44" t="s">
        <v>23</v>
      </c>
      <c r="F44" s="2">
        <v>100000</v>
      </c>
      <c r="G44">
        <v>19</v>
      </c>
      <c r="H44">
        <v>85</v>
      </c>
      <c r="I44" t="s">
        <v>12</v>
      </c>
      <c r="J44">
        <f>IF(Table1[[#This Row],[Status]]="Churned",1,0)</f>
        <v>0</v>
      </c>
      <c r="K44">
        <f t="shared" si="4"/>
        <v>0.84848484848484851</v>
      </c>
      <c r="L44">
        <f t="shared" si="0"/>
        <v>0.62</v>
      </c>
      <c r="M44" s="5">
        <f t="shared" si="1"/>
        <v>1</v>
      </c>
      <c r="N44" s="5">
        <f t="shared" si="2"/>
        <v>0.47969696969696973</v>
      </c>
      <c r="O44" s="5" t="str">
        <f t="shared" si="3"/>
        <v>Healthy</v>
      </c>
      <c r="P44" s="5">
        <f>IF(Table1[[#This Row],[Health Status]]="Churned",0,1)</f>
        <v>1</v>
      </c>
      <c r="Q44" s="5" t="str">
        <f>IF(Table1[[#This Row],[Subscription_End_Date]]="", "Active", "Churned")</f>
        <v>Active</v>
      </c>
      <c r="R44" s="5">
        <f ca="1">IF(Table1[[#This Row],[Subscription_End_Date]]="", DATEDIF(Table1[[#This Row],[Subscription_Start_Date]], TODAY(), "m"),
DATEDIF(Table1[[#This Row],[Subscription_Start_Date]], Table1[[#This Row],[Subscription_End_Date]], "m"))</f>
        <v>15</v>
      </c>
      <c r="S44" s="2">
        <f ca="1">Table1[[#This Row],[Monthly_Spend]] * Table1[[#This Row],[Customer Lifetime(Months)]]</f>
        <v>1500000</v>
      </c>
    </row>
    <row r="45" spans="1:19" x14ac:dyDescent="0.35">
      <c r="A45" t="s">
        <v>63</v>
      </c>
      <c r="B45" t="s">
        <v>10</v>
      </c>
      <c r="C45" s="1">
        <v>45197</v>
      </c>
      <c r="E45" t="s">
        <v>11</v>
      </c>
      <c r="F45" s="2">
        <v>100000</v>
      </c>
      <c r="G45">
        <v>9</v>
      </c>
      <c r="H45">
        <v>35</v>
      </c>
      <c r="I45" t="s">
        <v>12</v>
      </c>
      <c r="J45">
        <f>IF(Table1[[#This Row],[Status]]="Churned",1,0)</f>
        <v>0</v>
      </c>
      <c r="K45">
        <f t="shared" si="4"/>
        <v>0.34343434343434343</v>
      </c>
      <c r="L45">
        <f t="shared" si="0"/>
        <v>0.82000000000000006</v>
      </c>
      <c r="M45" s="5">
        <f t="shared" si="1"/>
        <v>1</v>
      </c>
      <c r="N45" s="5">
        <f t="shared" si="2"/>
        <v>0.47868686868686872</v>
      </c>
      <c r="O45" s="5" t="str">
        <f t="shared" si="3"/>
        <v>Healthy</v>
      </c>
      <c r="P45" s="5">
        <f>IF(Table1[[#This Row],[Health Status]]="Churned",0,1)</f>
        <v>1</v>
      </c>
      <c r="Q45" s="5" t="str">
        <f>IF(Table1[[#This Row],[Subscription_End_Date]]="", "Active", "Churned")</f>
        <v>Active</v>
      </c>
      <c r="R45" s="5">
        <f ca="1">IF(Table1[[#This Row],[Subscription_End_Date]]="", DATEDIF(Table1[[#This Row],[Subscription_Start_Date]], TODAY(), "m"),
DATEDIF(Table1[[#This Row],[Subscription_Start_Date]], Table1[[#This Row],[Subscription_End_Date]], "m"))</f>
        <v>25</v>
      </c>
      <c r="S45" s="2">
        <f ca="1">Table1[[#This Row],[Monthly_Spend]] * Table1[[#This Row],[Customer Lifetime(Months)]]</f>
        <v>2500000</v>
      </c>
    </row>
    <row r="46" spans="1:19" x14ac:dyDescent="0.35">
      <c r="A46" t="s">
        <v>64</v>
      </c>
      <c r="B46" t="s">
        <v>19</v>
      </c>
      <c r="C46" s="1">
        <v>45142</v>
      </c>
      <c r="E46" t="s">
        <v>16</v>
      </c>
      <c r="F46" s="2">
        <v>20000</v>
      </c>
      <c r="G46">
        <v>32</v>
      </c>
      <c r="H46">
        <v>63</v>
      </c>
      <c r="I46" t="s">
        <v>12</v>
      </c>
      <c r="J46">
        <f>IF(Table1[[#This Row],[Status]]="Churned",1,0)</f>
        <v>0</v>
      </c>
      <c r="K46">
        <f t="shared" si="4"/>
        <v>0.6262626262626263</v>
      </c>
      <c r="L46">
        <f t="shared" si="0"/>
        <v>0.36</v>
      </c>
      <c r="M46" s="5">
        <f t="shared" si="1"/>
        <v>0.15789473684210525</v>
      </c>
      <c r="N46" s="5">
        <f t="shared" si="2"/>
        <v>0.30525252525252522</v>
      </c>
      <c r="O46" s="5" t="str">
        <f t="shared" si="3"/>
        <v>At-Risk</v>
      </c>
      <c r="P46" s="5">
        <f>IF(Table1[[#This Row],[Health Status]]="Churned",0,1)</f>
        <v>1</v>
      </c>
      <c r="Q46" s="5" t="str">
        <f>IF(Table1[[#This Row],[Subscription_End_Date]]="", "Active", "Churned")</f>
        <v>Active</v>
      </c>
      <c r="R46" s="5">
        <f ca="1">IF(Table1[[#This Row],[Subscription_End_Date]]="", DATEDIF(Table1[[#This Row],[Subscription_Start_Date]], TODAY(), "m"),
DATEDIF(Table1[[#This Row],[Subscription_Start_Date]], Table1[[#This Row],[Subscription_End_Date]], "m"))</f>
        <v>26</v>
      </c>
      <c r="S46" s="2">
        <f ca="1">Table1[[#This Row],[Monthly_Spend]] * Table1[[#This Row],[Customer Lifetime(Months)]]</f>
        <v>520000</v>
      </c>
    </row>
    <row r="47" spans="1:19" x14ac:dyDescent="0.35">
      <c r="A47" t="s">
        <v>65</v>
      </c>
      <c r="B47" t="s">
        <v>19</v>
      </c>
      <c r="C47" s="1">
        <v>45021</v>
      </c>
      <c r="E47" t="s">
        <v>11</v>
      </c>
      <c r="F47" s="2">
        <v>5000</v>
      </c>
      <c r="G47">
        <v>0</v>
      </c>
      <c r="H47">
        <v>43</v>
      </c>
      <c r="I47" t="s">
        <v>17</v>
      </c>
      <c r="J47">
        <f>IF(Table1[[#This Row],[Status]]="Churned",1,0)</f>
        <v>0</v>
      </c>
      <c r="K47">
        <f t="shared" si="4"/>
        <v>0.42424242424242425</v>
      </c>
      <c r="L47">
        <f t="shared" si="0"/>
        <v>1</v>
      </c>
      <c r="M47" s="5">
        <f t="shared" si="1"/>
        <v>0</v>
      </c>
      <c r="N47" s="5">
        <f t="shared" si="2"/>
        <v>0.58484848484848484</v>
      </c>
      <c r="O47" s="5" t="str">
        <f t="shared" si="3"/>
        <v>At-Risk</v>
      </c>
      <c r="P47" s="5">
        <f>IF(Table1[[#This Row],[Health Status]]="Churned",0,1)</f>
        <v>1</v>
      </c>
      <c r="Q47" s="5" t="str">
        <f>IF(Table1[[#This Row],[Subscription_End_Date]]="", "Active", "Churned")</f>
        <v>Active</v>
      </c>
      <c r="R47" s="5">
        <f ca="1">IF(Table1[[#This Row],[Subscription_End_Date]]="", DATEDIF(Table1[[#This Row],[Subscription_Start_Date]], TODAY(), "m"),
DATEDIF(Table1[[#This Row],[Subscription_Start_Date]], Table1[[#This Row],[Subscription_End_Date]], "m"))</f>
        <v>30</v>
      </c>
      <c r="S47" s="2">
        <f ca="1">Table1[[#This Row],[Monthly_Spend]] * Table1[[#This Row],[Customer Lifetime(Months)]]</f>
        <v>150000</v>
      </c>
    </row>
    <row r="48" spans="1:19" x14ac:dyDescent="0.35">
      <c r="A48" t="s">
        <v>66</v>
      </c>
      <c r="B48" t="s">
        <v>27</v>
      </c>
      <c r="C48" s="1">
        <v>45195</v>
      </c>
      <c r="D48" s="1">
        <v>45677</v>
      </c>
      <c r="E48" t="s">
        <v>16</v>
      </c>
      <c r="F48" s="2">
        <v>100000</v>
      </c>
      <c r="G48">
        <v>45</v>
      </c>
      <c r="H48">
        <v>55</v>
      </c>
      <c r="I48" t="s">
        <v>28</v>
      </c>
      <c r="J48">
        <f>IF(Table1[[#This Row],[Status]]="Churned",1,0)</f>
        <v>1</v>
      </c>
      <c r="K48">
        <f t="shared" si="4"/>
        <v>0.54545454545454541</v>
      </c>
      <c r="L48">
        <f t="shared" si="0"/>
        <v>9.9999999999999978E-2</v>
      </c>
      <c r="M48" s="5">
        <f t="shared" si="1"/>
        <v>1</v>
      </c>
      <c r="N48" s="5">
        <f t="shared" si="2"/>
        <v>0.45909090909090905</v>
      </c>
      <c r="O48" s="5" t="str">
        <f t="shared" si="3"/>
        <v>Churned</v>
      </c>
      <c r="P48" s="5">
        <f>IF(Table1[[#This Row],[Health Status]]="Churned",0,1)</f>
        <v>0</v>
      </c>
      <c r="Q48" s="5" t="str">
        <f>IF(Table1[[#This Row],[Subscription_End_Date]]="", "Active", "Churned")</f>
        <v>Churned</v>
      </c>
      <c r="R48" s="5">
        <f ca="1">IF(Table1[[#This Row],[Subscription_End_Date]]="", DATEDIF(Table1[[#This Row],[Subscription_Start_Date]], TODAY(), "m"),
DATEDIF(Table1[[#This Row],[Subscription_Start_Date]], Table1[[#This Row],[Subscription_End_Date]], "m"))</f>
        <v>15</v>
      </c>
      <c r="S48" s="2">
        <f ca="1">Table1[[#This Row],[Monthly_Spend]] * Table1[[#This Row],[Customer Lifetime(Months)]]</f>
        <v>1500000</v>
      </c>
    </row>
    <row r="49" spans="1:19" x14ac:dyDescent="0.35">
      <c r="A49" t="s">
        <v>67</v>
      </c>
      <c r="B49" t="s">
        <v>14</v>
      </c>
      <c r="C49" s="1">
        <v>45041</v>
      </c>
      <c r="E49" t="s">
        <v>11</v>
      </c>
      <c r="F49" s="2">
        <v>100000</v>
      </c>
      <c r="G49">
        <v>2</v>
      </c>
      <c r="H49">
        <v>48</v>
      </c>
      <c r="I49" t="s">
        <v>12</v>
      </c>
      <c r="J49">
        <f>IF(Table1[[#This Row],[Status]]="Churned",1,0)</f>
        <v>0</v>
      </c>
      <c r="K49">
        <f t="shared" si="4"/>
        <v>0.47474747474747475</v>
      </c>
      <c r="L49">
        <f t="shared" si="0"/>
        <v>0.96</v>
      </c>
      <c r="M49" s="5">
        <f t="shared" si="1"/>
        <v>1</v>
      </c>
      <c r="N49" s="5">
        <f t="shared" si="2"/>
        <v>0.57494949494949488</v>
      </c>
      <c r="O49" s="5" t="str">
        <f t="shared" si="3"/>
        <v>Healthy</v>
      </c>
      <c r="P49" s="5">
        <f>IF(Table1[[#This Row],[Health Status]]="Churned",0,1)</f>
        <v>1</v>
      </c>
      <c r="Q49" s="5" t="str">
        <f>IF(Table1[[#This Row],[Subscription_End_Date]]="", "Active", "Churned")</f>
        <v>Active</v>
      </c>
      <c r="R49" s="5">
        <f ca="1">IF(Table1[[#This Row],[Subscription_End_Date]]="", DATEDIF(Table1[[#This Row],[Subscription_Start_Date]], TODAY(), "m"),
DATEDIF(Table1[[#This Row],[Subscription_Start_Date]], Table1[[#This Row],[Subscription_End_Date]], "m"))</f>
        <v>30</v>
      </c>
      <c r="S49" s="2">
        <f ca="1">Table1[[#This Row],[Monthly_Spend]] * Table1[[#This Row],[Customer Lifetime(Months)]]</f>
        <v>3000000</v>
      </c>
    </row>
    <row r="50" spans="1:19" x14ac:dyDescent="0.35">
      <c r="A50" t="s">
        <v>68</v>
      </c>
      <c r="B50" t="s">
        <v>14</v>
      </c>
      <c r="C50" s="1">
        <v>45078</v>
      </c>
      <c r="E50" t="s">
        <v>16</v>
      </c>
      <c r="F50" s="2">
        <v>20000</v>
      </c>
      <c r="G50">
        <v>23</v>
      </c>
      <c r="H50">
        <v>6</v>
      </c>
      <c r="I50" t="s">
        <v>12</v>
      </c>
      <c r="J50">
        <f>IF(Table1[[#This Row],[Status]]="Churned",1,0)</f>
        <v>0</v>
      </c>
      <c r="K50">
        <f t="shared" si="4"/>
        <v>5.0505050505050504E-2</v>
      </c>
      <c r="L50">
        <f t="shared" si="0"/>
        <v>0.54</v>
      </c>
      <c r="M50" s="5">
        <f t="shared" si="1"/>
        <v>0.15789473684210525</v>
      </c>
      <c r="N50" s="5">
        <f t="shared" si="2"/>
        <v>0.28010101010101013</v>
      </c>
      <c r="O50" s="5" t="str">
        <f t="shared" si="3"/>
        <v>At-Risk</v>
      </c>
      <c r="P50" s="5">
        <f>IF(Table1[[#This Row],[Health Status]]="Churned",0,1)</f>
        <v>1</v>
      </c>
      <c r="Q50" s="5" t="str">
        <f>IF(Table1[[#This Row],[Subscription_End_Date]]="", "Active", "Churned")</f>
        <v>Active</v>
      </c>
      <c r="R50" s="5">
        <f ca="1">IF(Table1[[#This Row],[Subscription_End_Date]]="", DATEDIF(Table1[[#This Row],[Subscription_Start_Date]], TODAY(), "m"),
DATEDIF(Table1[[#This Row],[Subscription_Start_Date]], Table1[[#This Row],[Subscription_End_Date]], "m"))</f>
        <v>28</v>
      </c>
      <c r="S50" s="2">
        <f ca="1">Table1[[#This Row],[Monthly_Spend]] * Table1[[#This Row],[Customer Lifetime(Months)]]</f>
        <v>560000</v>
      </c>
    </row>
    <row r="51" spans="1:19" x14ac:dyDescent="0.35">
      <c r="A51" t="s">
        <v>69</v>
      </c>
      <c r="B51" t="s">
        <v>19</v>
      </c>
      <c r="C51" s="1">
        <v>45625</v>
      </c>
      <c r="E51" t="s">
        <v>11</v>
      </c>
      <c r="F51" s="2">
        <v>20000</v>
      </c>
      <c r="G51">
        <v>49</v>
      </c>
      <c r="H51">
        <v>72</v>
      </c>
      <c r="I51" t="s">
        <v>12</v>
      </c>
      <c r="J51">
        <f>IF(Table1[[#This Row],[Status]]="Churned",1,0)</f>
        <v>0</v>
      </c>
      <c r="K51">
        <f t="shared" si="4"/>
        <v>0.71717171717171713</v>
      </c>
      <c r="L51">
        <f t="shared" si="0"/>
        <v>2.0000000000000018E-2</v>
      </c>
      <c r="M51" s="5">
        <f t="shared" si="1"/>
        <v>0.15789473684210525</v>
      </c>
      <c r="N51" s="5">
        <f t="shared" si="2"/>
        <v>0.15343434343434345</v>
      </c>
      <c r="O51" s="5" t="str">
        <f t="shared" si="3"/>
        <v>At-Risk</v>
      </c>
      <c r="P51" s="5">
        <f>IF(Table1[[#This Row],[Health Status]]="Churned",0,1)</f>
        <v>1</v>
      </c>
      <c r="Q51" s="5" t="str">
        <f>IF(Table1[[#This Row],[Subscription_End_Date]]="", "Active", "Churned")</f>
        <v>Active</v>
      </c>
      <c r="R51" s="5">
        <f ca="1">IF(Table1[[#This Row],[Subscription_End_Date]]="", DATEDIF(Table1[[#This Row],[Subscription_Start_Date]], TODAY(), "m"),
DATEDIF(Table1[[#This Row],[Subscription_Start_Date]], Table1[[#This Row],[Subscription_End_Date]], "m"))</f>
        <v>11</v>
      </c>
      <c r="S51" s="2">
        <f ca="1">Table1[[#This Row],[Monthly_Spend]] * Table1[[#This Row],[Customer Lifetime(Months)]]</f>
        <v>220000</v>
      </c>
    </row>
    <row r="52" spans="1:19" x14ac:dyDescent="0.35">
      <c r="A52" t="s">
        <v>70</v>
      </c>
      <c r="B52" t="s">
        <v>31</v>
      </c>
      <c r="C52" s="1">
        <v>45085</v>
      </c>
      <c r="E52" t="s">
        <v>16</v>
      </c>
      <c r="F52" s="2">
        <v>10000</v>
      </c>
      <c r="G52">
        <v>11</v>
      </c>
      <c r="H52">
        <v>53</v>
      </c>
      <c r="I52" t="s">
        <v>12</v>
      </c>
      <c r="J52">
        <f>IF(Table1[[#This Row],[Status]]="Churned",1,0)</f>
        <v>0</v>
      </c>
      <c r="K52">
        <f t="shared" si="4"/>
        <v>0.5252525252525253</v>
      </c>
      <c r="L52">
        <f t="shared" si="0"/>
        <v>0.78</v>
      </c>
      <c r="M52" s="5">
        <f t="shared" si="1"/>
        <v>5.2631578947368418E-2</v>
      </c>
      <c r="N52" s="5">
        <f t="shared" si="2"/>
        <v>0.49505050505050507</v>
      </c>
      <c r="O52" s="5" t="str">
        <f t="shared" si="3"/>
        <v>At-Risk</v>
      </c>
      <c r="P52" s="5">
        <f>IF(Table1[[#This Row],[Health Status]]="Churned",0,1)</f>
        <v>1</v>
      </c>
      <c r="Q52" s="5" t="str">
        <f>IF(Table1[[#This Row],[Subscription_End_Date]]="", "Active", "Churned")</f>
        <v>Active</v>
      </c>
      <c r="R52" s="5">
        <f ca="1">IF(Table1[[#This Row],[Subscription_End_Date]]="", DATEDIF(Table1[[#This Row],[Subscription_Start_Date]], TODAY(), "m"),
DATEDIF(Table1[[#This Row],[Subscription_Start_Date]], Table1[[#This Row],[Subscription_End_Date]], "m"))</f>
        <v>28</v>
      </c>
      <c r="S52" s="2">
        <f ca="1">Table1[[#This Row],[Monthly_Spend]] * Table1[[#This Row],[Customer Lifetime(Months)]]</f>
        <v>280000</v>
      </c>
    </row>
    <row r="53" spans="1:19" x14ac:dyDescent="0.35">
      <c r="A53" t="s">
        <v>71</v>
      </c>
      <c r="B53" t="s">
        <v>10</v>
      </c>
      <c r="C53" s="1">
        <v>45267</v>
      </c>
      <c r="E53" t="s">
        <v>11</v>
      </c>
      <c r="F53" s="2">
        <v>10000</v>
      </c>
      <c r="G53">
        <v>17</v>
      </c>
      <c r="H53">
        <v>21</v>
      </c>
      <c r="I53" t="s">
        <v>17</v>
      </c>
      <c r="J53">
        <f>IF(Table1[[#This Row],[Status]]="Churned",1,0)</f>
        <v>0</v>
      </c>
      <c r="K53">
        <f t="shared" si="4"/>
        <v>0.20202020202020202</v>
      </c>
      <c r="L53">
        <f t="shared" si="0"/>
        <v>0.65999999999999992</v>
      </c>
      <c r="M53" s="5">
        <f t="shared" si="1"/>
        <v>5.2631578947368418E-2</v>
      </c>
      <c r="N53" s="5">
        <f t="shared" si="2"/>
        <v>0.37040404040404035</v>
      </c>
      <c r="O53" s="5" t="str">
        <f t="shared" si="3"/>
        <v>At-Risk</v>
      </c>
      <c r="P53" s="5">
        <f>IF(Table1[[#This Row],[Health Status]]="Churned",0,1)</f>
        <v>1</v>
      </c>
      <c r="Q53" s="5" t="str">
        <f>IF(Table1[[#This Row],[Subscription_End_Date]]="", "Active", "Churned")</f>
        <v>Active</v>
      </c>
      <c r="R53" s="5">
        <f ca="1">IF(Table1[[#This Row],[Subscription_End_Date]]="", DATEDIF(Table1[[#This Row],[Subscription_Start_Date]], TODAY(), "m"),
DATEDIF(Table1[[#This Row],[Subscription_Start_Date]], Table1[[#This Row],[Subscription_End_Date]], "m"))</f>
        <v>22</v>
      </c>
      <c r="S53" s="2">
        <f ca="1">Table1[[#This Row],[Monthly_Spend]] * Table1[[#This Row],[Customer Lifetime(Months)]]</f>
        <v>220000</v>
      </c>
    </row>
    <row r="54" spans="1:19" x14ac:dyDescent="0.35">
      <c r="A54" t="s">
        <v>72</v>
      </c>
      <c r="B54" t="s">
        <v>10</v>
      </c>
      <c r="C54" s="1">
        <v>44966</v>
      </c>
      <c r="E54" t="s">
        <v>23</v>
      </c>
      <c r="F54" s="2">
        <v>10000</v>
      </c>
      <c r="G54">
        <v>29</v>
      </c>
      <c r="H54">
        <v>45</v>
      </c>
      <c r="I54" t="s">
        <v>12</v>
      </c>
      <c r="J54">
        <f>IF(Table1[[#This Row],[Status]]="Churned",1,0)</f>
        <v>0</v>
      </c>
      <c r="K54">
        <f t="shared" si="4"/>
        <v>0.44444444444444442</v>
      </c>
      <c r="L54">
        <f t="shared" si="0"/>
        <v>0.42000000000000004</v>
      </c>
      <c r="M54" s="5">
        <f t="shared" si="1"/>
        <v>5.2631578947368418E-2</v>
      </c>
      <c r="N54" s="5">
        <f t="shared" si="2"/>
        <v>0.29888888888888893</v>
      </c>
      <c r="O54" s="5" t="str">
        <f t="shared" si="3"/>
        <v>At-Risk</v>
      </c>
      <c r="P54" s="5">
        <f>IF(Table1[[#This Row],[Health Status]]="Churned",0,1)</f>
        <v>1</v>
      </c>
      <c r="Q54" s="5" t="str">
        <f>IF(Table1[[#This Row],[Subscription_End_Date]]="", "Active", "Churned")</f>
        <v>Active</v>
      </c>
      <c r="R54" s="5">
        <f ca="1">IF(Table1[[#This Row],[Subscription_End_Date]]="", DATEDIF(Table1[[#This Row],[Subscription_Start_Date]], TODAY(), "m"),
DATEDIF(Table1[[#This Row],[Subscription_Start_Date]], Table1[[#This Row],[Subscription_End_Date]], "m"))</f>
        <v>32</v>
      </c>
      <c r="S54" s="2">
        <f ca="1">Table1[[#This Row],[Monthly_Spend]] * Table1[[#This Row],[Customer Lifetime(Months)]]</f>
        <v>320000</v>
      </c>
    </row>
    <row r="55" spans="1:19" x14ac:dyDescent="0.35">
      <c r="A55" t="s">
        <v>73</v>
      </c>
      <c r="B55" t="s">
        <v>19</v>
      </c>
      <c r="C55" s="1">
        <v>45155</v>
      </c>
      <c r="D55" s="1">
        <v>45382</v>
      </c>
      <c r="E55" t="s">
        <v>11</v>
      </c>
      <c r="F55" s="2">
        <v>50000</v>
      </c>
      <c r="G55">
        <v>21</v>
      </c>
      <c r="H55">
        <v>36</v>
      </c>
      <c r="I55" t="s">
        <v>28</v>
      </c>
      <c r="J55">
        <f>IF(Table1[[#This Row],[Status]]="Churned",1,0)</f>
        <v>1</v>
      </c>
      <c r="K55">
        <f t="shared" si="4"/>
        <v>0.35353535353535354</v>
      </c>
      <c r="L55">
        <f t="shared" si="0"/>
        <v>0.58000000000000007</v>
      </c>
      <c r="M55" s="5">
        <f t="shared" si="1"/>
        <v>0.47368421052631576</v>
      </c>
      <c r="N55" s="5">
        <f t="shared" si="2"/>
        <v>0.6607070707070708</v>
      </c>
      <c r="O55" s="5" t="str">
        <f t="shared" si="3"/>
        <v>Churned</v>
      </c>
      <c r="P55" s="5">
        <f>IF(Table1[[#This Row],[Health Status]]="Churned",0,1)</f>
        <v>0</v>
      </c>
      <c r="Q55" s="5" t="str">
        <f>IF(Table1[[#This Row],[Subscription_End_Date]]="", "Active", "Churned")</f>
        <v>Churned</v>
      </c>
      <c r="R55" s="5">
        <f ca="1">IF(Table1[[#This Row],[Subscription_End_Date]]="", DATEDIF(Table1[[#This Row],[Subscription_Start_Date]], TODAY(), "m"),
DATEDIF(Table1[[#This Row],[Subscription_Start_Date]], Table1[[#This Row],[Subscription_End_Date]], "m"))</f>
        <v>7</v>
      </c>
      <c r="S55" s="2">
        <f ca="1">Table1[[#This Row],[Monthly_Spend]] * Table1[[#This Row],[Customer Lifetime(Months)]]</f>
        <v>350000</v>
      </c>
    </row>
    <row r="56" spans="1:19" x14ac:dyDescent="0.35">
      <c r="A56" t="s">
        <v>74</v>
      </c>
      <c r="B56" t="s">
        <v>10</v>
      </c>
      <c r="C56" s="1">
        <v>45286</v>
      </c>
      <c r="E56" t="s">
        <v>23</v>
      </c>
      <c r="F56" s="2">
        <v>100000</v>
      </c>
      <c r="G56">
        <v>21</v>
      </c>
      <c r="H56">
        <v>4</v>
      </c>
      <c r="I56" t="s">
        <v>17</v>
      </c>
      <c r="J56">
        <f>IF(Table1[[#This Row],[Status]]="Churned",1,0)</f>
        <v>0</v>
      </c>
      <c r="K56">
        <f t="shared" si="4"/>
        <v>3.0303030303030304E-2</v>
      </c>
      <c r="L56">
        <f t="shared" si="0"/>
        <v>0.58000000000000007</v>
      </c>
      <c r="M56" s="5">
        <f t="shared" si="1"/>
        <v>1</v>
      </c>
      <c r="N56" s="5">
        <f t="shared" si="2"/>
        <v>0.29606060606060608</v>
      </c>
      <c r="O56" s="5" t="str">
        <f t="shared" si="3"/>
        <v>Healthy</v>
      </c>
      <c r="P56" s="5">
        <f>IF(Table1[[#This Row],[Health Status]]="Churned",0,1)</f>
        <v>1</v>
      </c>
      <c r="Q56" s="5" t="str">
        <f>IF(Table1[[#This Row],[Subscription_End_Date]]="", "Active", "Churned")</f>
        <v>Active</v>
      </c>
      <c r="R56" s="5">
        <f ca="1">IF(Table1[[#This Row],[Subscription_End_Date]]="", DATEDIF(Table1[[#This Row],[Subscription_Start_Date]], TODAY(), "m"),
DATEDIF(Table1[[#This Row],[Subscription_Start_Date]], Table1[[#This Row],[Subscription_End_Date]], "m"))</f>
        <v>22</v>
      </c>
      <c r="S56" s="2">
        <f ca="1">Table1[[#This Row],[Monthly_Spend]] * Table1[[#This Row],[Customer Lifetime(Months)]]</f>
        <v>2200000</v>
      </c>
    </row>
    <row r="57" spans="1:19" x14ac:dyDescent="0.35">
      <c r="A57" t="s">
        <v>75</v>
      </c>
      <c r="B57" t="s">
        <v>10</v>
      </c>
      <c r="C57" s="1">
        <v>45109</v>
      </c>
      <c r="E57" t="s">
        <v>23</v>
      </c>
      <c r="F57" s="2">
        <v>5000</v>
      </c>
      <c r="G57">
        <v>6</v>
      </c>
      <c r="H57">
        <v>77</v>
      </c>
      <c r="I57" t="s">
        <v>17</v>
      </c>
      <c r="J57">
        <f>IF(Table1[[#This Row],[Status]]="Churned",1,0)</f>
        <v>0</v>
      </c>
      <c r="K57">
        <f t="shared" si="4"/>
        <v>0.76767676767676762</v>
      </c>
      <c r="L57">
        <f t="shared" si="0"/>
        <v>0.88</v>
      </c>
      <c r="M57" s="5">
        <f t="shared" si="1"/>
        <v>0</v>
      </c>
      <c r="N57" s="5">
        <f t="shared" si="2"/>
        <v>0.59353535353535358</v>
      </c>
      <c r="O57" s="5" t="str">
        <f t="shared" si="3"/>
        <v>At-Risk</v>
      </c>
      <c r="P57" s="5">
        <f>IF(Table1[[#This Row],[Health Status]]="Churned",0,1)</f>
        <v>1</v>
      </c>
      <c r="Q57" s="5" t="str">
        <f>IF(Table1[[#This Row],[Subscription_End_Date]]="", "Active", "Churned")</f>
        <v>Active</v>
      </c>
      <c r="R57" s="5">
        <f ca="1">IF(Table1[[#This Row],[Subscription_End_Date]]="", DATEDIF(Table1[[#This Row],[Subscription_Start_Date]], TODAY(), "m"),
DATEDIF(Table1[[#This Row],[Subscription_Start_Date]], Table1[[#This Row],[Subscription_End_Date]], "m"))</f>
        <v>27</v>
      </c>
      <c r="S57" s="2">
        <f ca="1">Table1[[#This Row],[Monthly_Spend]] * Table1[[#This Row],[Customer Lifetime(Months)]]</f>
        <v>135000</v>
      </c>
    </row>
    <row r="58" spans="1:19" x14ac:dyDescent="0.35">
      <c r="A58" t="s">
        <v>76</v>
      </c>
      <c r="B58" t="s">
        <v>31</v>
      </c>
      <c r="C58" s="1">
        <v>45248</v>
      </c>
      <c r="E58" t="s">
        <v>23</v>
      </c>
      <c r="F58" s="2">
        <v>50000</v>
      </c>
      <c r="G58">
        <v>36</v>
      </c>
      <c r="H58">
        <v>25</v>
      </c>
      <c r="I58" t="s">
        <v>12</v>
      </c>
      <c r="J58">
        <f>IF(Table1[[#This Row],[Status]]="Churned",1,0)</f>
        <v>0</v>
      </c>
      <c r="K58">
        <f t="shared" si="4"/>
        <v>0.24242424242424243</v>
      </c>
      <c r="L58">
        <f t="shared" si="0"/>
        <v>0.28000000000000003</v>
      </c>
      <c r="M58" s="5">
        <f t="shared" si="1"/>
        <v>0.47368421052631576</v>
      </c>
      <c r="N58" s="5">
        <f t="shared" si="2"/>
        <v>0.18848484848484851</v>
      </c>
      <c r="O58" s="5" t="str">
        <f t="shared" si="3"/>
        <v>At-Risk</v>
      </c>
      <c r="P58" s="5">
        <f>IF(Table1[[#This Row],[Health Status]]="Churned",0,1)</f>
        <v>1</v>
      </c>
      <c r="Q58" s="5" t="str">
        <f>IF(Table1[[#This Row],[Subscription_End_Date]]="", "Active", "Churned")</f>
        <v>Active</v>
      </c>
      <c r="R58" s="5">
        <f ca="1">IF(Table1[[#This Row],[Subscription_End_Date]]="", DATEDIF(Table1[[#This Row],[Subscription_Start_Date]], TODAY(), "m"),
DATEDIF(Table1[[#This Row],[Subscription_Start_Date]], Table1[[#This Row],[Subscription_End_Date]], "m"))</f>
        <v>23</v>
      </c>
      <c r="S58" s="2">
        <f ca="1">Table1[[#This Row],[Monthly_Spend]] * Table1[[#This Row],[Customer Lifetime(Months)]]</f>
        <v>1150000</v>
      </c>
    </row>
    <row r="59" spans="1:19" x14ac:dyDescent="0.35">
      <c r="A59" t="s">
        <v>77</v>
      </c>
      <c r="B59" t="s">
        <v>19</v>
      </c>
      <c r="C59" s="1">
        <v>45652</v>
      </c>
      <c r="E59" t="s">
        <v>11</v>
      </c>
      <c r="F59" s="2">
        <v>20000</v>
      </c>
      <c r="G59">
        <v>27</v>
      </c>
      <c r="H59">
        <v>9</v>
      </c>
      <c r="I59" t="s">
        <v>12</v>
      </c>
      <c r="J59">
        <f>IF(Table1[[#This Row],[Status]]="Churned",1,0)</f>
        <v>0</v>
      </c>
      <c r="K59">
        <f t="shared" si="4"/>
        <v>8.0808080808080815E-2</v>
      </c>
      <c r="L59">
        <f t="shared" si="0"/>
        <v>0.45999999999999996</v>
      </c>
      <c r="M59" s="5">
        <f t="shared" si="1"/>
        <v>0.15789473684210525</v>
      </c>
      <c r="N59" s="5">
        <f t="shared" si="2"/>
        <v>0.24616161616161614</v>
      </c>
      <c r="O59" s="5" t="str">
        <f t="shared" si="3"/>
        <v>At-Risk</v>
      </c>
      <c r="P59" s="5">
        <f>IF(Table1[[#This Row],[Health Status]]="Churned",0,1)</f>
        <v>1</v>
      </c>
      <c r="Q59" s="5" t="str">
        <f>IF(Table1[[#This Row],[Subscription_End_Date]]="", "Active", "Churned")</f>
        <v>Active</v>
      </c>
      <c r="R59" s="5">
        <f ca="1">IF(Table1[[#This Row],[Subscription_End_Date]]="", DATEDIF(Table1[[#This Row],[Subscription_Start_Date]], TODAY(), "m"),
DATEDIF(Table1[[#This Row],[Subscription_Start_Date]], Table1[[#This Row],[Subscription_End_Date]], "m"))</f>
        <v>10</v>
      </c>
      <c r="S59" s="2">
        <f ca="1">Table1[[#This Row],[Monthly_Spend]] * Table1[[#This Row],[Customer Lifetime(Months)]]</f>
        <v>200000</v>
      </c>
    </row>
    <row r="60" spans="1:19" x14ac:dyDescent="0.35">
      <c r="A60" t="s">
        <v>78</v>
      </c>
      <c r="B60" t="s">
        <v>19</v>
      </c>
      <c r="C60" s="1">
        <v>45248</v>
      </c>
      <c r="E60" t="s">
        <v>16</v>
      </c>
      <c r="F60" s="2">
        <v>20000</v>
      </c>
      <c r="G60">
        <v>32</v>
      </c>
      <c r="H60">
        <v>40</v>
      </c>
      <c r="I60" t="s">
        <v>12</v>
      </c>
      <c r="J60">
        <f>IF(Table1[[#This Row],[Status]]="Churned",1,0)</f>
        <v>0</v>
      </c>
      <c r="K60">
        <f t="shared" si="4"/>
        <v>0.39393939393939392</v>
      </c>
      <c r="L60">
        <f t="shared" si="0"/>
        <v>0.36</v>
      </c>
      <c r="M60" s="5">
        <f t="shared" si="1"/>
        <v>0.15789473684210525</v>
      </c>
      <c r="N60" s="5">
        <f t="shared" si="2"/>
        <v>0.25878787878787879</v>
      </c>
      <c r="O60" s="5" t="str">
        <f t="shared" si="3"/>
        <v>At-Risk</v>
      </c>
      <c r="P60" s="5">
        <f>IF(Table1[[#This Row],[Health Status]]="Churned",0,1)</f>
        <v>1</v>
      </c>
      <c r="Q60" s="5" t="str">
        <f>IF(Table1[[#This Row],[Subscription_End_Date]]="", "Active", "Churned")</f>
        <v>Active</v>
      </c>
      <c r="R60" s="5">
        <f ca="1">IF(Table1[[#This Row],[Subscription_End_Date]]="", DATEDIF(Table1[[#This Row],[Subscription_Start_Date]], TODAY(), "m"),
DATEDIF(Table1[[#This Row],[Subscription_Start_Date]], Table1[[#This Row],[Subscription_End_Date]], "m"))</f>
        <v>23</v>
      </c>
      <c r="S60" s="2">
        <f ca="1">Table1[[#This Row],[Monthly_Spend]] * Table1[[#This Row],[Customer Lifetime(Months)]]</f>
        <v>460000</v>
      </c>
    </row>
    <row r="61" spans="1:19" x14ac:dyDescent="0.35">
      <c r="A61" t="s">
        <v>79</v>
      </c>
      <c r="B61" t="s">
        <v>31</v>
      </c>
      <c r="C61" s="1">
        <v>45339</v>
      </c>
      <c r="E61" t="s">
        <v>23</v>
      </c>
      <c r="F61" s="2">
        <v>10000</v>
      </c>
      <c r="G61">
        <v>26</v>
      </c>
      <c r="H61">
        <v>86</v>
      </c>
      <c r="I61" t="s">
        <v>12</v>
      </c>
      <c r="J61">
        <f>IF(Table1[[#This Row],[Status]]="Churned",1,0)</f>
        <v>0</v>
      </c>
      <c r="K61">
        <f t="shared" si="4"/>
        <v>0.85858585858585856</v>
      </c>
      <c r="L61">
        <f t="shared" si="0"/>
        <v>0.48</v>
      </c>
      <c r="M61" s="5">
        <f t="shared" si="1"/>
        <v>5.2631578947368418E-2</v>
      </c>
      <c r="N61" s="5">
        <f t="shared" si="2"/>
        <v>0.4117171717171717</v>
      </c>
      <c r="O61" s="5" t="str">
        <f t="shared" si="3"/>
        <v>At-Risk</v>
      </c>
      <c r="P61" s="5">
        <f>IF(Table1[[#This Row],[Health Status]]="Churned",0,1)</f>
        <v>1</v>
      </c>
      <c r="Q61" s="5" t="str">
        <f>IF(Table1[[#This Row],[Subscription_End_Date]]="", "Active", "Churned")</f>
        <v>Active</v>
      </c>
      <c r="R61" s="5">
        <f ca="1">IF(Table1[[#This Row],[Subscription_End_Date]]="", DATEDIF(Table1[[#This Row],[Subscription_Start_Date]], TODAY(), "m"),
DATEDIF(Table1[[#This Row],[Subscription_Start_Date]], Table1[[#This Row],[Subscription_End_Date]], "m"))</f>
        <v>20</v>
      </c>
      <c r="S61" s="2">
        <f ca="1">Table1[[#This Row],[Monthly_Spend]] * Table1[[#This Row],[Customer Lifetime(Months)]]</f>
        <v>200000</v>
      </c>
    </row>
    <row r="62" spans="1:19" x14ac:dyDescent="0.35">
      <c r="A62" t="s">
        <v>80</v>
      </c>
      <c r="B62" t="s">
        <v>31</v>
      </c>
      <c r="C62" s="1">
        <v>45105</v>
      </c>
      <c r="E62" t="s">
        <v>16</v>
      </c>
      <c r="F62" s="2">
        <v>50000</v>
      </c>
      <c r="G62">
        <v>35</v>
      </c>
      <c r="H62">
        <v>1</v>
      </c>
      <c r="I62" t="s">
        <v>17</v>
      </c>
      <c r="J62">
        <f>IF(Table1[[#This Row],[Status]]="Churned",1,0)</f>
        <v>0</v>
      </c>
      <c r="K62">
        <f t="shared" si="4"/>
        <v>0</v>
      </c>
      <c r="L62">
        <f t="shared" si="0"/>
        <v>0.30000000000000004</v>
      </c>
      <c r="M62" s="5">
        <f t="shared" si="1"/>
        <v>0.47368421052631576</v>
      </c>
      <c r="N62" s="5">
        <f t="shared" si="2"/>
        <v>0.15000000000000002</v>
      </c>
      <c r="O62" s="5" t="str">
        <f t="shared" si="3"/>
        <v>At-Risk</v>
      </c>
      <c r="P62" s="5">
        <f>IF(Table1[[#This Row],[Health Status]]="Churned",0,1)</f>
        <v>1</v>
      </c>
      <c r="Q62" s="5" t="str">
        <f>IF(Table1[[#This Row],[Subscription_End_Date]]="", "Active", "Churned")</f>
        <v>Active</v>
      </c>
      <c r="R62" s="5">
        <f ca="1">IF(Table1[[#This Row],[Subscription_End_Date]]="", DATEDIF(Table1[[#This Row],[Subscription_Start_Date]], TODAY(), "m"),
DATEDIF(Table1[[#This Row],[Subscription_Start_Date]], Table1[[#This Row],[Subscription_End_Date]], "m"))</f>
        <v>28</v>
      </c>
      <c r="S62" s="2">
        <f ca="1">Table1[[#This Row],[Monthly_Spend]] * Table1[[#This Row],[Customer Lifetime(Months)]]</f>
        <v>1400000</v>
      </c>
    </row>
    <row r="63" spans="1:19" x14ac:dyDescent="0.35">
      <c r="A63" t="s">
        <v>81</v>
      </c>
      <c r="B63" t="s">
        <v>19</v>
      </c>
      <c r="C63" s="1">
        <v>45142</v>
      </c>
      <c r="E63" t="s">
        <v>23</v>
      </c>
      <c r="F63" s="2">
        <v>50000</v>
      </c>
      <c r="G63">
        <v>28</v>
      </c>
      <c r="H63">
        <v>57</v>
      </c>
      <c r="I63" t="s">
        <v>17</v>
      </c>
      <c r="J63">
        <f>IF(Table1[[#This Row],[Status]]="Churned",1,0)</f>
        <v>0</v>
      </c>
      <c r="K63">
        <f t="shared" si="4"/>
        <v>0.56565656565656564</v>
      </c>
      <c r="L63">
        <f t="shared" si="0"/>
        <v>0.43999999999999995</v>
      </c>
      <c r="M63" s="5">
        <f t="shared" si="1"/>
        <v>0.47368421052631576</v>
      </c>
      <c r="N63" s="5">
        <f t="shared" si="2"/>
        <v>0.33313131313131311</v>
      </c>
      <c r="O63" s="5" t="str">
        <f t="shared" si="3"/>
        <v>At-Risk</v>
      </c>
      <c r="P63" s="5">
        <f>IF(Table1[[#This Row],[Health Status]]="Churned",0,1)</f>
        <v>1</v>
      </c>
      <c r="Q63" s="5" t="str">
        <f>IF(Table1[[#This Row],[Subscription_End_Date]]="", "Active", "Churned")</f>
        <v>Active</v>
      </c>
      <c r="R63" s="5">
        <f ca="1">IF(Table1[[#This Row],[Subscription_End_Date]]="", DATEDIF(Table1[[#This Row],[Subscription_Start_Date]], TODAY(), "m"),
DATEDIF(Table1[[#This Row],[Subscription_Start_Date]], Table1[[#This Row],[Subscription_End_Date]], "m"))</f>
        <v>26</v>
      </c>
      <c r="S63" s="2">
        <f ca="1">Table1[[#This Row],[Monthly_Spend]] * Table1[[#This Row],[Customer Lifetime(Months)]]</f>
        <v>1300000</v>
      </c>
    </row>
    <row r="64" spans="1:19" x14ac:dyDescent="0.35">
      <c r="A64" t="s">
        <v>82</v>
      </c>
      <c r="B64" t="s">
        <v>27</v>
      </c>
      <c r="C64" s="1">
        <v>45411</v>
      </c>
      <c r="E64" t="s">
        <v>16</v>
      </c>
      <c r="F64" s="2">
        <v>5000</v>
      </c>
      <c r="G64">
        <v>18</v>
      </c>
      <c r="H64">
        <v>66</v>
      </c>
      <c r="I64" t="s">
        <v>12</v>
      </c>
      <c r="J64">
        <f>IF(Table1[[#This Row],[Status]]="Churned",1,0)</f>
        <v>0</v>
      </c>
      <c r="K64">
        <f t="shared" si="4"/>
        <v>0.65656565656565657</v>
      </c>
      <c r="L64">
        <f t="shared" si="0"/>
        <v>0.64</v>
      </c>
      <c r="M64" s="5">
        <f t="shared" si="1"/>
        <v>0</v>
      </c>
      <c r="N64" s="5">
        <f t="shared" si="2"/>
        <v>0.45131313131313133</v>
      </c>
      <c r="O64" s="5" t="str">
        <f t="shared" si="3"/>
        <v>At-Risk</v>
      </c>
      <c r="P64" s="5">
        <f>IF(Table1[[#This Row],[Health Status]]="Churned",0,1)</f>
        <v>1</v>
      </c>
      <c r="Q64" s="5" t="str">
        <f>IF(Table1[[#This Row],[Subscription_End_Date]]="", "Active", "Churned")</f>
        <v>Active</v>
      </c>
      <c r="R64" s="5">
        <f ca="1">IF(Table1[[#This Row],[Subscription_End_Date]]="", DATEDIF(Table1[[#This Row],[Subscription_Start_Date]], TODAY(), "m"),
DATEDIF(Table1[[#This Row],[Subscription_Start_Date]], Table1[[#This Row],[Subscription_End_Date]], "m"))</f>
        <v>18</v>
      </c>
      <c r="S64" s="2">
        <f ca="1">Table1[[#This Row],[Monthly_Spend]] * Table1[[#This Row],[Customer Lifetime(Months)]]</f>
        <v>90000</v>
      </c>
    </row>
    <row r="65" spans="1:19" x14ac:dyDescent="0.35">
      <c r="A65" t="s">
        <v>83</v>
      </c>
      <c r="B65" t="s">
        <v>14</v>
      </c>
      <c r="C65" s="1">
        <v>45022</v>
      </c>
      <c r="E65" t="s">
        <v>23</v>
      </c>
      <c r="F65" s="2">
        <v>20000</v>
      </c>
      <c r="G65">
        <v>14</v>
      </c>
      <c r="H65">
        <v>26</v>
      </c>
      <c r="I65" t="s">
        <v>12</v>
      </c>
      <c r="J65">
        <f>IF(Table1[[#This Row],[Status]]="Churned",1,0)</f>
        <v>0</v>
      </c>
      <c r="K65">
        <f t="shared" si="4"/>
        <v>0.25252525252525254</v>
      </c>
      <c r="L65">
        <f t="shared" si="0"/>
        <v>0.72</v>
      </c>
      <c r="M65" s="5">
        <f t="shared" si="1"/>
        <v>0.15789473684210525</v>
      </c>
      <c r="N65" s="5">
        <f t="shared" si="2"/>
        <v>0.41050505050505048</v>
      </c>
      <c r="O65" s="5" t="str">
        <f t="shared" si="3"/>
        <v>At-Risk</v>
      </c>
      <c r="P65" s="5">
        <f>IF(Table1[[#This Row],[Health Status]]="Churned",0,1)</f>
        <v>1</v>
      </c>
      <c r="Q65" s="5" t="str">
        <f>IF(Table1[[#This Row],[Subscription_End_Date]]="", "Active", "Churned")</f>
        <v>Active</v>
      </c>
      <c r="R65" s="5">
        <f ca="1">IF(Table1[[#This Row],[Subscription_End_Date]]="", DATEDIF(Table1[[#This Row],[Subscription_Start_Date]], TODAY(), "m"),
DATEDIF(Table1[[#This Row],[Subscription_Start_Date]], Table1[[#This Row],[Subscription_End_Date]], "m"))</f>
        <v>30</v>
      </c>
      <c r="S65" s="2">
        <f ca="1">Table1[[#This Row],[Monthly_Spend]] * Table1[[#This Row],[Customer Lifetime(Months)]]</f>
        <v>600000</v>
      </c>
    </row>
    <row r="66" spans="1:19" x14ac:dyDescent="0.35">
      <c r="A66" t="s">
        <v>84</v>
      </c>
      <c r="B66" t="s">
        <v>27</v>
      </c>
      <c r="C66" s="1">
        <v>44974</v>
      </c>
      <c r="E66" t="s">
        <v>11</v>
      </c>
      <c r="F66" s="2">
        <v>100000</v>
      </c>
      <c r="G66">
        <v>49</v>
      </c>
      <c r="H66">
        <v>10</v>
      </c>
      <c r="I66" t="s">
        <v>17</v>
      </c>
      <c r="J66">
        <f>IF(Table1[[#This Row],[Status]]="Churned",1,0)</f>
        <v>0</v>
      </c>
      <c r="K66">
        <f t="shared" ref="K66:K129" si="5">(H66-MIN($H$2:$H$501))/(MAX($H$2:$H$501)-MIN($H$2:$H$501))</f>
        <v>9.0909090909090912E-2</v>
      </c>
      <c r="L66">
        <f t="shared" ref="L66:L129" si="6">1 - ((G66-MIN($G$2:$G$501))/(MAX($G$2:$G$501)-MIN($G$2:$G$501)))</f>
        <v>2.0000000000000018E-2</v>
      </c>
      <c r="M66" s="5">
        <f t="shared" ref="M66:M129" si="7">(F66-MIN($F$2:$F$501))/(MAX($F$2:$F$501)-MIN($F$2:$F$501))</f>
        <v>1</v>
      </c>
      <c r="N66" s="5">
        <f t="shared" ref="N66:N129" si="8">(J66*0.3) + (K66*0.2) + (L66*0.5)</f>
        <v>2.8181818181818193E-2</v>
      </c>
      <c r="O66" s="5" t="str">
        <f t="shared" ref="O66:O129" si="9">IF(I66="Churned", "Churned", IF(M66&gt;=0.6, "Healthy", "At-Risk"))</f>
        <v>Healthy</v>
      </c>
      <c r="P66" s="5">
        <f>IF(Table1[[#This Row],[Health Status]]="Churned",0,1)</f>
        <v>1</v>
      </c>
      <c r="Q66" s="5" t="str">
        <f>IF(Table1[[#This Row],[Subscription_End_Date]]="", "Active", "Churned")</f>
        <v>Active</v>
      </c>
      <c r="R66" s="5">
        <f ca="1">IF(Table1[[#This Row],[Subscription_End_Date]]="", DATEDIF(Table1[[#This Row],[Subscription_Start_Date]], TODAY(), "m"),
DATEDIF(Table1[[#This Row],[Subscription_Start_Date]], Table1[[#This Row],[Subscription_End_Date]], "m"))</f>
        <v>32</v>
      </c>
      <c r="S66" s="2">
        <f ca="1">Table1[[#This Row],[Monthly_Spend]] * Table1[[#This Row],[Customer Lifetime(Months)]]</f>
        <v>3200000</v>
      </c>
    </row>
    <row r="67" spans="1:19" x14ac:dyDescent="0.35">
      <c r="A67" t="s">
        <v>85</v>
      </c>
      <c r="B67" t="s">
        <v>31</v>
      </c>
      <c r="C67" s="1">
        <v>45571</v>
      </c>
      <c r="E67" t="s">
        <v>23</v>
      </c>
      <c r="F67" s="2">
        <v>50000</v>
      </c>
      <c r="G67">
        <v>25</v>
      </c>
      <c r="H67">
        <v>32</v>
      </c>
      <c r="I67" t="s">
        <v>17</v>
      </c>
      <c r="J67">
        <f>IF(Table1[[#This Row],[Status]]="Churned",1,0)</f>
        <v>0</v>
      </c>
      <c r="K67">
        <f t="shared" si="5"/>
        <v>0.31313131313131315</v>
      </c>
      <c r="L67">
        <f t="shared" si="6"/>
        <v>0.5</v>
      </c>
      <c r="M67" s="5">
        <f t="shared" si="7"/>
        <v>0.47368421052631576</v>
      </c>
      <c r="N67" s="5">
        <f t="shared" si="8"/>
        <v>0.31262626262626264</v>
      </c>
      <c r="O67" s="5" t="str">
        <f t="shared" si="9"/>
        <v>At-Risk</v>
      </c>
      <c r="P67" s="5">
        <f>IF(Table1[[#This Row],[Health Status]]="Churned",0,1)</f>
        <v>1</v>
      </c>
      <c r="Q67" s="5" t="str">
        <f>IF(Table1[[#This Row],[Subscription_End_Date]]="", "Active", "Churned")</f>
        <v>Active</v>
      </c>
      <c r="R67" s="5">
        <f ca="1">IF(Table1[[#This Row],[Subscription_End_Date]]="", DATEDIF(Table1[[#This Row],[Subscription_Start_Date]], TODAY(), "m"),
DATEDIF(Table1[[#This Row],[Subscription_Start_Date]], Table1[[#This Row],[Subscription_End_Date]], "m"))</f>
        <v>12</v>
      </c>
      <c r="S67" s="2">
        <f ca="1">Table1[[#This Row],[Monthly_Spend]] * Table1[[#This Row],[Customer Lifetime(Months)]]</f>
        <v>600000</v>
      </c>
    </row>
    <row r="68" spans="1:19" x14ac:dyDescent="0.35">
      <c r="A68" t="s">
        <v>86</v>
      </c>
      <c r="B68" t="s">
        <v>27</v>
      </c>
      <c r="C68" s="1">
        <v>45631</v>
      </c>
      <c r="D68" s="1">
        <v>45770</v>
      </c>
      <c r="E68" t="s">
        <v>16</v>
      </c>
      <c r="F68" s="2">
        <v>50000</v>
      </c>
      <c r="G68">
        <v>14</v>
      </c>
      <c r="H68">
        <v>23</v>
      </c>
      <c r="I68" t="s">
        <v>28</v>
      </c>
      <c r="J68">
        <f>IF(Table1[[#This Row],[Status]]="Churned",1,0)</f>
        <v>1</v>
      </c>
      <c r="K68">
        <f t="shared" si="5"/>
        <v>0.22222222222222221</v>
      </c>
      <c r="L68">
        <f t="shared" si="6"/>
        <v>0.72</v>
      </c>
      <c r="M68" s="5">
        <f t="shared" si="7"/>
        <v>0.47368421052631576</v>
      </c>
      <c r="N68" s="5">
        <f t="shared" si="8"/>
        <v>0.70444444444444443</v>
      </c>
      <c r="O68" s="5" t="str">
        <f t="shared" si="9"/>
        <v>Churned</v>
      </c>
      <c r="P68" s="5">
        <f>IF(Table1[[#This Row],[Health Status]]="Churned",0,1)</f>
        <v>0</v>
      </c>
      <c r="Q68" s="5" t="str">
        <f>IF(Table1[[#This Row],[Subscription_End_Date]]="", "Active", "Churned")</f>
        <v>Churned</v>
      </c>
      <c r="R68" s="5">
        <f ca="1">IF(Table1[[#This Row],[Subscription_End_Date]]="", DATEDIF(Table1[[#This Row],[Subscription_Start_Date]], TODAY(), "m"),
DATEDIF(Table1[[#This Row],[Subscription_Start_Date]], Table1[[#This Row],[Subscription_End_Date]], "m"))</f>
        <v>4</v>
      </c>
      <c r="S68" s="2">
        <f ca="1">Table1[[#This Row],[Monthly_Spend]] * Table1[[#This Row],[Customer Lifetime(Months)]]</f>
        <v>200000</v>
      </c>
    </row>
    <row r="69" spans="1:19" x14ac:dyDescent="0.35">
      <c r="A69" t="s">
        <v>87</v>
      </c>
      <c r="B69" t="s">
        <v>14</v>
      </c>
      <c r="C69" s="1">
        <v>44978</v>
      </c>
      <c r="E69" t="s">
        <v>23</v>
      </c>
      <c r="F69" s="2">
        <v>50000</v>
      </c>
      <c r="G69">
        <v>8</v>
      </c>
      <c r="H69">
        <v>60</v>
      </c>
      <c r="I69" t="s">
        <v>12</v>
      </c>
      <c r="J69">
        <f>IF(Table1[[#This Row],[Status]]="Churned",1,0)</f>
        <v>0</v>
      </c>
      <c r="K69">
        <f t="shared" si="5"/>
        <v>0.59595959595959591</v>
      </c>
      <c r="L69">
        <f t="shared" si="6"/>
        <v>0.84</v>
      </c>
      <c r="M69" s="5">
        <f t="shared" si="7"/>
        <v>0.47368421052631576</v>
      </c>
      <c r="N69" s="5">
        <f t="shared" si="8"/>
        <v>0.53919191919191922</v>
      </c>
      <c r="O69" s="5" t="str">
        <f t="shared" si="9"/>
        <v>At-Risk</v>
      </c>
      <c r="P69" s="5">
        <f>IF(Table1[[#This Row],[Health Status]]="Churned",0,1)</f>
        <v>1</v>
      </c>
      <c r="Q69" s="5" t="str">
        <f>IF(Table1[[#This Row],[Subscription_End_Date]]="", "Active", "Churned")</f>
        <v>Active</v>
      </c>
      <c r="R69" s="5">
        <f ca="1">IF(Table1[[#This Row],[Subscription_End_Date]]="", DATEDIF(Table1[[#This Row],[Subscription_Start_Date]], TODAY(), "m"),
DATEDIF(Table1[[#This Row],[Subscription_Start_Date]], Table1[[#This Row],[Subscription_End_Date]], "m"))</f>
        <v>32</v>
      </c>
      <c r="S69" s="2">
        <f ca="1">Table1[[#This Row],[Monthly_Spend]] * Table1[[#This Row],[Customer Lifetime(Months)]]</f>
        <v>1600000</v>
      </c>
    </row>
    <row r="70" spans="1:19" x14ac:dyDescent="0.35">
      <c r="A70" t="s">
        <v>88</v>
      </c>
      <c r="B70" t="s">
        <v>14</v>
      </c>
      <c r="C70" s="1">
        <v>45536</v>
      </c>
      <c r="E70" t="s">
        <v>16</v>
      </c>
      <c r="F70" s="2">
        <v>100000</v>
      </c>
      <c r="G70">
        <v>46</v>
      </c>
      <c r="H70">
        <v>65</v>
      </c>
      <c r="I70" t="s">
        <v>17</v>
      </c>
      <c r="J70">
        <f>IF(Table1[[#This Row],[Status]]="Churned",1,0)</f>
        <v>0</v>
      </c>
      <c r="K70">
        <f t="shared" si="5"/>
        <v>0.64646464646464652</v>
      </c>
      <c r="L70">
        <f t="shared" si="6"/>
        <v>7.999999999999996E-2</v>
      </c>
      <c r="M70" s="5">
        <f t="shared" si="7"/>
        <v>1</v>
      </c>
      <c r="N70" s="5">
        <f t="shared" si="8"/>
        <v>0.1692929292929293</v>
      </c>
      <c r="O70" s="5" t="str">
        <f t="shared" si="9"/>
        <v>Healthy</v>
      </c>
      <c r="P70" s="5">
        <f>IF(Table1[[#This Row],[Health Status]]="Churned",0,1)</f>
        <v>1</v>
      </c>
      <c r="Q70" s="5" t="str">
        <f>IF(Table1[[#This Row],[Subscription_End_Date]]="", "Active", "Churned")</f>
        <v>Active</v>
      </c>
      <c r="R70" s="5">
        <f ca="1">IF(Table1[[#This Row],[Subscription_End_Date]]="", DATEDIF(Table1[[#This Row],[Subscription_Start_Date]], TODAY(), "m"),
DATEDIF(Table1[[#This Row],[Subscription_Start_Date]], Table1[[#This Row],[Subscription_End_Date]], "m"))</f>
        <v>13</v>
      </c>
      <c r="S70" s="2">
        <f ca="1">Table1[[#This Row],[Monthly_Spend]] * Table1[[#This Row],[Customer Lifetime(Months)]]</f>
        <v>1300000</v>
      </c>
    </row>
    <row r="71" spans="1:19" x14ac:dyDescent="0.35">
      <c r="A71" t="s">
        <v>89</v>
      </c>
      <c r="B71" t="s">
        <v>31</v>
      </c>
      <c r="C71" s="1">
        <v>45383</v>
      </c>
      <c r="E71" t="s">
        <v>16</v>
      </c>
      <c r="F71" s="2">
        <v>50000</v>
      </c>
      <c r="G71">
        <v>16</v>
      </c>
      <c r="H71">
        <v>97</v>
      </c>
      <c r="I71" t="s">
        <v>17</v>
      </c>
      <c r="J71">
        <f>IF(Table1[[#This Row],[Status]]="Churned",1,0)</f>
        <v>0</v>
      </c>
      <c r="K71">
        <f t="shared" si="5"/>
        <v>0.96969696969696972</v>
      </c>
      <c r="L71">
        <f t="shared" si="6"/>
        <v>0.67999999999999994</v>
      </c>
      <c r="M71" s="5">
        <f t="shared" si="7"/>
        <v>0.47368421052631576</v>
      </c>
      <c r="N71" s="5">
        <f t="shared" si="8"/>
        <v>0.53393939393939394</v>
      </c>
      <c r="O71" s="5" t="str">
        <f t="shared" si="9"/>
        <v>At-Risk</v>
      </c>
      <c r="P71" s="5">
        <f>IF(Table1[[#This Row],[Health Status]]="Churned",0,1)</f>
        <v>1</v>
      </c>
      <c r="Q71" s="5" t="str">
        <f>IF(Table1[[#This Row],[Subscription_End_Date]]="", "Active", "Churned")</f>
        <v>Active</v>
      </c>
      <c r="R71" s="5">
        <f ca="1">IF(Table1[[#This Row],[Subscription_End_Date]]="", DATEDIF(Table1[[#This Row],[Subscription_Start_Date]], TODAY(), "m"),
DATEDIF(Table1[[#This Row],[Subscription_Start_Date]], Table1[[#This Row],[Subscription_End_Date]], "m"))</f>
        <v>18</v>
      </c>
      <c r="S71" s="2">
        <f ca="1">Table1[[#This Row],[Monthly_Spend]] * Table1[[#This Row],[Customer Lifetime(Months)]]</f>
        <v>900000</v>
      </c>
    </row>
    <row r="72" spans="1:19" x14ac:dyDescent="0.35">
      <c r="A72" t="s">
        <v>90</v>
      </c>
      <c r="B72" t="s">
        <v>27</v>
      </c>
      <c r="C72" s="1">
        <v>45210</v>
      </c>
      <c r="E72" t="s">
        <v>16</v>
      </c>
      <c r="F72" s="2">
        <v>10000</v>
      </c>
      <c r="G72">
        <v>17</v>
      </c>
      <c r="H72">
        <v>57</v>
      </c>
      <c r="I72" t="s">
        <v>17</v>
      </c>
      <c r="J72">
        <f>IF(Table1[[#This Row],[Status]]="Churned",1,0)</f>
        <v>0</v>
      </c>
      <c r="K72">
        <f t="shared" si="5"/>
        <v>0.56565656565656564</v>
      </c>
      <c r="L72">
        <f t="shared" si="6"/>
        <v>0.65999999999999992</v>
      </c>
      <c r="M72" s="5">
        <f t="shared" si="7"/>
        <v>5.2631578947368418E-2</v>
      </c>
      <c r="N72" s="5">
        <f t="shared" si="8"/>
        <v>0.4431313131313131</v>
      </c>
      <c r="O72" s="5" t="str">
        <f t="shared" si="9"/>
        <v>At-Risk</v>
      </c>
      <c r="P72" s="5">
        <f>IF(Table1[[#This Row],[Health Status]]="Churned",0,1)</f>
        <v>1</v>
      </c>
      <c r="Q72" s="5" t="str">
        <f>IF(Table1[[#This Row],[Subscription_End_Date]]="", "Active", "Churned")</f>
        <v>Active</v>
      </c>
      <c r="R72" s="5">
        <f ca="1">IF(Table1[[#This Row],[Subscription_End_Date]]="", DATEDIF(Table1[[#This Row],[Subscription_Start_Date]], TODAY(), "m"),
DATEDIF(Table1[[#This Row],[Subscription_Start_Date]], Table1[[#This Row],[Subscription_End_Date]], "m"))</f>
        <v>24</v>
      </c>
      <c r="S72" s="2">
        <f ca="1">Table1[[#This Row],[Monthly_Spend]] * Table1[[#This Row],[Customer Lifetime(Months)]]</f>
        <v>240000</v>
      </c>
    </row>
    <row r="73" spans="1:19" x14ac:dyDescent="0.35">
      <c r="A73" t="s">
        <v>91</v>
      </c>
      <c r="B73" t="s">
        <v>10</v>
      </c>
      <c r="C73" s="1">
        <v>45219</v>
      </c>
      <c r="E73" t="s">
        <v>16</v>
      </c>
      <c r="F73" s="2">
        <v>20000</v>
      </c>
      <c r="G73">
        <v>34</v>
      </c>
      <c r="H73">
        <v>11</v>
      </c>
      <c r="I73" t="s">
        <v>17</v>
      </c>
      <c r="J73">
        <f>IF(Table1[[#This Row],[Status]]="Churned",1,0)</f>
        <v>0</v>
      </c>
      <c r="K73">
        <f t="shared" si="5"/>
        <v>0.10101010101010101</v>
      </c>
      <c r="L73">
        <f t="shared" si="6"/>
        <v>0.31999999999999995</v>
      </c>
      <c r="M73" s="5">
        <f t="shared" si="7"/>
        <v>0.15789473684210525</v>
      </c>
      <c r="N73" s="5">
        <f t="shared" si="8"/>
        <v>0.18020202020202017</v>
      </c>
      <c r="O73" s="5" t="str">
        <f t="shared" si="9"/>
        <v>At-Risk</v>
      </c>
      <c r="P73" s="5">
        <f>IF(Table1[[#This Row],[Health Status]]="Churned",0,1)</f>
        <v>1</v>
      </c>
      <c r="Q73" s="5" t="str">
        <f>IF(Table1[[#This Row],[Subscription_End_Date]]="", "Active", "Churned")</f>
        <v>Active</v>
      </c>
      <c r="R73" s="5">
        <f ca="1">IF(Table1[[#This Row],[Subscription_End_Date]]="", DATEDIF(Table1[[#This Row],[Subscription_Start_Date]], TODAY(), "m"),
DATEDIF(Table1[[#This Row],[Subscription_Start_Date]], Table1[[#This Row],[Subscription_End_Date]], "m"))</f>
        <v>24</v>
      </c>
      <c r="S73" s="2">
        <f ca="1">Table1[[#This Row],[Monthly_Spend]] * Table1[[#This Row],[Customer Lifetime(Months)]]</f>
        <v>480000</v>
      </c>
    </row>
    <row r="74" spans="1:19" x14ac:dyDescent="0.35">
      <c r="A74" t="s">
        <v>92</v>
      </c>
      <c r="B74" t="s">
        <v>27</v>
      </c>
      <c r="C74" s="1">
        <v>45163</v>
      </c>
      <c r="E74" t="s">
        <v>11</v>
      </c>
      <c r="F74" s="2">
        <v>10000</v>
      </c>
      <c r="G74">
        <v>4</v>
      </c>
      <c r="H74">
        <v>54</v>
      </c>
      <c r="I74" t="s">
        <v>12</v>
      </c>
      <c r="J74">
        <f>IF(Table1[[#This Row],[Status]]="Churned",1,0)</f>
        <v>0</v>
      </c>
      <c r="K74">
        <f t="shared" si="5"/>
        <v>0.53535353535353536</v>
      </c>
      <c r="L74">
        <f t="shared" si="6"/>
        <v>0.92</v>
      </c>
      <c r="M74" s="5">
        <f t="shared" si="7"/>
        <v>5.2631578947368418E-2</v>
      </c>
      <c r="N74" s="5">
        <f t="shared" si="8"/>
        <v>0.56707070707070706</v>
      </c>
      <c r="O74" s="5" t="str">
        <f t="shared" si="9"/>
        <v>At-Risk</v>
      </c>
      <c r="P74" s="5">
        <f>IF(Table1[[#This Row],[Health Status]]="Churned",0,1)</f>
        <v>1</v>
      </c>
      <c r="Q74" s="5" t="str">
        <f>IF(Table1[[#This Row],[Subscription_End_Date]]="", "Active", "Churned")</f>
        <v>Active</v>
      </c>
      <c r="R74" s="5">
        <f ca="1">IF(Table1[[#This Row],[Subscription_End_Date]]="", DATEDIF(Table1[[#This Row],[Subscription_Start_Date]], TODAY(), "m"),
DATEDIF(Table1[[#This Row],[Subscription_Start_Date]], Table1[[#This Row],[Subscription_End_Date]], "m"))</f>
        <v>26</v>
      </c>
      <c r="S74" s="2">
        <f ca="1">Table1[[#This Row],[Monthly_Spend]] * Table1[[#This Row],[Customer Lifetime(Months)]]</f>
        <v>260000</v>
      </c>
    </row>
    <row r="75" spans="1:19" x14ac:dyDescent="0.35">
      <c r="A75" t="s">
        <v>93</v>
      </c>
      <c r="B75" t="s">
        <v>31</v>
      </c>
      <c r="C75" s="1">
        <v>45482</v>
      </c>
      <c r="E75" t="s">
        <v>23</v>
      </c>
      <c r="F75" s="2">
        <v>10000</v>
      </c>
      <c r="G75">
        <v>26</v>
      </c>
      <c r="H75">
        <v>50</v>
      </c>
      <c r="I75" t="s">
        <v>12</v>
      </c>
      <c r="J75">
        <f>IF(Table1[[#This Row],[Status]]="Churned",1,0)</f>
        <v>0</v>
      </c>
      <c r="K75">
        <f t="shared" si="5"/>
        <v>0.49494949494949497</v>
      </c>
      <c r="L75">
        <f t="shared" si="6"/>
        <v>0.48</v>
      </c>
      <c r="M75" s="5">
        <f t="shared" si="7"/>
        <v>5.2631578947368418E-2</v>
      </c>
      <c r="N75" s="5">
        <f t="shared" si="8"/>
        <v>0.33898989898989901</v>
      </c>
      <c r="O75" s="5" t="str">
        <f t="shared" si="9"/>
        <v>At-Risk</v>
      </c>
      <c r="P75" s="5">
        <f>IF(Table1[[#This Row],[Health Status]]="Churned",0,1)</f>
        <v>1</v>
      </c>
      <c r="Q75" s="5" t="str">
        <f>IF(Table1[[#This Row],[Subscription_End_Date]]="", "Active", "Churned")</f>
        <v>Active</v>
      </c>
      <c r="R75" s="5">
        <f ca="1">IF(Table1[[#This Row],[Subscription_End_Date]]="", DATEDIF(Table1[[#This Row],[Subscription_Start_Date]], TODAY(), "m"),
DATEDIF(Table1[[#This Row],[Subscription_Start_Date]], Table1[[#This Row],[Subscription_End_Date]], "m"))</f>
        <v>15</v>
      </c>
      <c r="S75" s="2">
        <f ca="1">Table1[[#This Row],[Monthly_Spend]] * Table1[[#This Row],[Customer Lifetime(Months)]]</f>
        <v>150000</v>
      </c>
    </row>
    <row r="76" spans="1:19" x14ac:dyDescent="0.35">
      <c r="A76" t="s">
        <v>94</v>
      </c>
      <c r="B76" t="s">
        <v>14</v>
      </c>
      <c r="C76" s="1">
        <v>44947</v>
      </c>
      <c r="E76" t="s">
        <v>16</v>
      </c>
      <c r="F76" s="2">
        <v>50000</v>
      </c>
      <c r="G76">
        <v>0</v>
      </c>
      <c r="H76">
        <v>46</v>
      </c>
      <c r="I76" t="s">
        <v>17</v>
      </c>
      <c r="J76">
        <f>IF(Table1[[#This Row],[Status]]="Churned",1,0)</f>
        <v>0</v>
      </c>
      <c r="K76">
        <f t="shared" si="5"/>
        <v>0.45454545454545453</v>
      </c>
      <c r="L76">
        <f t="shared" si="6"/>
        <v>1</v>
      </c>
      <c r="M76" s="5">
        <f t="shared" si="7"/>
        <v>0.47368421052631576</v>
      </c>
      <c r="N76" s="5">
        <f t="shared" si="8"/>
        <v>0.59090909090909094</v>
      </c>
      <c r="O76" s="5" t="str">
        <f t="shared" si="9"/>
        <v>At-Risk</v>
      </c>
      <c r="P76" s="5">
        <f>IF(Table1[[#This Row],[Health Status]]="Churned",0,1)</f>
        <v>1</v>
      </c>
      <c r="Q76" s="5" t="str">
        <f>IF(Table1[[#This Row],[Subscription_End_Date]]="", "Active", "Churned")</f>
        <v>Active</v>
      </c>
      <c r="R76" s="5">
        <f ca="1">IF(Table1[[#This Row],[Subscription_End_Date]]="", DATEDIF(Table1[[#This Row],[Subscription_Start_Date]], TODAY(), "m"),
DATEDIF(Table1[[#This Row],[Subscription_Start_Date]], Table1[[#This Row],[Subscription_End_Date]], "m"))</f>
        <v>33</v>
      </c>
      <c r="S76" s="2">
        <f ca="1">Table1[[#This Row],[Monthly_Spend]] * Table1[[#This Row],[Customer Lifetime(Months)]]</f>
        <v>1650000</v>
      </c>
    </row>
    <row r="77" spans="1:19" x14ac:dyDescent="0.35">
      <c r="A77" t="s">
        <v>95</v>
      </c>
      <c r="B77" t="s">
        <v>19</v>
      </c>
      <c r="C77" s="1">
        <v>45356</v>
      </c>
      <c r="E77" t="s">
        <v>23</v>
      </c>
      <c r="F77" s="2">
        <v>50000</v>
      </c>
      <c r="G77">
        <v>14</v>
      </c>
      <c r="H77">
        <v>35</v>
      </c>
      <c r="I77" t="s">
        <v>12</v>
      </c>
      <c r="J77">
        <f>IF(Table1[[#This Row],[Status]]="Churned",1,0)</f>
        <v>0</v>
      </c>
      <c r="K77">
        <f t="shared" si="5"/>
        <v>0.34343434343434343</v>
      </c>
      <c r="L77">
        <f t="shared" si="6"/>
        <v>0.72</v>
      </c>
      <c r="M77" s="5">
        <f t="shared" si="7"/>
        <v>0.47368421052631576</v>
      </c>
      <c r="N77" s="5">
        <f t="shared" si="8"/>
        <v>0.42868686868686867</v>
      </c>
      <c r="O77" s="5" t="str">
        <f t="shared" si="9"/>
        <v>At-Risk</v>
      </c>
      <c r="P77" s="5">
        <f>IF(Table1[[#This Row],[Health Status]]="Churned",0,1)</f>
        <v>1</v>
      </c>
      <c r="Q77" s="5" t="str">
        <f>IF(Table1[[#This Row],[Subscription_End_Date]]="", "Active", "Churned")</f>
        <v>Active</v>
      </c>
      <c r="R77" s="5">
        <f ca="1">IF(Table1[[#This Row],[Subscription_End_Date]]="", DATEDIF(Table1[[#This Row],[Subscription_Start_Date]], TODAY(), "m"),
DATEDIF(Table1[[#This Row],[Subscription_Start_Date]], Table1[[#This Row],[Subscription_End_Date]], "m"))</f>
        <v>19</v>
      </c>
      <c r="S77" s="2">
        <f ca="1">Table1[[#This Row],[Monthly_Spend]] * Table1[[#This Row],[Customer Lifetime(Months)]]</f>
        <v>950000</v>
      </c>
    </row>
    <row r="78" spans="1:19" x14ac:dyDescent="0.35">
      <c r="A78" t="s">
        <v>96</v>
      </c>
      <c r="B78" t="s">
        <v>31</v>
      </c>
      <c r="C78" s="1">
        <v>44956</v>
      </c>
      <c r="E78" t="s">
        <v>23</v>
      </c>
      <c r="F78" s="2">
        <v>10000</v>
      </c>
      <c r="G78">
        <v>29</v>
      </c>
      <c r="H78">
        <v>17</v>
      </c>
      <c r="I78" t="s">
        <v>17</v>
      </c>
      <c r="J78">
        <f>IF(Table1[[#This Row],[Status]]="Churned",1,0)</f>
        <v>0</v>
      </c>
      <c r="K78">
        <f t="shared" si="5"/>
        <v>0.16161616161616163</v>
      </c>
      <c r="L78">
        <f t="shared" si="6"/>
        <v>0.42000000000000004</v>
      </c>
      <c r="M78" s="5">
        <f t="shared" si="7"/>
        <v>5.2631578947368418E-2</v>
      </c>
      <c r="N78" s="5">
        <f t="shared" si="8"/>
        <v>0.24232323232323236</v>
      </c>
      <c r="O78" s="5" t="str">
        <f t="shared" si="9"/>
        <v>At-Risk</v>
      </c>
      <c r="P78" s="5">
        <f>IF(Table1[[#This Row],[Health Status]]="Churned",0,1)</f>
        <v>1</v>
      </c>
      <c r="Q78" s="5" t="str">
        <f>IF(Table1[[#This Row],[Subscription_End_Date]]="", "Active", "Churned")</f>
        <v>Active</v>
      </c>
      <c r="R78" s="5">
        <f ca="1">IF(Table1[[#This Row],[Subscription_End_Date]]="", DATEDIF(Table1[[#This Row],[Subscription_Start_Date]], TODAY(), "m"),
DATEDIF(Table1[[#This Row],[Subscription_Start_Date]], Table1[[#This Row],[Subscription_End_Date]], "m"))</f>
        <v>32</v>
      </c>
      <c r="S78" s="2">
        <f ca="1">Table1[[#This Row],[Monthly_Spend]] * Table1[[#This Row],[Customer Lifetime(Months)]]</f>
        <v>320000</v>
      </c>
    </row>
    <row r="79" spans="1:19" x14ac:dyDescent="0.35">
      <c r="A79" t="s">
        <v>97</v>
      </c>
      <c r="B79" t="s">
        <v>14</v>
      </c>
      <c r="C79" s="1">
        <v>44954</v>
      </c>
      <c r="E79" t="s">
        <v>16</v>
      </c>
      <c r="F79" s="2">
        <v>5000</v>
      </c>
      <c r="G79">
        <v>41</v>
      </c>
      <c r="H79">
        <v>55</v>
      </c>
      <c r="I79" t="s">
        <v>12</v>
      </c>
      <c r="J79">
        <f>IF(Table1[[#This Row],[Status]]="Churned",1,0)</f>
        <v>0</v>
      </c>
      <c r="K79">
        <f t="shared" si="5"/>
        <v>0.54545454545454541</v>
      </c>
      <c r="L79">
        <f t="shared" si="6"/>
        <v>0.18000000000000005</v>
      </c>
      <c r="M79" s="5">
        <f t="shared" si="7"/>
        <v>0</v>
      </c>
      <c r="N79" s="5">
        <f t="shared" si="8"/>
        <v>0.1990909090909091</v>
      </c>
      <c r="O79" s="5" t="str">
        <f t="shared" si="9"/>
        <v>At-Risk</v>
      </c>
      <c r="P79" s="5">
        <f>IF(Table1[[#This Row],[Health Status]]="Churned",0,1)</f>
        <v>1</v>
      </c>
      <c r="Q79" s="5" t="str">
        <f>IF(Table1[[#This Row],[Subscription_End_Date]]="", "Active", "Churned")</f>
        <v>Active</v>
      </c>
      <c r="R79" s="5">
        <f ca="1">IF(Table1[[#This Row],[Subscription_End_Date]]="", DATEDIF(Table1[[#This Row],[Subscription_Start_Date]], TODAY(), "m"),
DATEDIF(Table1[[#This Row],[Subscription_Start_Date]], Table1[[#This Row],[Subscription_End_Date]], "m"))</f>
        <v>33</v>
      </c>
      <c r="S79" s="2">
        <f ca="1">Table1[[#This Row],[Monthly_Spend]] * Table1[[#This Row],[Customer Lifetime(Months)]]</f>
        <v>165000</v>
      </c>
    </row>
    <row r="80" spans="1:19" x14ac:dyDescent="0.35">
      <c r="A80" t="s">
        <v>98</v>
      </c>
      <c r="B80" t="s">
        <v>27</v>
      </c>
      <c r="C80" s="1">
        <v>45113</v>
      </c>
      <c r="D80" s="1">
        <v>45531</v>
      </c>
      <c r="E80" t="s">
        <v>23</v>
      </c>
      <c r="F80" s="2">
        <v>20000</v>
      </c>
      <c r="G80">
        <v>13</v>
      </c>
      <c r="H80">
        <v>59</v>
      </c>
      <c r="I80" t="s">
        <v>28</v>
      </c>
      <c r="J80">
        <f>IF(Table1[[#This Row],[Status]]="Churned",1,0)</f>
        <v>1</v>
      </c>
      <c r="K80">
        <f t="shared" si="5"/>
        <v>0.58585858585858586</v>
      </c>
      <c r="L80">
        <f t="shared" si="6"/>
        <v>0.74</v>
      </c>
      <c r="M80" s="5">
        <f t="shared" si="7"/>
        <v>0.15789473684210525</v>
      </c>
      <c r="N80" s="5">
        <f t="shared" si="8"/>
        <v>0.78717171717171719</v>
      </c>
      <c r="O80" s="5" t="str">
        <f t="shared" si="9"/>
        <v>Churned</v>
      </c>
      <c r="P80" s="5">
        <f>IF(Table1[[#This Row],[Health Status]]="Churned",0,1)</f>
        <v>0</v>
      </c>
      <c r="Q80" s="5" t="str">
        <f>IF(Table1[[#This Row],[Subscription_End_Date]]="", "Active", "Churned")</f>
        <v>Churned</v>
      </c>
      <c r="R80" s="5">
        <f ca="1">IF(Table1[[#This Row],[Subscription_End_Date]]="", DATEDIF(Table1[[#This Row],[Subscription_Start_Date]], TODAY(), "m"),
DATEDIF(Table1[[#This Row],[Subscription_Start_Date]], Table1[[#This Row],[Subscription_End_Date]], "m"))</f>
        <v>13</v>
      </c>
      <c r="S80" s="2">
        <f ca="1">Table1[[#This Row],[Monthly_Spend]] * Table1[[#This Row],[Customer Lifetime(Months)]]</f>
        <v>260000</v>
      </c>
    </row>
    <row r="81" spans="1:19" x14ac:dyDescent="0.35">
      <c r="A81" t="s">
        <v>99</v>
      </c>
      <c r="B81" t="s">
        <v>19</v>
      </c>
      <c r="C81" s="1">
        <v>45315</v>
      </c>
      <c r="E81" t="s">
        <v>23</v>
      </c>
      <c r="F81" s="2">
        <v>20000</v>
      </c>
      <c r="G81">
        <v>5</v>
      </c>
      <c r="H81">
        <v>61</v>
      </c>
      <c r="I81" t="s">
        <v>17</v>
      </c>
      <c r="J81">
        <f>IF(Table1[[#This Row],[Status]]="Churned",1,0)</f>
        <v>0</v>
      </c>
      <c r="K81">
        <f t="shared" si="5"/>
        <v>0.60606060606060608</v>
      </c>
      <c r="L81">
        <f t="shared" si="6"/>
        <v>0.9</v>
      </c>
      <c r="M81" s="5">
        <f t="shared" si="7"/>
        <v>0.15789473684210525</v>
      </c>
      <c r="N81" s="5">
        <f t="shared" si="8"/>
        <v>0.57121212121212128</v>
      </c>
      <c r="O81" s="5" t="str">
        <f t="shared" si="9"/>
        <v>At-Risk</v>
      </c>
      <c r="P81" s="5">
        <f>IF(Table1[[#This Row],[Health Status]]="Churned",0,1)</f>
        <v>1</v>
      </c>
      <c r="Q81" s="5" t="str">
        <f>IF(Table1[[#This Row],[Subscription_End_Date]]="", "Active", "Churned")</f>
        <v>Active</v>
      </c>
      <c r="R81" s="5">
        <f ca="1">IF(Table1[[#This Row],[Subscription_End_Date]]="", DATEDIF(Table1[[#This Row],[Subscription_Start_Date]], TODAY(), "m"),
DATEDIF(Table1[[#This Row],[Subscription_Start_Date]], Table1[[#This Row],[Subscription_End_Date]], "m"))</f>
        <v>21</v>
      </c>
      <c r="S81" s="2">
        <f ca="1">Table1[[#This Row],[Monthly_Spend]] * Table1[[#This Row],[Customer Lifetime(Months)]]</f>
        <v>420000</v>
      </c>
    </row>
    <row r="82" spans="1:19" x14ac:dyDescent="0.35">
      <c r="A82" t="s">
        <v>100</v>
      </c>
      <c r="B82" t="s">
        <v>10</v>
      </c>
      <c r="C82" s="1">
        <v>45479</v>
      </c>
      <c r="D82" s="1">
        <v>45867</v>
      </c>
      <c r="E82" t="s">
        <v>16</v>
      </c>
      <c r="F82" s="2">
        <v>10000</v>
      </c>
      <c r="G82">
        <v>41</v>
      </c>
      <c r="H82">
        <v>9</v>
      </c>
      <c r="I82" t="s">
        <v>28</v>
      </c>
      <c r="J82">
        <f>IF(Table1[[#This Row],[Status]]="Churned",1,0)</f>
        <v>1</v>
      </c>
      <c r="K82">
        <f t="shared" si="5"/>
        <v>8.0808080808080815E-2</v>
      </c>
      <c r="L82">
        <f t="shared" si="6"/>
        <v>0.18000000000000005</v>
      </c>
      <c r="M82" s="5">
        <f t="shared" si="7"/>
        <v>5.2631578947368418E-2</v>
      </c>
      <c r="N82" s="5">
        <f t="shared" si="8"/>
        <v>0.40616161616161617</v>
      </c>
      <c r="O82" s="5" t="str">
        <f t="shared" si="9"/>
        <v>Churned</v>
      </c>
      <c r="P82" s="5">
        <f>IF(Table1[[#This Row],[Health Status]]="Churned",0,1)</f>
        <v>0</v>
      </c>
      <c r="Q82" s="5" t="str">
        <f>IF(Table1[[#This Row],[Subscription_End_Date]]="", "Active", "Churned")</f>
        <v>Churned</v>
      </c>
      <c r="R82" s="5">
        <f ca="1">IF(Table1[[#This Row],[Subscription_End_Date]]="", DATEDIF(Table1[[#This Row],[Subscription_Start_Date]], TODAY(), "m"),
DATEDIF(Table1[[#This Row],[Subscription_Start_Date]], Table1[[#This Row],[Subscription_End_Date]], "m"))</f>
        <v>12</v>
      </c>
      <c r="S82" s="2">
        <f ca="1">Table1[[#This Row],[Monthly_Spend]] * Table1[[#This Row],[Customer Lifetime(Months)]]</f>
        <v>120000</v>
      </c>
    </row>
    <row r="83" spans="1:19" x14ac:dyDescent="0.35">
      <c r="A83" t="s">
        <v>101</v>
      </c>
      <c r="B83" t="s">
        <v>10</v>
      </c>
      <c r="C83" s="1">
        <v>45180</v>
      </c>
      <c r="E83" t="s">
        <v>11</v>
      </c>
      <c r="F83" s="2">
        <v>100000</v>
      </c>
      <c r="G83">
        <v>9</v>
      </c>
      <c r="H83">
        <v>31</v>
      </c>
      <c r="I83" t="s">
        <v>12</v>
      </c>
      <c r="J83">
        <f>IF(Table1[[#This Row],[Status]]="Churned",1,0)</f>
        <v>0</v>
      </c>
      <c r="K83">
        <f t="shared" si="5"/>
        <v>0.30303030303030304</v>
      </c>
      <c r="L83">
        <f t="shared" si="6"/>
        <v>0.82000000000000006</v>
      </c>
      <c r="M83" s="5">
        <f t="shared" si="7"/>
        <v>1</v>
      </c>
      <c r="N83" s="5">
        <f t="shared" si="8"/>
        <v>0.47060606060606064</v>
      </c>
      <c r="O83" s="5" t="str">
        <f t="shared" si="9"/>
        <v>Healthy</v>
      </c>
      <c r="P83" s="5">
        <f>IF(Table1[[#This Row],[Health Status]]="Churned",0,1)</f>
        <v>1</v>
      </c>
      <c r="Q83" s="5" t="str">
        <f>IF(Table1[[#This Row],[Subscription_End_Date]]="", "Active", "Churned")</f>
        <v>Active</v>
      </c>
      <c r="R83" s="5">
        <f ca="1">IF(Table1[[#This Row],[Subscription_End_Date]]="", DATEDIF(Table1[[#This Row],[Subscription_Start_Date]], TODAY(), "m"),
DATEDIF(Table1[[#This Row],[Subscription_Start_Date]], Table1[[#This Row],[Subscription_End_Date]], "m"))</f>
        <v>25</v>
      </c>
      <c r="S83" s="2">
        <f ca="1">Table1[[#This Row],[Monthly_Spend]] * Table1[[#This Row],[Customer Lifetime(Months)]]</f>
        <v>2500000</v>
      </c>
    </row>
    <row r="84" spans="1:19" x14ac:dyDescent="0.35">
      <c r="A84" t="s">
        <v>102</v>
      </c>
      <c r="B84" t="s">
        <v>27</v>
      </c>
      <c r="C84" s="1">
        <v>45612</v>
      </c>
      <c r="E84" t="s">
        <v>23</v>
      </c>
      <c r="F84" s="2">
        <v>50000</v>
      </c>
      <c r="G84">
        <v>44</v>
      </c>
      <c r="H84">
        <v>33</v>
      </c>
      <c r="I84" t="s">
        <v>12</v>
      </c>
      <c r="J84">
        <f>IF(Table1[[#This Row],[Status]]="Churned",1,0)</f>
        <v>0</v>
      </c>
      <c r="K84">
        <f t="shared" si="5"/>
        <v>0.32323232323232326</v>
      </c>
      <c r="L84">
        <f t="shared" si="6"/>
        <v>0.12</v>
      </c>
      <c r="M84" s="5">
        <f t="shared" si="7"/>
        <v>0.47368421052631576</v>
      </c>
      <c r="N84" s="5">
        <f t="shared" si="8"/>
        <v>0.12464646464646466</v>
      </c>
      <c r="O84" s="5" t="str">
        <f t="shared" si="9"/>
        <v>At-Risk</v>
      </c>
      <c r="P84" s="5">
        <f>IF(Table1[[#This Row],[Health Status]]="Churned",0,1)</f>
        <v>1</v>
      </c>
      <c r="Q84" s="5" t="str">
        <f>IF(Table1[[#This Row],[Subscription_End_Date]]="", "Active", "Churned")</f>
        <v>Active</v>
      </c>
      <c r="R84" s="5">
        <f ca="1">IF(Table1[[#This Row],[Subscription_End_Date]]="", DATEDIF(Table1[[#This Row],[Subscription_Start_Date]], TODAY(), "m"),
DATEDIF(Table1[[#This Row],[Subscription_Start_Date]], Table1[[#This Row],[Subscription_End_Date]], "m"))</f>
        <v>11</v>
      </c>
      <c r="S84" s="2">
        <f ca="1">Table1[[#This Row],[Monthly_Spend]] * Table1[[#This Row],[Customer Lifetime(Months)]]</f>
        <v>550000</v>
      </c>
    </row>
    <row r="85" spans="1:19" x14ac:dyDescent="0.35">
      <c r="A85" t="s">
        <v>103</v>
      </c>
      <c r="B85" t="s">
        <v>19</v>
      </c>
      <c r="C85" s="1">
        <v>45547</v>
      </c>
      <c r="E85" t="s">
        <v>11</v>
      </c>
      <c r="F85" s="2">
        <v>10000</v>
      </c>
      <c r="G85">
        <v>19</v>
      </c>
      <c r="H85">
        <v>14</v>
      </c>
      <c r="I85" t="s">
        <v>12</v>
      </c>
      <c r="J85">
        <f>IF(Table1[[#This Row],[Status]]="Churned",1,0)</f>
        <v>0</v>
      </c>
      <c r="K85">
        <f t="shared" si="5"/>
        <v>0.13131313131313133</v>
      </c>
      <c r="L85">
        <f t="shared" si="6"/>
        <v>0.62</v>
      </c>
      <c r="M85" s="5">
        <f t="shared" si="7"/>
        <v>5.2631578947368418E-2</v>
      </c>
      <c r="N85" s="5">
        <f t="shared" si="8"/>
        <v>0.33626262626262626</v>
      </c>
      <c r="O85" s="5" t="str">
        <f t="shared" si="9"/>
        <v>At-Risk</v>
      </c>
      <c r="P85" s="5">
        <f>IF(Table1[[#This Row],[Health Status]]="Churned",0,1)</f>
        <v>1</v>
      </c>
      <c r="Q85" s="5" t="str">
        <f>IF(Table1[[#This Row],[Subscription_End_Date]]="", "Active", "Churned")</f>
        <v>Active</v>
      </c>
      <c r="R85" s="5">
        <f ca="1">IF(Table1[[#This Row],[Subscription_End_Date]]="", DATEDIF(Table1[[#This Row],[Subscription_Start_Date]], TODAY(), "m"),
DATEDIF(Table1[[#This Row],[Subscription_Start_Date]], Table1[[#This Row],[Subscription_End_Date]], "m"))</f>
        <v>13</v>
      </c>
      <c r="S85" s="2">
        <f ca="1">Table1[[#This Row],[Monthly_Spend]] * Table1[[#This Row],[Customer Lifetime(Months)]]</f>
        <v>130000</v>
      </c>
    </row>
    <row r="86" spans="1:19" x14ac:dyDescent="0.35">
      <c r="A86" t="s">
        <v>104</v>
      </c>
      <c r="B86" t="s">
        <v>14</v>
      </c>
      <c r="C86" s="1">
        <v>45246</v>
      </c>
      <c r="E86" t="s">
        <v>11</v>
      </c>
      <c r="F86" s="2">
        <v>50000</v>
      </c>
      <c r="G86">
        <v>45</v>
      </c>
      <c r="H86">
        <v>26</v>
      </c>
      <c r="I86" t="s">
        <v>17</v>
      </c>
      <c r="J86">
        <f>IF(Table1[[#This Row],[Status]]="Churned",1,0)</f>
        <v>0</v>
      </c>
      <c r="K86">
        <f t="shared" si="5"/>
        <v>0.25252525252525254</v>
      </c>
      <c r="L86">
        <f t="shared" si="6"/>
        <v>9.9999999999999978E-2</v>
      </c>
      <c r="M86" s="5">
        <f t="shared" si="7"/>
        <v>0.47368421052631576</v>
      </c>
      <c r="N86" s="5">
        <f t="shared" si="8"/>
        <v>0.1005050505050505</v>
      </c>
      <c r="O86" s="5" t="str">
        <f t="shared" si="9"/>
        <v>At-Risk</v>
      </c>
      <c r="P86" s="5">
        <f>IF(Table1[[#This Row],[Health Status]]="Churned",0,1)</f>
        <v>1</v>
      </c>
      <c r="Q86" s="5" t="str">
        <f>IF(Table1[[#This Row],[Subscription_End_Date]]="", "Active", "Churned")</f>
        <v>Active</v>
      </c>
      <c r="R86" s="5">
        <f ca="1">IF(Table1[[#This Row],[Subscription_End_Date]]="", DATEDIF(Table1[[#This Row],[Subscription_Start_Date]], TODAY(), "m"),
DATEDIF(Table1[[#This Row],[Subscription_Start_Date]], Table1[[#This Row],[Subscription_End_Date]], "m"))</f>
        <v>23</v>
      </c>
      <c r="S86" s="2">
        <f ca="1">Table1[[#This Row],[Monthly_Spend]] * Table1[[#This Row],[Customer Lifetime(Months)]]</f>
        <v>1150000</v>
      </c>
    </row>
    <row r="87" spans="1:19" x14ac:dyDescent="0.35">
      <c r="A87" t="s">
        <v>105</v>
      </c>
      <c r="B87" t="s">
        <v>10</v>
      </c>
      <c r="C87" s="1">
        <v>45634</v>
      </c>
      <c r="E87" t="s">
        <v>16</v>
      </c>
      <c r="F87" s="2">
        <v>5000</v>
      </c>
      <c r="G87">
        <v>44</v>
      </c>
      <c r="H87">
        <v>99</v>
      </c>
      <c r="I87" t="s">
        <v>12</v>
      </c>
      <c r="J87">
        <f>IF(Table1[[#This Row],[Status]]="Churned",1,0)</f>
        <v>0</v>
      </c>
      <c r="K87">
        <f t="shared" si="5"/>
        <v>0.98989898989898994</v>
      </c>
      <c r="L87">
        <f t="shared" si="6"/>
        <v>0.12</v>
      </c>
      <c r="M87" s="5">
        <f t="shared" si="7"/>
        <v>0</v>
      </c>
      <c r="N87" s="5">
        <f t="shared" si="8"/>
        <v>0.25797979797979798</v>
      </c>
      <c r="O87" s="5" t="str">
        <f t="shared" si="9"/>
        <v>At-Risk</v>
      </c>
      <c r="P87" s="5">
        <f>IF(Table1[[#This Row],[Health Status]]="Churned",0,1)</f>
        <v>1</v>
      </c>
      <c r="Q87" s="5" t="str">
        <f>IF(Table1[[#This Row],[Subscription_End_Date]]="", "Active", "Churned")</f>
        <v>Active</v>
      </c>
      <c r="R87" s="5">
        <f ca="1">IF(Table1[[#This Row],[Subscription_End_Date]]="", DATEDIF(Table1[[#This Row],[Subscription_Start_Date]], TODAY(), "m"),
DATEDIF(Table1[[#This Row],[Subscription_Start_Date]], Table1[[#This Row],[Subscription_End_Date]], "m"))</f>
        <v>10</v>
      </c>
      <c r="S87" s="2">
        <f ca="1">Table1[[#This Row],[Monthly_Spend]] * Table1[[#This Row],[Customer Lifetime(Months)]]</f>
        <v>50000</v>
      </c>
    </row>
    <row r="88" spans="1:19" x14ac:dyDescent="0.35">
      <c r="A88" t="s">
        <v>106</v>
      </c>
      <c r="B88" t="s">
        <v>19</v>
      </c>
      <c r="C88" s="1">
        <v>45541</v>
      </c>
      <c r="E88" t="s">
        <v>16</v>
      </c>
      <c r="F88" s="2">
        <v>20000</v>
      </c>
      <c r="G88">
        <v>34</v>
      </c>
      <c r="H88">
        <v>55</v>
      </c>
      <c r="I88" t="s">
        <v>12</v>
      </c>
      <c r="J88">
        <f>IF(Table1[[#This Row],[Status]]="Churned",1,0)</f>
        <v>0</v>
      </c>
      <c r="K88">
        <f t="shared" si="5"/>
        <v>0.54545454545454541</v>
      </c>
      <c r="L88">
        <f t="shared" si="6"/>
        <v>0.31999999999999995</v>
      </c>
      <c r="M88" s="5">
        <f t="shared" si="7"/>
        <v>0.15789473684210525</v>
      </c>
      <c r="N88" s="5">
        <f t="shared" si="8"/>
        <v>0.26909090909090905</v>
      </c>
      <c r="O88" s="5" t="str">
        <f t="shared" si="9"/>
        <v>At-Risk</v>
      </c>
      <c r="P88" s="5">
        <f>IF(Table1[[#This Row],[Health Status]]="Churned",0,1)</f>
        <v>1</v>
      </c>
      <c r="Q88" s="5" t="str">
        <f>IF(Table1[[#This Row],[Subscription_End_Date]]="", "Active", "Churned")</f>
        <v>Active</v>
      </c>
      <c r="R88" s="5">
        <f ca="1">IF(Table1[[#This Row],[Subscription_End_Date]]="", DATEDIF(Table1[[#This Row],[Subscription_Start_Date]], TODAY(), "m"),
DATEDIF(Table1[[#This Row],[Subscription_Start_Date]], Table1[[#This Row],[Subscription_End_Date]], "m"))</f>
        <v>13</v>
      </c>
      <c r="S88" s="2">
        <f ca="1">Table1[[#This Row],[Monthly_Spend]] * Table1[[#This Row],[Customer Lifetime(Months)]]</f>
        <v>260000</v>
      </c>
    </row>
    <row r="89" spans="1:19" x14ac:dyDescent="0.35">
      <c r="A89" t="s">
        <v>107</v>
      </c>
      <c r="B89" t="s">
        <v>19</v>
      </c>
      <c r="C89" s="1">
        <v>45445</v>
      </c>
      <c r="E89" t="s">
        <v>11</v>
      </c>
      <c r="F89" s="2">
        <v>50000</v>
      </c>
      <c r="G89">
        <v>31</v>
      </c>
      <c r="H89">
        <v>14</v>
      </c>
      <c r="I89" t="s">
        <v>12</v>
      </c>
      <c r="J89">
        <f>IF(Table1[[#This Row],[Status]]="Churned",1,0)</f>
        <v>0</v>
      </c>
      <c r="K89">
        <f t="shared" si="5"/>
        <v>0.13131313131313133</v>
      </c>
      <c r="L89">
        <f t="shared" si="6"/>
        <v>0.38</v>
      </c>
      <c r="M89" s="5">
        <f t="shared" si="7"/>
        <v>0.47368421052631576</v>
      </c>
      <c r="N89" s="5">
        <f t="shared" si="8"/>
        <v>0.21626262626262627</v>
      </c>
      <c r="O89" s="5" t="str">
        <f t="shared" si="9"/>
        <v>At-Risk</v>
      </c>
      <c r="P89" s="5">
        <f>IF(Table1[[#This Row],[Health Status]]="Churned",0,1)</f>
        <v>1</v>
      </c>
      <c r="Q89" s="5" t="str">
        <f>IF(Table1[[#This Row],[Subscription_End_Date]]="", "Active", "Churned")</f>
        <v>Active</v>
      </c>
      <c r="R89" s="5">
        <f ca="1">IF(Table1[[#This Row],[Subscription_End_Date]]="", DATEDIF(Table1[[#This Row],[Subscription_Start_Date]], TODAY(), "m"),
DATEDIF(Table1[[#This Row],[Subscription_Start_Date]], Table1[[#This Row],[Subscription_End_Date]], "m"))</f>
        <v>16</v>
      </c>
      <c r="S89" s="2">
        <f ca="1">Table1[[#This Row],[Monthly_Spend]] * Table1[[#This Row],[Customer Lifetime(Months)]]</f>
        <v>800000</v>
      </c>
    </row>
    <row r="90" spans="1:19" x14ac:dyDescent="0.35">
      <c r="A90" t="s">
        <v>108</v>
      </c>
      <c r="B90" t="s">
        <v>31</v>
      </c>
      <c r="C90" s="1">
        <v>45577</v>
      </c>
      <c r="E90" t="s">
        <v>23</v>
      </c>
      <c r="F90" s="2">
        <v>10000</v>
      </c>
      <c r="G90">
        <v>27</v>
      </c>
      <c r="H90">
        <v>23</v>
      </c>
      <c r="I90" t="s">
        <v>17</v>
      </c>
      <c r="J90">
        <f>IF(Table1[[#This Row],[Status]]="Churned",1,0)</f>
        <v>0</v>
      </c>
      <c r="K90">
        <f t="shared" si="5"/>
        <v>0.22222222222222221</v>
      </c>
      <c r="L90">
        <f t="shared" si="6"/>
        <v>0.45999999999999996</v>
      </c>
      <c r="M90" s="5">
        <f t="shared" si="7"/>
        <v>5.2631578947368418E-2</v>
      </c>
      <c r="N90" s="5">
        <f t="shared" si="8"/>
        <v>0.27444444444444444</v>
      </c>
      <c r="O90" s="5" t="str">
        <f t="shared" si="9"/>
        <v>At-Risk</v>
      </c>
      <c r="P90" s="5">
        <f>IF(Table1[[#This Row],[Health Status]]="Churned",0,1)</f>
        <v>1</v>
      </c>
      <c r="Q90" s="5" t="str">
        <f>IF(Table1[[#This Row],[Subscription_End_Date]]="", "Active", "Churned")</f>
        <v>Active</v>
      </c>
      <c r="R90" s="5">
        <f ca="1">IF(Table1[[#This Row],[Subscription_End_Date]]="", DATEDIF(Table1[[#This Row],[Subscription_Start_Date]], TODAY(), "m"),
DATEDIF(Table1[[#This Row],[Subscription_Start_Date]], Table1[[#This Row],[Subscription_End_Date]], "m"))</f>
        <v>12</v>
      </c>
      <c r="S90" s="2">
        <f ca="1">Table1[[#This Row],[Monthly_Spend]] * Table1[[#This Row],[Customer Lifetime(Months)]]</f>
        <v>120000</v>
      </c>
    </row>
    <row r="91" spans="1:19" x14ac:dyDescent="0.35">
      <c r="A91" t="s">
        <v>109</v>
      </c>
      <c r="B91" t="s">
        <v>14</v>
      </c>
      <c r="C91" s="1">
        <v>45203</v>
      </c>
      <c r="E91" t="s">
        <v>16</v>
      </c>
      <c r="F91" s="2">
        <v>50000</v>
      </c>
      <c r="G91">
        <v>27</v>
      </c>
      <c r="H91">
        <v>94</v>
      </c>
      <c r="I91" t="s">
        <v>17</v>
      </c>
      <c r="J91">
        <f>IF(Table1[[#This Row],[Status]]="Churned",1,0)</f>
        <v>0</v>
      </c>
      <c r="K91">
        <f t="shared" si="5"/>
        <v>0.93939393939393945</v>
      </c>
      <c r="L91">
        <f t="shared" si="6"/>
        <v>0.45999999999999996</v>
      </c>
      <c r="M91" s="5">
        <f t="shared" si="7"/>
        <v>0.47368421052631576</v>
      </c>
      <c r="N91" s="5">
        <f t="shared" si="8"/>
        <v>0.41787878787878785</v>
      </c>
      <c r="O91" s="5" t="str">
        <f t="shared" si="9"/>
        <v>At-Risk</v>
      </c>
      <c r="P91" s="5">
        <f>IF(Table1[[#This Row],[Health Status]]="Churned",0,1)</f>
        <v>1</v>
      </c>
      <c r="Q91" s="5" t="str">
        <f>IF(Table1[[#This Row],[Subscription_End_Date]]="", "Active", "Churned")</f>
        <v>Active</v>
      </c>
      <c r="R91" s="5">
        <f ca="1">IF(Table1[[#This Row],[Subscription_End_Date]]="", DATEDIF(Table1[[#This Row],[Subscription_Start_Date]], TODAY(), "m"),
DATEDIF(Table1[[#This Row],[Subscription_Start_Date]], Table1[[#This Row],[Subscription_End_Date]], "m"))</f>
        <v>24</v>
      </c>
      <c r="S91" s="2">
        <f ca="1">Table1[[#This Row],[Monthly_Spend]] * Table1[[#This Row],[Customer Lifetime(Months)]]</f>
        <v>1200000</v>
      </c>
    </row>
    <row r="92" spans="1:19" x14ac:dyDescent="0.35">
      <c r="A92" t="s">
        <v>110</v>
      </c>
      <c r="B92" t="s">
        <v>14</v>
      </c>
      <c r="C92" s="1">
        <v>45257</v>
      </c>
      <c r="E92" t="s">
        <v>23</v>
      </c>
      <c r="F92" s="2">
        <v>20000</v>
      </c>
      <c r="G92">
        <v>28</v>
      </c>
      <c r="H92">
        <v>32</v>
      </c>
      <c r="I92" t="s">
        <v>12</v>
      </c>
      <c r="J92">
        <f>IF(Table1[[#This Row],[Status]]="Churned",1,0)</f>
        <v>0</v>
      </c>
      <c r="K92">
        <f t="shared" si="5"/>
        <v>0.31313131313131315</v>
      </c>
      <c r="L92">
        <f t="shared" si="6"/>
        <v>0.43999999999999995</v>
      </c>
      <c r="M92" s="5">
        <f t="shared" si="7"/>
        <v>0.15789473684210525</v>
      </c>
      <c r="N92" s="5">
        <f t="shared" si="8"/>
        <v>0.28262626262626261</v>
      </c>
      <c r="O92" s="5" t="str">
        <f t="shared" si="9"/>
        <v>At-Risk</v>
      </c>
      <c r="P92" s="5">
        <f>IF(Table1[[#This Row],[Health Status]]="Churned",0,1)</f>
        <v>1</v>
      </c>
      <c r="Q92" s="5" t="str">
        <f>IF(Table1[[#This Row],[Subscription_End_Date]]="", "Active", "Churned")</f>
        <v>Active</v>
      </c>
      <c r="R92" s="5">
        <f ca="1">IF(Table1[[#This Row],[Subscription_End_Date]]="", DATEDIF(Table1[[#This Row],[Subscription_Start_Date]], TODAY(), "m"),
DATEDIF(Table1[[#This Row],[Subscription_Start_Date]], Table1[[#This Row],[Subscription_End_Date]], "m"))</f>
        <v>23</v>
      </c>
      <c r="S92" s="2">
        <f ca="1">Table1[[#This Row],[Monthly_Spend]] * Table1[[#This Row],[Customer Lifetime(Months)]]</f>
        <v>460000</v>
      </c>
    </row>
    <row r="93" spans="1:19" x14ac:dyDescent="0.35">
      <c r="A93" t="s">
        <v>111</v>
      </c>
      <c r="B93" t="s">
        <v>31</v>
      </c>
      <c r="C93" s="1">
        <v>45551</v>
      </c>
      <c r="E93" t="s">
        <v>16</v>
      </c>
      <c r="F93" s="2">
        <v>5000</v>
      </c>
      <c r="G93">
        <v>31</v>
      </c>
      <c r="H93">
        <v>42</v>
      </c>
      <c r="I93" t="s">
        <v>17</v>
      </c>
      <c r="J93">
        <f>IF(Table1[[#This Row],[Status]]="Churned",1,0)</f>
        <v>0</v>
      </c>
      <c r="K93">
        <f t="shared" si="5"/>
        <v>0.41414141414141414</v>
      </c>
      <c r="L93">
        <f t="shared" si="6"/>
        <v>0.38</v>
      </c>
      <c r="M93" s="5">
        <f t="shared" si="7"/>
        <v>0</v>
      </c>
      <c r="N93" s="5">
        <f t="shared" si="8"/>
        <v>0.27282828282828286</v>
      </c>
      <c r="O93" s="5" t="str">
        <f t="shared" si="9"/>
        <v>At-Risk</v>
      </c>
      <c r="P93" s="5">
        <f>IF(Table1[[#This Row],[Health Status]]="Churned",0,1)</f>
        <v>1</v>
      </c>
      <c r="Q93" s="5" t="str">
        <f>IF(Table1[[#This Row],[Subscription_End_Date]]="", "Active", "Churned")</f>
        <v>Active</v>
      </c>
      <c r="R93" s="5">
        <f ca="1">IF(Table1[[#This Row],[Subscription_End_Date]]="", DATEDIF(Table1[[#This Row],[Subscription_Start_Date]], TODAY(), "m"),
DATEDIF(Table1[[#This Row],[Subscription_Start_Date]], Table1[[#This Row],[Subscription_End_Date]], "m"))</f>
        <v>13</v>
      </c>
      <c r="S93" s="2">
        <f ca="1">Table1[[#This Row],[Monthly_Spend]] * Table1[[#This Row],[Customer Lifetime(Months)]]</f>
        <v>65000</v>
      </c>
    </row>
    <row r="94" spans="1:19" x14ac:dyDescent="0.35">
      <c r="A94" t="s">
        <v>112</v>
      </c>
      <c r="B94" t="s">
        <v>27</v>
      </c>
      <c r="C94" s="1">
        <v>45144</v>
      </c>
      <c r="E94" t="s">
        <v>23</v>
      </c>
      <c r="F94" s="2">
        <v>20000</v>
      </c>
      <c r="G94">
        <v>17</v>
      </c>
      <c r="H94">
        <v>77</v>
      </c>
      <c r="I94" t="s">
        <v>17</v>
      </c>
      <c r="J94">
        <f>IF(Table1[[#This Row],[Status]]="Churned",1,0)</f>
        <v>0</v>
      </c>
      <c r="K94">
        <f t="shared" si="5"/>
        <v>0.76767676767676762</v>
      </c>
      <c r="L94">
        <f t="shared" si="6"/>
        <v>0.65999999999999992</v>
      </c>
      <c r="M94" s="5">
        <f t="shared" si="7"/>
        <v>0.15789473684210525</v>
      </c>
      <c r="N94" s="5">
        <f t="shared" si="8"/>
        <v>0.48353535353535348</v>
      </c>
      <c r="O94" s="5" t="str">
        <f t="shared" si="9"/>
        <v>At-Risk</v>
      </c>
      <c r="P94" s="5">
        <f>IF(Table1[[#This Row],[Health Status]]="Churned",0,1)</f>
        <v>1</v>
      </c>
      <c r="Q94" s="5" t="str">
        <f>IF(Table1[[#This Row],[Subscription_End_Date]]="", "Active", "Churned")</f>
        <v>Active</v>
      </c>
      <c r="R94" s="5">
        <f ca="1">IF(Table1[[#This Row],[Subscription_End_Date]]="", DATEDIF(Table1[[#This Row],[Subscription_Start_Date]], TODAY(), "m"),
DATEDIF(Table1[[#This Row],[Subscription_Start_Date]], Table1[[#This Row],[Subscription_End_Date]], "m"))</f>
        <v>26</v>
      </c>
      <c r="S94" s="2">
        <f ca="1">Table1[[#This Row],[Monthly_Spend]] * Table1[[#This Row],[Customer Lifetime(Months)]]</f>
        <v>520000</v>
      </c>
    </row>
    <row r="95" spans="1:19" x14ac:dyDescent="0.35">
      <c r="A95" t="s">
        <v>113</v>
      </c>
      <c r="B95" t="s">
        <v>19</v>
      </c>
      <c r="C95" s="1">
        <v>44937</v>
      </c>
      <c r="E95" t="s">
        <v>16</v>
      </c>
      <c r="F95" s="2">
        <v>5000</v>
      </c>
      <c r="G95">
        <v>15</v>
      </c>
      <c r="H95">
        <v>93</v>
      </c>
      <c r="I95" t="s">
        <v>12</v>
      </c>
      <c r="J95">
        <f>IF(Table1[[#This Row],[Status]]="Churned",1,0)</f>
        <v>0</v>
      </c>
      <c r="K95">
        <f t="shared" si="5"/>
        <v>0.92929292929292928</v>
      </c>
      <c r="L95">
        <f t="shared" si="6"/>
        <v>0.7</v>
      </c>
      <c r="M95" s="5">
        <f t="shared" si="7"/>
        <v>0</v>
      </c>
      <c r="N95" s="5">
        <f t="shared" si="8"/>
        <v>0.53585858585858581</v>
      </c>
      <c r="O95" s="5" t="str">
        <f t="shared" si="9"/>
        <v>At-Risk</v>
      </c>
      <c r="P95" s="5">
        <f>IF(Table1[[#This Row],[Health Status]]="Churned",0,1)</f>
        <v>1</v>
      </c>
      <c r="Q95" s="5" t="str">
        <f>IF(Table1[[#This Row],[Subscription_End_Date]]="", "Active", "Churned")</f>
        <v>Active</v>
      </c>
      <c r="R95" s="5">
        <f ca="1">IF(Table1[[#This Row],[Subscription_End_Date]]="", DATEDIF(Table1[[#This Row],[Subscription_Start_Date]], TODAY(), "m"),
DATEDIF(Table1[[#This Row],[Subscription_Start_Date]], Table1[[#This Row],[Subscription_End_Date]], "m"))</f>
        <v>33</v>
      </c>
      <c r="S95" s="2">
        <f ca="1">Table1[[#This Row],[Monthly_Spend]] * Table1[[#This Row],[Customer Lifetime(Months)]]</f>
        <v>165000</v>
      </c>
    </row>
    <row r="96" spans="1:19" x14ac:dyDescent="0.35">
      <c r="A96" t="s">
        <v>114</v>
      </c>
      <c r="B96" t="s">
        <v>31</v>
      </c>
      <c r="C96" s="1">
        <v>45495</v>
      </c>
      <c r="E96" t="s">
        <v>23</v>
      </c>
      <c r="F96" s="2">
        <v>50000</v>
      </c>
      <c r="G96">
        <v>28</v>
      </c>
      <c r="H96">
        <v>3</v>
      </c>
      <c r="I96" t="s">
        <v>17</v>
      </c>
      <c r="J96">
        <f>IF(Table1[[#This Row],[Status]]="Churned",1,0)</f>
        <v>0</v>
      </c>
      <c r="K96">
        <f t="shared" si="5"/>
        <v>2.0202020202020204E-2</v>
      </c>
      <c r="L96">
        <f t="shared" si="6"/>
        <v>0.43999999999999995</v>
      </c>
      <c r="M96" s="5">
        <f t="shared" si="7"/>
        <v>0.47368421052631576</v>
      </c>
      <c r="N96" s="5">
        <f t="shared" si="8"/>
        <v>0.22404040404040401</v>
      </c>
      <c r="O96" s="5" t="str">
        <f t="shared" si="9"/>
        <v>At-Risk</v>
      </c>
      <c r="P96" s="5">
        <f>IF(Table1[[#This Row],[Health Status]]="Churned",0,1)</f>
        <v>1</v>
      </c>
      <c r="Q96" s="5" t="str">
        <f>IF(Table1[[#This Row],[Subscription_End_Date]]="", "Active", "Churned")</f>
        <v>Active</v>
      </c>
      <c r="R96" s="5">
        <f ca="1">IF(Table1[[#This Row],[Subscription_End_Date]]="", DATEDIF(Table1[[#This Row],[Subscription_Start_Date]], TODAY(), "m"),
DATEDIF(Table1[[#This Row],[Subscription_Start_Date]], Table1[[#This Row],[Subscription_End_Date]], "m"))</f>
        <v>15</v>
      </c>
      <c r="S96" s="2">
        <f ca="1">Table1[[#This Row],[Monthly_Spend]] * Table1[[#This Row],[Customer Lifetime(Months)]]</f>
        <v>750000</v>
      </c>
    </row>
    <row r="97" spans="1:19" x14ac:dyDescent="0.35">
      <c r="A97" t="s">
        <v>115</v>
      </c>
      <c r="B97" t="s">
        <v>10</v>
      </c>
      <c r="C97" s="1">
        <v>45153</v>
      </c>
      <c r="E97" t="s">
        <v>23</v>
      </c>
      <c r="F97" s="2">
        <v>20000</v>
      </c>
      <c r="G97">
        <v>42</v>
      </c>
      <c r="H97">
        <v>75</v>
      </c>
      <c r="I97" t="s">
        <v>12</v>
      </c>
      <c r="J97">
        <f>IF(Table1[[#This Row],[Status]]="Churned",1,0)</f>
        <v>0</v>
      </c>
      <c r="K97">
        <f t="shared" si="5"/>
        <v>0.74747474747474751</v>
      </c>
      <c r="L97">
        <f t="shared" si="6"/>
        <v>0.16000000000000003</v>
      </c>
      <c r="M97" s="5">
        <f t="shared" si="7"/>
        <v>0.15789473684210525</v>
      </c>
      <c r="N97" s="5">
        <f t="shared" si="8"/>
        <v>0.22949494949494953</v>
      </c>
      <c r="O97" s="5" t="str">
        <f t="shared" si="9"/>
        <v>At-Risk</v>
      </c>
      <c r="P97" s="5">
        <f>IF(Table1[[#This Row],[Health Status]]="Churned",0,1)</f>
        <v>1</v>
      </c>
      <c r="Q97" s="5" t="str">
        <f>IF(Table1[[#This Row],[Subscription_End_Date]]="", "Active", "Churned")</f>
        <v>Active</v>
      </c>
      <c r="R97" s="5">
        <f ca="1">IF(Table1[[#This Row],[Subscription_End_Date]]="", DATEDIF(Table1[[#This Row],[Subscription_Start_Date]], TODAY(), "m"),
DATEDIF(Table1[[#This Row],[Subscription_Start_Date]], Table1[[#This Row],[Subscription_End_Date]], "m"))</f>
        <v>26</v>
      </c>
      <c r="S97" s="2">
        <f ca="1">Table1[[#This Row],[Monthly_Spend]] * Table1[[#This Row],[Customer Lifetime(Months)]]</f>
        <v>520000</v>
      </c>
    </row>
    <row r="98" spans="1:19" x14ac:dyDescent="0.35">
      <c r="A98" t="s">
        <v>116</v>
      </c>
      <c r="B98" t="s">
        <v>19</v>
      </c>
      <c r="C98" s="1">
        <v>45493</v>
      </c>
      <c r="E98" t="s">
        <v>23</v>
      </c>
      <c r="F98" s="2">
        <v>100000</v>
      </c>
      <c r="G98">
        <v>21</v>
      </c>
      <c r="H98">
        <v>46</v>
      </c>
      <c r="I98" t="s">
        <v>17</v>
      </c>
      <c r="J98">
        <f>IF(Table1[[#This Row],[Status]]="Churned",1,0)</f>
        <v>0</v>
      </c>
      <c r="K98">
        <f t="shared" si="5"/>
        <v>0.45454545454545453</v>
      </c>
      <c r="L98">
        <f t="shared" si="6"/>
        <v>0.58000000000000007</v>
      </c>
      <c r="M98" s="5">
        <f t="shared" si="7"/>
        <v>1</v>
      </c>
      <c r="N98" s="5">
        <f t="shared" si="8"/>
        <v>0.38090909090909097</v>
      </c>
      <c r="O98" s="5" t="str">
        <f t="shared" si="9"/>
        <v>Healthy</v>
      </c>
      <c r="P98" s="5">
        <f>IF(Table1[[#This Row],[Health Status]]="Churned",0,1)</f>
        <v>1</v>
      </c>
      <c r="Q98" s="5" t="str">
        <f>IF(Table1[[#This Row],[Subscription_End_Date]]="", "Active", "Churned")</f>
        <v>Active</v>
      </c>
      <c r="R98" s="5">
        <f ca="1">IF(Table1[[#This Row],[Subscription_End_Date]]="", DATEDIF(Table1[[#This Row],[Subscription_Start_Date]], TODAY(), "m"),
DATEDIF(Table1[[#This Row],[Subscription_Start_Date]], Table1[[#This Row],[Subscription_End_Date]], "m"))</f>
        <v>15</v>
      </c>
      <c r="S98" s="2">
        <f ca="1">Table1[[#This Row],[Monthly_Spend]] * Table1[[#This Row],[Customer Lifetime(Months)]]</f>
        <v>1500000</v>
      </c>
    </row>
    <row r="99" spans="1:19" x14ac:dyDescent="0.35">
      <c r="A99" t="s">
        <v>117</v>
      </c>
      <c r="B99" t="s">
        <v>31</v>
      </c>
      <c r="C99" s="1">
        <v>45240</v>
      </c>
      <c r="E99" t="s">
        <v>23</v>
      </c>
      <c r="F99" s="2">
        <v>10000</v>
      </c>
      <c r="G99">
        <v>20</v>
      </c>
      <c r="H99">
        <v>16</v>
      </c>
      <c r="I99" t="s">
        <v>12</v>
      </c>
      <c r="J99">
        <f>IF(Table1[[#This Row],[Status]]="Churned",1,0)</f>
        <v>0</v>
      </c>
      <c r="K99">
        <f t="shared" si="5"/>
        <v>0.15151515151515152</v>
      </c>
      <c r="L99">
        <f t="shared" si="6"/>
        <v>0.6</v>
      </c>
      <c r="M99" s="5">
        <f t="shared" si="7"/>
        <v>5.2631578947368418E-2</v>
      </c>
      <c r="N99" s="5">
        <f t="shared" si="8"/>
        <v>0.33030303030303032</v>
      </c>
      <c r="O99" s="5" t="str">
        <f t="shared" si="9"/>
        <v>At-Risk</v>
      </c>
      <c r="P99" s="5">
        <f>IF(Table1[[#This Row],[Health Status]]="Churned",0,1)</f>
        <v>1</v>
      </c>
      <c r="Q99" s="5" t="str">
        <f>IF(Table1[[#This Row],[Subscription_End_Date]]="", "Active", "Churned")</f>
        <v>Active</v>
      </c>
      <c r="R99" s="5">
        <f ca="1">IF(Table1[[#This Row],[Subscription_End_Date]]="", DATEDIF(Table1[[#This Row],[Subscription_Start_Date]], TODAY(), "m"),
DATEDIF(Table1[[#This Row],[Subscription_Start_Date]], Table1[[#This Row],[Subscription_End_Date]], "m"))</f>
        <v>23</v>
      </c>
      <c r="S99" s="2">
        <f ca="1">Table1[[#This Row],[Monthly_Spend]] * Table1[[#This Row],[Customer Lifetime(Months)]]</f>
        <v>230000</v>
      </c>
    </row>
    <row r="100" spans="1:19" x14ac:dyDescent="0.35">
      <c r="A100" t="s">
        <v>118</v>
      </c>
      <c r="B100" t="s">
        <v>14</v>
      </c>
      <c r="C100" s="1">
        <v>45116</v>
      </c>
      <c r="D100" s="1">
        <v>45641</v>
      </c>
      <c r="E100" t="s">
        <v>16</v>
      </c>
      <c r="F100" s="2">
        <v>20000</v>
      </c>
      <c r="G100">
        <v>46</v>
      </c>
      <c r="H100">
        <v>76</v>
      </c>
      <c r="I100" t="s">
        <v>28</v>
      </c>
      <c r="J100">
        <f>IF(Table1[[#This Row],[Status]]="Churned",1,0)</f>
        <v>1</v>
      </c>
      <c r="K100">
        <f t="shared" si="5"/>
        <v>0.75757575757575757</v>
      </c>
      <c r="L100">
        <f t="shared" si="6"/>
        <v>7.999999999999996E-2</v>
      </c>
      <c r="M100" s="5">
        <f t="shared" si="7"/>
        <v>0.15789473684210525</v>
      </c>
      <c r="N100" s="5">
        <f t="shared" si="8"/>
        <v>0.49151515151515152</v>
      </c>
      <c r="O100" s="5" t="str">
        <f t="shared" si="9"/>
        <v>Churned</v>
      </c>
      <c r="P100" s="5">
        <f>IF(Table1[[#This Row],[Health Status]]="Churned",0,1)</f>
        <v>0</v>
      </c>
      <c r="Q100" s="5" t="str">
        <f>IF(Table1[[#This Row],[Subscription_End_Date]]="", "Active", "Churned")</f>
        <v>Churned</v>
      </c>
      <c r="R100" s="5">
        <f ca="1">IF(Table1[[#This Row],[Subscription_End_Date]]="", DATEDIF(Table1[[#This Row],[Subscription_Start_Date]], TODAY(), "m"),
DATEDIF(Table1[[#This Row],[Subscription_Start_Date]], Table1[[#This Row],[Subscription_End_Date]], "m"))</f>
        <v>17</v>
      </c>
      <c r="S100" s="2">
        <f ca="1">Table1[[#This Row],[Monthly_Spend]] * Table1[[#This Row],[Customer Lifetime(Months)]]</f>
        <v>340000</v>
      </c>
    </row>
    <row r="101" spans="1:19" x14ac:dyDescent="0.35">
      <c r="A101" t="s">
        <v>119</v>
      </c>
      <c r="B101" t="s">
        <v>14</v>
      </c>
      <c r="C101" s="1">
        <v>45216</v>
      </c>
      <c r="E101" t="s">
        <v>16</v>
      </c>
      <c r="F101" s="2">
        <v>20000</v>
      </c>
      <c r="G101">
        <v>14</v>
      </c>
      <c r="H101">
        <v>47</v>
      </c>
      <c r="I101" t="s">
        <v>12</v>
      </c>
      <c r="J101">
        <f>IF(Table1[[#This Row],[Status]]="Churned",1,0)</f>
        <v>0</v>
      </c>
      <c r="K101">
        <f t="shared" si="5"/>
        <v>0.46464646464646464</v>
      </c>
      <c r="L101">
        <f t="shared" si="6"/>
        <v>0.72</v>
      </c>
      <c r="M101" s="5">
        <f t="shared" si="7"/>
        <v>0.15789473684210525</v>
      </c>
      <c r="N101" s="5">
        <f t="shared" si="8"/>
        <v>0.4529292929292929</v>
      </c>
      <c r="O101" s="5" t="str">
        <f t="shared" si="9"/>
        <v>At-Risk</v>
      </c>
      <c r="P101" s="5">
        <f>IF(Table1[[#This Row],[Health Status]]="Churned",0,1)</f>
        <v>1</v>
      </c>
      <c r="Q101" s="5" t="str">
        <f>IF(Table1[[#This Row],[Subscription_End_Date]]="", "Active", "Churned")</f>
        <v>Active</v>
      </c>
      <c r="R101" s="5">
        <f ca="1">IF(Table1[[#This Row],[Subscription_End_Date]]="", DATEDIF(Table1[[#This Row],[Subscription_Start_Date]], TODAY(), "m"),
DATEDIF(Table1[[#This Row],[Subscription_Start_Date]], Table1[[#This Row],[Subscription_End_Date]], "m"))</f>
        <v>24</v>
      </c>
      <c r="S101" s="2">
        <f ca="1">Table1[[#This Row],[Monthly_Spend]] * Table1[[#This Row],[Customer Lifetime(Months)]]</f>
        <v>480000</v>
      </c>
    </row>
    <row r="102" spans="1:19" x14ac:dyDescent="0.35">
      <c r="A102" t="s">
        <v>120</v>
      </c>
      <c r="B102" t="s">
        <v>27</v>
      </c>
      <c r="C102" s="1">
        <v>44941</v>
      </c>
      <c r="E102" t="s">
        <v>23</v>
      </c>
      <c r="F102" s="2">
        <v>20000</v>
      </c>
      <c r="G102">
        <v>2</v>
      </c>
      <c r="H102">
        <v>7</v>
      </c>
      <c r="I102" t="s">
        <v>12</v>
      </c>
      <c r="J102">
        <f>IF(Table1[[#This Row],[Status]]="Churned",1,0)</f>
        <v>0</v>
      </c>
      <c r="K102">
        <f t="shared" si="5"/>
        <v>6.0606060606060608E-2</v>
      </c>
      <c r="L102">
        <f t="shared" si="6"/>
        <v>0.96</v>
      </c>
      <c r="M102" s="5">
        <f t="shared" si="7"/>
        <v>0.15789473684210525</v>
      </c>
      <c r="N102" s="5">
        <f t="shared" si="8"/>
        <v>0.49212121212121213</v>
      </c>
      <c r="O102" s="5" t="str">
        <f t="shared" si="9"/>
        <v>At-Risk</v>
      </c>
      <c r="P102" s="5">
        <f>IF(Table1[[#This Row],[Health Status]]="Churned",0,1)</f>
        <v>1</v>
      </c>
      <c r="Q102" s="5" t="str">
        <f>IF(Table1[[#This Row],[Subscription_End_Date]]="", "Active", "Churned")</f>
        <v>Active</v>
      </c>
      <c r="R102" s="5">
        <f ca="1">IF(Table1[[#This Row],[Subscription_End_Date]]="", DATEDIF(Table1[[#This Row],[Subscription_Start_Date]], TODAY(), "m"),
DATEDIF(Table1[[#This Row],[Subscription_Start_Date]], Table1[[#This Row],[Subscription_End_Date]], "m"))</f>
        <v>33</v>
      </c>
      <c r="S102" s="2">
        <f ca="1">Table1[[#This Row],[Monthly_Spend]] * Table1[[#This Row],[Customer Lifetime(Months)]]</f>
        <v>660000</v>
      </c>
    </row>
    <row r="103" spans="1:19" x14ac:dyDescent="0.35">
      <c r="A103" t="s">
        <v>121</v>
      </c>
      <c r="B103" t="s">
        <v>14</v>
      </c>
      <c r="C103" s="1">
        <v>45641</v>
      </c>
      <c r="E103" t="s">
        <v>23</v>
      </c>
      <c r="F103" s="2">
        <v>5000</v>
      </c>
      <c r="G103">
        <v>0</v>
      </c>
      <c r="H103">
        <v>74</v>
      </c>
      <c r="I103" t="s">
        <v>17</v>
      </c>
      <c r="J103">
        <f>IF(Table1[[#This Row],[Status]]="Churned",1,0)</f>
        <v>0</v>
      </c>
      <c r="K103">
        <f t="shared" si="5"/>
        <v>0.73737373737373735</v>
      </c>
      <c r="L103">
        <f t="shared" si="6"/>
        <v>1</v>
      </c>
      <c r="M103" s="5">
        <f t="shared" si="7"/>
        <v>0</v>
      </c>
      <c r="N103" s="5">
        <f t="shared" si="8"/>
        <v>0.64747474747474754</v>
      </c>
      <c r="O103" s="5" t="str">
        <f t="shared" si="9"/>
        <v>At-Risk</v>
      </c>
      <c r="P103" s="5">
        <f>IF(Table1[[#This Row],[Health Status]]="Churned",0,1)</f>
        <v>1</v>
      </c>
      <c r="Q103" s="5" t="str">
        <f>IF(Table1[[#This Row],[Subscription_End_Date]]="", "Active", "Churned")</f>
        <v>Active</v>
      </c>
      <c r="R103" s="5">
        <f ca="1">IF(Table1[[#This Row],[Subscription_End_Date]]="", DATEDIF(Table1[[#This Row],[Subscription_Start_Date]], TODAY(), "m"),
DATEDIF(Table1[[#This Row],[Subscription_Start_Date]], Table1[[#This Row],[Subscription_End_Date]], "m"))</f>
        <v>10</v>
      </c>
      <c r="S103" s="2">
        <f ca="1">Table1[[#This Row],[Monthly_Spend]] * Table1[[#This Row],[Customer Lifetime(Months)]]</f>
        <v>50000</v>
      </c>
    </row>
    <row r="104" spans="1:19" x14ac:dyDescent="0.35">
      <c r="A104" t="s">
        <v>122</v>
      </c>
      <c r="B104" t="s">
        <v>19</v>
      </c>
      <c r="C104" s="1">
        <v>45417</v>
      </c>
      <c r="E104" t="s">
        <v>23</v>
      </c>
      <c r="F104" s="2">
        <v>5000</v>
      </c>
      <c r="G104">
        <v>16</v>
      </c>
      <c r="H104">
        <v>62</v>
      </c>
      <c r="I104" t="s">
        <v>12</v>
      </c>
      <c r="J104">
        <f>IF(Table1[[#This Row],[Status]]="Churned",1,0)</f>
        <v>0</v>
      </c>
      <c r="K104">
        <f t="shared" si="5"/>
        <v>0.61616161616161613</v>
      </c>
      <c r="L104">
        <f t="shared" si="6"/>
        <v>0.67999999999999994</v>
      </c>
      <c r="M104" s="5">
        <f t="shared" si="7"/>
        <v>0</v>
      </c>
      <c r="N104" s="5">
        <f t="shared" si="8"/>
        <v>0.46323232323232322</v>
      </c>
      <c r="O104" s="5" t="str">
        <f t="shared" si="9"/>
        <v>At-Risk</v>
      </c>
      <c r="P104" s="5">
        <f>IF(Table1[[#This Row],[Health Status]]="Churned",0,1)</f>
        <v>1</v>
      </c>
      <c r="Q104" s="5" t="str">
        <f>IF(Table1[[#This Row],[Subscription_End_Date]]="", "Active", "Churned")</f>
        <v>Active</v>
      </c>
      <c r="R104" s="5">
        <f ca="1">IF(Table1[[#This Row],[Subscription_End_Date]]="", DATEDIF(Table1[[#This Row],[Subscription_Start_Date]], TODAY(), "m"),
DATEDIF(Table1[[#This Row],[Subscription_Start_Date]], Table1[[#This Row],[Subscription_End_Date]], "m"))</f>
        <v>17</v>
      </c>
      <c r="S104" s="2">
        <f ca="1">Table1[[#This Row],[Monthly_Spend]] * Table1[[#This Row],[Customer Lifetime(Months)]]</f>
        <v>85000</v>
      </c>
    </row>
    <row r="105" spans="1:19" x14ac:dyDescent="0.35">
      <c r="A105" t="s">
        <v>123</v>
      </c>
      <c r="B105" t="s">
        <v>10</v>
      </c>
      <c r="C105" s="1">
        <v>45337</v>
      </c>
      <c r="E105" t="s">
        <v>11</v>
      </c>
      <c r="F105" s="2">
        <v>10000</v>
      </c>
      <c r="G105">
        <v>9</v>
      </c>
      <c r="H105">
        <v>73</v>
      </c>
      <c r="I105" t="s">
        <v>12</v>
      </c>
      <c r="J105">
        <f>IF(Table1[[#This Row],[Status]]="Churned",1,0)</f>
        <v>0</v>
      </c>
      <c r="K105">
        <f t="shared" si="5"/>
        <v>0.72727272727272729</v>
      </c>
      <c r="L105">
        <f t="shared" si="6"/>
        <v>0.82000000000000006</v>
      </c>
      <c r="M105" s="5">
        <f t="shared" si="7"/>
        <v>5.2631578947368418E-2</v>
      </c>
      <c r="N105" s="5">
        <f t="shared" si="8"/>
        <v>0.55545454545454553</v>
      </c>
      <c r="O105" s="5" t="str">
        <f t="shared" si="9"/>
        <v>At-Risk</v>
      </c>
      <c r="P105" s="5">
        <f>IF(Table1[[#This Row],[Health Status]]="Churned",0,1)</f>
        <v>1</v>
      </c>
      <c r="Q105" s="5" t="str">
        <f>IF(Table1[[#This Row],[Subscription_End_Date]]="", "Active", "Churned")</f>
        <v>Active</v>
      </c>
      <c r="R105" s="5">
        <f ca="1">IF(Table1[[#This Row],[Subscription_End_Date]]="", DATEDIF(Table1[[#This Row],[Subscription_Start_Date]], TODAY(), "m"),
DATEDIF(Table1[[#This Row],[Subscription_Start_Date]], Table1[[#This Row],[Subscription_End_Date]], "m"))</f>
        <v>20</v>
      </c>
      <c r="S105" s="2">
        <f ca="1">Table1[[#This Row],[Monthly_Spend]] * Table1[[#This Row],[Customer Lifetime(Months)]]</f>
        <v>200000</v>
      </c>
    </row>
    <row r="106" spans="1:19" x14ac:dyDescent="0.35">
      <c r="A106" t="s">
        <v>124</v>
      </c>
      <c r="B106" t="s">
        <v>19</v>
      </c>
      <c r="C106" s="1">
        <v>45181</v>
      </c>
      <c r="E106" t="s">
        <v>11</v>
      </c>
      <c r="F106" s="2">
        <v>100000</v>
      </c>
      <c r="G106">
        <v>38</v>
      </c>
      <c r="H106">
        <v>80</v>
      </c>
      <c r="I106" t="s">
        <v>17</v>
      </c>
      <c r="J106">
        <f>IF(Table1[[#This Row],[Status]]="Churned",1,0)</f>
        <v>0</v>
      </c>
      <c r="K106">
        <f t="shared" si="5"/>
        <v>0.79797979797979801</v>
      </c>
      <c r="L106">
        <f t="shared" si="6"/>
        <v>0.24</v>
      </c>
      <c r="M106" s="5">
        <f t="shared" si="7"/>
        <v>1</v>
      </c>
      <c r="N106" s="5">
        <f t="shared" si="8"/>
        <v>0.27959595959595962</v>
      </c>
      <c r="O106" s="5" t="str">
        <f t="shared" si="9"/>
        <v>Healthy</v>
      </c>
      <c r="P106" s="5">
        <f>IF(Table1[[#This Row],[Health Status]]="Churned",0,1)</f>
        <v>1</v>
      </c>
      <c r="Q106" s="5" t="str">
        <f>IF(Table1[[#This Row],[Subscription_End_Date]]="", "Active", "Churned")</f>
        <v>Active</v>
      </c>
      <c r="R106" s="5">
        <f ca="1">IF(Table1[[#This Row],[Subscription_End_Date]]="", DATEDIF(Table1[[#This Row],[Subscription_Start_Date]], TODAY(), "m"),
DATEDIF(Table1[[#This Row],[Subscription_Start_Date]], Table1[[#This Row],[Subscription_End_Date]], "m"))</f>
        <v>25</v>
      </c>
      <c r="S106" s="2">
        <f ca="1">Table1[[#This Row],[Monthly_Spend]] * Table1[[#This Row],[Customer Lifetime(Months)]]</f>
        <v>2500000</v>
      </c>
    </row>
    <row r="107" spans="1:19" x14ac:dyDescent="0.35">
      <c r="A107" t="s">
        <v>125</v>
      </c>
      <c r="B107" t="s">
        <v>27</v>
      </c>
      <c r="C107" s="1">
        <v>45316</v>
      </c>
      <c r="E107" t="s">
        <v>16</v>
      </c>
      <c r="F107" s="2">
        <v>20000</v>
      </c>
      <c r="G107">
        <v>37</v>
      </c>
      <c r="H107">
        <v>55</v>
      </c>
      <c r="I107" t="s">
        <v>17</v>
      </c>
      <c r="J107">
        <f>IF(Table1[[#This Row],[Status]]="Churned",1,0)</f>
        <v>0</v>
      </c>
      <c r="K107">
        <f t="shared" si="5"/>
        <v>0.54545454545454541</v>
      </c>
      <c r="L107">
        <f t="shared" si="6"/>
        <v>0.26</v>
      </c>
      <c r="M107" s="5">
        <f t="shared" si="7"/>
        <v>0.15789473684210525</v>
      </c>
      <c r="N107" s="5">
        <f t="shared" si="8"/>
        <v>0.23909090909090908</v>
      </c>
      <c r="O107" s="5" t="str">
        <f t="shared" si="9"/>
        <v>At-Risk</v>
      </c>
      <c r="P107" s="5">
        <f>IF(Table1[[#This Row],[Health Status]]="Churned",0,1)</f>
        <v>1</v>
      </c>
      <c r="Q107" s="5" t="str">
        <f>IF(Table1[[#This Row],[Subscription_End_Date]]="", "Active", "Churned")</f>
        <v>Active</v>
      </c>
      <c r="R107" s="5">
        <f ca="1">IF(Table1[[#This Row],[Subscription_End_Date]]="", DATEDIF(Table1[[#This Row],[Subscription_Start_Date]], TODAY(), "m"),
DATEDIF(Table1[[#This Row],[Subscription_Start_Date]], Table1[[#This Row],[Subscription_End_Date]], "m"))</f>
        <v>21</v>
      </c>
      <c r="S107" s="2">
        <f ca="1">Table1[[#This Row],[Monthly_Spend]] * Table1[[#This Row],[Customer Lifetime(Months)]]</f>
        <v>420000</v>
      </c>
    </row>
    <row r="108" spans="1:19" x14ac:dyDescent="0.35">
      <c r="A108" t="s">
        <v>126</v>
      </c>
      <c r="B108" t="s">
        <v>19</v>
      </c>
      <c r="C108" s="1">
        <v>45562</v>
      </c>
      <c r="D108" s="1">
        <v>45693</v>
      </c>
      <c r="E108" t="s">
        <v>16</v>
      </c>
      <c r="F108" s="2">
        <v>10000</v>
      </c>
      <c r="G108">
        <v>40</v>
      </c>
      <c r="H108">
        <v>28</v>
      </c>
      <c r="I108" t="s">
        <v>28</v>
      </c>
      <c r="J108">
        <f>IF(Table1[[#This Row],[Status]]="Churned",1,0)</f>
        <v>1</v>
      </c>
      <c r="K108">
        <f t="shared" si="5"/>
        <v>0.27272727272727271</v>
      </c>
      <c r="L108">
        <f t="shared" si="6"/>
        <v>0.19999999999999996</v>
      </c>
      <c r="M108" s="5">
        <f t="shared" si="7"/>
        <v>5.2631578947368418E-2</v>
      </c>
      <c r="N108" s="5">
        <f t="shared" si="8"/>
        <v>0.45454545454545453</v>
      </c>
      <c r="O108" s="5" t="str">
        <f t="shared" si="9"/>
        <v>Churned</v>
      </c>
      <c r="P108" s="5">
        <f>IF(Table1[[#This Row],[Health Status]]="Churned",0,1)</f>
        <v>0</v>
      </c>
      <c r="Q108" s="5" t="str">
        <f>IF(Table1[[#This Row],[Subscription_End_Date]]="", "Active", "Churned")</f>
        <v>Churned</v>
      </c>
      <c r="R108" s="5">
        <f ca="1">IF(Table1[[#This Row],[Subscription_End_Date]]="", DATEDIF(Table1[[#This Row],[Subscription_Start_Date]], TODAY(), "m"),
DATEDIF(Table1[[#This Row],[Subscription_Start_Date]], Table1[[#This Row],[Subscription_End_Date]], "m"))</f>
        <v>4</v>
      </c>
      <c r="S108" s="2">
        <f ca="1">Table1[[#This Row],[Monthly_Spend]] * Table1[[#This Row],[Customer Lifetime(Months)]]</f>
        <v>40000</v>
      </c>
    </row>
    <row r="109" spans="1:19" x14ac:dyDescent="0.35">
      <c r="A109" t="s">
        <v>127</v>
      </c>
      <c r="B109" t="s">
        <v>19</v>
      </c>
      <c r="C109" s="1">
        <v>45010</v>
      </c>
      <c r="D109" s="1">
        <v>45217</v>
      </c>
      <c r="E109" t="s">
        <v>16</v>
      </c>
      <c r="F109" s="2">
        <v>100000</v>
      </c>
      <c r="G109">
        <v>4</v>
      </c>
      <c r="H109">
        <v>21</v>
      </c>
      <c r="I109" t="s">
        <v>28</v>
      </c>
      <c r="J109">
        <f>IF(Table1[[#This Row],[Status]]="Churned",1,0)</f>
        <v>1</v>
      </c>
      <c r="K109">
        <f t="shared" si="5"/>
        <v>0.20202020202020202</v>
      </c>
      <c r="L109">
        <f t="shared" si="6"/>
        <v>0.92</v>
      </c>
      <c r="M109" s="5">
        <f t="shared" si="7"/>
        <v>1</v>
      </c>
      <c r="N109" s="5">
        <f t="shared" si="8"/>
        <v>0.80040404040404045</v>
      </c>
      <c r="O109" s="5" t="str">
        <f t="shared" si="9"/>
        <v>Churned</v>
      </c>
      <c r="P109" s="5">
        <f>IF(Table1[[#This Row],[Health Status]]="Churned",0,1)</f>
        <v>0</v>
      </c>
      <c r="Q109" s="5" t="str">
        <f>IF(Table1[[#This Row],[Subscription_End_Date]]="", "Active", "Churned")</f>
        <v>Churned</v>
      </c>
      <c r="R109" s="5">
        <f ca="1">IF(Table1[[#This Row],[Subscription_End_Date]]="", DATEDIF(Table1[[#This Row],[Subscription_Start_Date]], TODAY(), "m"),
DATEDIF(Table1[[#This Row],[Subscription_Start_Date]], Table1[[#This Row],[Subscription_End_Date]], "m"))</f>
        <v>6</v>
      </c>
      <c r="S109" s="2">
        <f ca="1">Table1[[#This Row],[Monthly_Spend]] * Table1[[#This Row],[Customer Lifetime(Months)]]</f>
        <v>600000</v>
      </c>
    </row>
    <row r="110" spans="1:19" x14ac:dyDescent="0.35">
      <c r="A110" t="s">
        <v>128</v>
      </c>
      <c r="B110" t="s">
        <v>10</v>
      </c>
      <c r="C110" s="1">
        <v>45388</v>
      </c>
      <c r="E110" t="s">
        <v>23</v>
      </c>
      <c r="F110" s="2">
        <v>20000</v>
      </c>
      <c r="G110">
        <v>2</v>
      </c>
      <c r="H110">
        <v>30</v>
      </c>
      <c r="I110" t="s">
        <v>17</v>
      </c>
      <c r="J110">
        <f>IF(Table1[[#This Row],[Status]]="Churned",1,0)</f>
        <v>0</v>
      </c>
      <c r="K110">
        <f t="shared" si="5"/>
        <v>0.29292929292929293</v>
      </c>
      <c r="L110">
        <f t="shared" si="6"/>
        <v>0.96</v>
      </c>
      <c r="M110" s="5">
        <f t="shared" si="7"/>
        <v>0.15789473684210525</v>
      </c>
      <c r="N110" s="5">
        <f t="shared" si="8"/>
        <v>0.53858585858585861</v>
      </c>
      <c r="O110" s="5" t="str">
        <f t="shared" si="9"/>
        <v>At-Risk</v>
      </c>
      <c r="P110" s="5">
        <f>IF(Table1[[#This Row],[Health Status]]="Churned",0,1)</f>
        <v>1</v>
      </c>
      <c r="Q110" s="5" t="str">
        <f>IF(Table1[[#This Row],[Subscription_End_Date]]="", "Active", "Churned")</f>
        <v>Active</v>
      </c>
      <c r="R110" s="5">
        <f ca="1">IF(Table1[[#This Row],[Subscription_End_Date]]="", DATEDIF(Table1[[#This Row],[Subscription_Start_Date]], TODAY(), "m"),
DATEDIF(Table1[[#This Row],[Subscription_Start_Date]], Table1[[#This Row],[Subscription_End_Date]], "m"))</f>
        <v>18</v>
      </c>
      <c r="S110" s="2">
        <f ca="1">Table1[[#This Row],[Monthly_Spend]] * Table1[[#This Row],[Customer Lifetime(Months)]]</f>
        <v>360000</v>
      </c>
    </row>
    <row r="111" spans="1:19" x14ac:dyDescent="0.35">
      <c r="A111" t="s">
        <v>129</v>
      </c>
      <c r="B111" t="s">
        <v>19</v>
      </c>
      <c r="C111" s="1">
        <v>45216</v>
      </c>
      <c r="E111" t="s">
        <v>16</v>
      </c>
      <c r="F111" s="2">
        <v>5000</v>
      </c>
      <c r="G111">
        <v>43</v>
      </c>
      <c r="H111">
        <v>30</v>
      </c>
      <c r="I111" t="s">
        <v>17</v>
      </c>
      <c r="J111">
        <f>IF(Table1[[#This Row],[Status]]="Churned",1,0)</f>
        <v>0</v>
      </c>
      <c r="K111">
        <f t="shared" si="5"/>
        <v>0.29292929292929293</v>
      </c>
      <c r="L111">
        <f t="shared" si="6"/>
        <v>0.14000000000000001</v>
      </c>
      <c r="M111" s="5">
        <f t="shared" si="7"/>
        <v>0</v>
      </c>
      <c r="N111" s="5">
        <f t="shared" si="8"/>
        <v>0.12858585858585858</v>
      </c>
      <c r="O111" s="5" t="str">
        <f t="shared" si="9"/>
        <v>At-Risk</v>
      </c>
      <c r="P111" s="5">
        <f>IF(Table1[[#This Row],[Health Status]]="Churned",0,1)</f>
        <v>1</v>
      </c>
      <c r="Q111" s="5" t="str">
        <f>IF(Table1[[#This Row],[Subscription_End_Date]]="", "Active", "Churned")</f>
        <v>Active</v>
      </c>
      <c r="R111" s="5">
        <f ca="1">IF(Table1[[#This Row],[Subscription_End_Date]]="", DATEDIF(Table1[[#This Row],[Subscription_Start_Date]], TODAY(), "m"),
DATEDIF(Table1[[#This Row],[Subscription_Start_Date]], Table1[[#This Row],[Subscription_End_Date]], "m"))</f>
        <v>24</v>
      </c>
      <c r="S111" s="2">
        <f ca="1">Table1[[#This Row],[Monthly_Spend]] * Table1[[#This Row],[Customer Lifetime(Months)]]</f>
        <v>120000</v>
      </c>
    </row>
    <row r="112" spans="1:19" x14ac:dyDescent="0.35">
      <c r="A112" t="s">
        <v>130</v>
      </c>
      <c r="B112" t="s">
        <v>19</v>
      </c>
      <c r="C112" s="1">
        <v>45530</v>
      </c>
      <c r="E112" t="s">
        <v>16</v>
      </c>
      <c r="F112" s="2">
        <v>50000</v>
      </c>
      <c r="G112">
        <v>7</v>
      </c>
      <c r="H112">
        <v>70</v>
      </c>
      <c r="I112" t="s">
        <v>12</v>
      </c>
      <c r="J112">
        <f>IF(Table1[[#This Row],[Status]]="Churned",1,0)</f>
        <v>0</v>
      </c>
      <c r="K112">
        <f t="shared" si="5"/>
        <v>0.69696969696969702</v>
      </c>
      <c r="L112">
        <f t="shared" si="6"/>
        <v>0.86</v>
      </c>
      <c r="M112" s="5">
        <f t="shared" si="7"/>
        <v>0.47368421052631576</v>
      </c>
      <c r="N112" s="5">
        <f t="shared" si="8"/>
        <v>0.56939393939393934</v>
      </c>
      <c r="O112" s="5" t="str">
        <f t="shared" si="9"/>
        <v>At-Risk</v>
      </c>
      <c r="P112" s="5">
        <f>IF(Table1[[#This Row],[Health Status]]="Churned",0,1)</f>
        <v>1</v>
      </c>
      <c r="Q112" s="5" t="str">
        <f>IF(Table1[[#This Row],[Subscription_End_Date]]="", "Active", "Churned")</f>
        <v>Active</v>
      </c>
      <c r="R112" s="5">
        <f ca="1">IF(Table1[[#This Row],[Subscription_End_Date]]="", DATEDIF(Table1[[#This Row],[Subscription_Start_Date]], TODAY(), "m"),
DATEDIF(Table1[[#This Row],[Subscription_Start_Date]], Table1[[#This Row],[Subscription_End_Date]], "m"))</f>
        <v>14</v>
      </c>
      <c r="S112" s="2">
        <f ca="1">Table1[[#This Row],[Monthly_Spend]] * Table1[[#This Row],[Customer Lifetime(Months)]]</f>
        <v>700000</v>
      </c>
    </row>
    <row r="113" spans="1:19" x14ac:dyDescent="0.35">
      <c r="A113" t="s">
        <v>131</v>
      </c>
      <c r="B113" t="s">
        <v>27</v>
      </c>
      <c r="C113" s="1">
        <v>45079</v>
      </c>
      <c r="E113" t="s">
        <v>16</v>
      </c>
      <c r="F113" s="2">
        <v>5000</v>
      </c>
      <c r="G113">
        <v>3</v>
      </c>
      <c r="H113">
        <v>22</v>
      </c>
      <c r="I113" t="s">
        <v>12</v>
      </c>
      <c r="J113">
        <f>IF(Table1[[#This Row],[Status]]="Churned",1,0)</f>
        <v>0</v>
      </c>
      <c r="K113">
        <f t="shared" si="5"/>
        <v>0.21212121212121213</v>
      </c>
      <c r="L113">
        <f t="shared" si="6"/>
        <v>0.94</v>
      </c>
      <c r="M113" s="5">
        <f t="shared" si="7"/>
        <v>0</v>
      </c>
      <c r="N113" s="5">
        <f t="shared" si="8"/>
        <v>0.51242424242424245</v>
      </c>
      <c r="O113" s="5" t="str">
        <f t="shared" si="9"/>
        <v>At-Risk</v>
      </c>
      <c r="P113" s="5">
        <f>IF(Table1[[#This Row],[Health Status]]="Churned",0,1)</f>
        <v>1</v>
      </c>
      <c r="Q113" s="5" t="str">
        <f>IF(Table1[[#This Row],[Subscription_End_Date]]="", "Active", "Churned")</f>
        <v>Active</v>
      </c>
      <c r="R113" s="5">
        <f ca="1">IF(Table1[[#This Row],[Subscription_End_Date]]="", DATEDIF(Table1[[#This Row],[Subscription_Start_Date]], TODAY(), "m"),
DATEDIF(Table1[[#This Row],[Subscription_Start_Date]], Table1[[#This Row],[Subscription_End_Date]], "m"))</f>
        <v>28</v>
      </c>
      <c r="S113" s="2">
        <f ca="1">Table1[[#This Row],[Monthly_Spend]] * Table1[[#This Row],[Customer Lifetime(Months)]]</f>
        <v>140000</v>
      </c>
    </row>
    <row r="114" spans="1:19" x14ac:dyDescent="0.35">
      <c r="A114" t="s">
        <v>132</v>
      </c>
      <c r="B114" t="s">
        <v>19</v>
      </c>
      <c r="C114" s="1">
        <v>45509</v>
      </c>
      <c r="E114" t="s">
        <v>16</v>
      </c>
      <c r="F114" s="2">
        <v>5000</v>
      </c>
      <c r="G114">
        <v>29</v>
      </c>
      <c r="H114">
        <v>89</v>
      </c>
      <c r="I114" t="s">
        <v>17</v>
      </c>
      <c r="J114">
        <f>IF(Table1[[#This Row],[Status]]="Churned",1,0)</f>
        <v>0</v>
      </c>
      <c r="K114">
        <f t="shared" si="5"/>
        <v>0.88888888888888884</v>
      </c>
      <c r="L114">
        <f t="shared" si="6"/>
        <v>0.42000000000000004</v>
      </c>
      <c r="M114" s="5">
        <f t="shared" si="7"/>
        <v>0</v>
      </c>
      <c r="N114" s="5">
        <f t="shared" si="8"/>
        <v>0.38777777777777778</v>
      </c>
      <c r="O114" s="5" t="str">
        <f t="shared" si="9"/>
        <v>At-Risk</v>
      </c>
      <c r="P114" s="5">
        <f>IF(Table1[[#This Row],[Health Status]]="Churned",0,1)</f>
        <v>1</v>
      </c>
      <c r="Q114" s="5" t="str">
        <f>IF(Table1[[#This Row],[Subscription_End_Date]]="", "Active", "Churned")</f>
        <v>Active</v>
      </c>
      <c r="R114" s="5">
        <f ca="1">IF(Table1[[#This Row],[Subscription_End_Date]]="", DATEDIF(Table1[[#This Row],[Subscription_Start_Date]], TODAY(), "m"),
DATEDIF(Table1[[#This Row],[Subscription_Start_Date]], Table1[[#This Row],[Subscription_End_Date]], "m"))</f>
        <v>14</v>
      </c>
      <c r="S114" s="2">
        <f ca="1">Table1[[#This Row],[Monthly_Spend]] * Table1[[#This Row],[Customer Lifetime(Months)]]</f>
        <v>70000</v>
      </c>
    </row>
    <row r="115" spans="1:19" x14ac:dyDescent="0.35">
      <c r="A115" t="s">
        <v>133</v>
      </c>
      <c r="B115" t="s">
        <v>19</v>
      </c>
      <c r="C115" s="1">
        <v>45339</v>
      </c>
      <c r="E115" t="s">
        <v>16</v>
      </c>
      <c r="F115" s="2">
        <v>50000</v>
      </c>
      <c r="G115">
        <v>5</v>
      </c>
      <c r="H115">
        <v>77</v>
      </c>
      <c r="I115" t="s">
        <v>17</v>
      </c>
      <c r="J115">
        <f>IF(Table1[[#This Row],[Status]]="Churned",1,0)</f>
        <v>0</v>
      </c>
      <c r="K115">
        <f t="shared" si="5"/>
        <v>0.76767676767676762</v>
      </c>
      <c r="L115">
        <f t="shared" si="6"/>
        <v>0.9</v>
      </c>
      <c r="M115" s="5">
        <f t="shared" si="7"/>
        <v>0.47368421052631576</v>
      </c>
      <c r="N115" s="5">
        <f t="shared" si="8"/>
        <v>0.60353535353535359</v>
      </c>
      <c r="O115" s="5" t="str">
        <f t="shared" si="9"/>
        <v>At-Risk</v>
      </c>
      <c r="P115" s="5">
        <f>IF(Table1[[#This Row],[Health Status]]="Churned",0,1)</f>
        <v>1</v>
      </c>
      <c r="Q115" s="5" t="str">
        <f>IF(Table1[[#This Row],[Subscription_End_Date]]="", "Active", "Churned")</f>
        <v>Active</v>
      </c>
      <c r="R115" s="5">
        <f ca="1">IF(Table1[[#This Row],[Subscription_End_Date]]="", DATEDIF(Table1[[#This Row],[Subscription_Start_Date]], TODAY(), "m"),
DATEDIF(Table1[[#This Row],[Subscription_Start_Date]], Table1[[#This Row],[Subscription_End_Date]], "m"))</f>
        <v>20</v>
      </c>
      <c r="S115" s="2">
        <f ca="1">Table1[[#This Row],[Monthly_Spend]] * Table1[[#This Row],[Customer Lifetime(Months)]]</f>
        <v>1000000</v>
      </c>
    </row>
    <row r="116" spans="1:19" x14ac:dyDescent="0.35">
      <c r="A116" t="s">
        <v>134</v>
      </c>
      <c r="B116" t="s">
        <v>10</v>
      </c>
      <c r="C116" s="1">
        <v>45257</v>
      </c>
      <c r="E116" t="s">
        <v>23</v>
      </c>
      <c r="F116" s="2">
        <v>5000</v>
      </c>
      <c r="G116">
        <v>14</v>
      </c>
      <c r="H116">
        <v>87</v>
      </c>
      <c r="I116" t="s">
        <v>12</v>
      </c>
      <c r="J116">
        <f>IF(Table1[[#This Row],[Status]]="Churned",1,0)</f>
        <v>0</v>
      </c>
      <c r="K116">
        <f t="shared" si="5"/>
        <v>0.86868686868686873</v>
      </c>
      <c r="L116">
        <f t="shared" si="6"/>
        <v>0.72</v>
      </c>
      <c r="M116" s="5">
        <f t="shared" si="7"/>
        <v>0</v>
      </c>
      <c r="N116" s="5">
        <f t="shared" si="8"/>
        <v>0.53373737373737373</v>
      </c>
      <c r="O116" s="5" t="str">
        <f t="shared" si="9"/>
        <v>At-Risk</v>
      </c>
      <c r="P116" s="5">
        <f>IF(Table1[[#This Row],[Health Status]]="Churned",0,1)</f>
        <v>1</v>
      </c>
      <c r="Q116" s="5" t="str">
        <f>IF(Table1[[#This Row],[Subscription_End_Date]]="", "Active", "Churned")</f>
        <v>Active</v>
      </c>
      <c r="R116" s="5">
        <f ca="1">IF(Table1[[#This Row],[Subscription_End_Date]]="", DATEDIF(Table1[[#This Row],[Subscription_Start_Date]], TODAY(), "m"),
DATEDIF(Table1[[#This Row],[Subscription_Start_Date]], Table1[[#This Row],[Subscription_End_Date]], "m"))</f>
        <v>23</v>
      </c>
      <c r="S116" s="2">
        <f ca="1">Table1[[#This Row],[Monthly_Spend]] * Table1[[#This Row],[Customer Lifetime(Months)]]</f>
        <v>115000</v>
      </c>
    </row>
    <row r="117" spans="1:19" x14ac:dyDescent="0.35">
      <c r="A117" t="s">
        <v>135</v>
      </c>
      <c r="B117" t="s">
        <v>14</v>
      </c>
      <c r="C117" s="1">
        <v>44948</v>
      </c>
      <c r="E117" t="s">
        <v>16</v>
      </c>
      <c r="F117" s="2">
        <v>100000</v>
      </c>
      <c r="G117">
        <v>2</v>
      </c>
      <c r="H117">
        <v>98</v>
      </c>
      <c r="I117" t="s">
        <v>17</v>
      </c>
      <c r="J117">
        <f>IF(Table1[[#This Row],[Status]]="Churned",1,0)</f>
        <v>0</v>
      </c>
      <c r="K117">
        <f t="shared" si="5"/>
        <v>0.97979797979797978</v>
      </c>
      <c r="L117">
        <f t="shared" si="6"/>
        <v>0.96</v>
      </c>
      <c r="M117" s="5">
        <f t="shared" si="7"/>
        <v>1</v>
      </c>
      <c r="N117" s="5">
        <f t="shared" si="8"/>
        <v>0.67595959595959598</v>
      </c>
      <c r="O117" s="5" t="str">
        <f t="shared" si="9"/>
        <v>Healthy</v>
      </c>
      <c r="P117" s="5">
        <f>IF(Table1[[#This Row],[Health Status]]="Churned",0,1)</f>
        <v>1</v>
      </c>
      <c r="Q117" s="5" t="str">
        <f>IF(Table1[[#This Row],[Subscription_End_Date]]="", "Active", "Churned")</f>
        <v>Active</v>
      </c>
      <c r="R117" s="5">
        <f ca="1">IF(Table1[[#This Row],[Subscription_End_Date]]="", DATEDIF(Table1[[#This Row],[Subscription_Start_Date]], TODAY(), "m"),
DATEDIF(Table1[[#This Row],[Subscription_Start_Date]], Table1[[#This Row],[Subscription_End_Date]], "m"))</f>
        <v>33</v>
      </c>
      <c r="S117" s="2">
        <f ca="1">Table1[[#This Row],[Monthly_Spend]] * Table1[[#This Row],[Customer Lifetime(Months)]]</f>
        <v>3300000</v>
      </c>
    </row>
    <row r="118" spans="1:19" x14ac:dyDescent="0.35">
      <c r="A118" t="s">
        <v>136</v>
      </c>
      <c r="B118" t="s">
        <v>27</v>
      </c>
      <c r="C118" s="1">
        <v>45458</v>
      </c>
      <c r="E118" t="s">
        <v>23</v>
      </c>
      <c r="F118" s="2">
        <v>10000</v>
      </c>
      <c r="G118">
        <v>37</v>
      </c>
      <c r="H118">
        <v>56</v>
      </c>
      <c r="I118" t="s">
        <v>17</v>
      </c>
      <c r="J118">
        <f>IF(Table1[[#This Row],[Status]]="Churned",1,0)</f>
        <v>0</v>
      </c>
      <c r="K118">
        <f t="shared" si="5"/>
        <v>0.55555555555555558</v>
      </c>
      <c r="L118">
        <f t="shared" si="6"/>
        <v>0.26</v>
      </c>
      <c r="M118" s="5">
        <f t="shared" si="7"/>
        <v>5.2631578947368418E-2</v>
      </c>
      <c r="N118" s="5">
        <f t="shared" si="8"/>
        <v>0.24111111111111111</v>
      </c>
      <c r="O118" s="5" t="str">
        <f t="shared" si="9"/>
        <v>At-Risk</v>
      </c>
      <c r="P118" s="5">
        <f>IF(Table1[[#This Row],[Health Status]]="Churned",0,1)</f>
        <v>1</v>
      </c>
      <c r="Q118" s="5" t="str">
        <f>IF(Table1[[#This Row],[Subscription_End_Date]]="", "Active", "Churned")</f>
        <v>Active</v>
      </c>
      <c r="R118" s="5">
        <f ca="1">IF(Table1[[#This Row],[Subscription_End_Date]]="", DATEDIF(Table1[[#This Row],[Subscription_Start_Date]], TODAY(), "m"),
DATEDIF(Table1[[#This Row],[Subscription_Start_Date]], Table1[[#This Row],[Subscription_End_Date]], "m"))</f>
        <v>16</v>
      </c>
      <c r="S118" s="2">
        <f ca="1">Table1[[#This Row],[Monthly_Spend]] * Table1[[#This Row],[Customer Lifetime(Months)]]</f>
        <v>160000</v>
      </c>
    </row>
    <row r="119" spans="1:19" x14ac:dyDescent="0.35">
      <c r="A119" t="s">
        <v>137</v>
      </c>
      <c r="B119" t="s">
        <v>31</v>
      </c>
      <c r="C119" s="1">
        <v>45408</v>
      </c>
      <c r="E119" t="s">
        <v>11</v>
      </c>
      <c r="F119" s="2">
        <v>20000</v>
      </c>
      <c r="G119">
        <v>42</v>
      </c>
      <c r="H119">
        <v>14</v>
      </c>
      <c r="I119" t="s">
        <v>17</v>
      </c>
      <c r="J119">
        <f>IF(Table1[[#This Row],[Status]]="Churned",1,0)</f>
        <v>0</v>
      </c>
      <c r="K119">
        <f t="shared" si="5"/>
        <v>0.13131313131313133</v>
      </c>
      <c r="L119">
        <f t="shared" si="6"/>
        <v>0.16000000000000003</v>
      </c>
      <c r="M119" s="5">
        <f t="shared" si="7"/>
        <v>0.15789473684210525</v>
      </c>
      <c r="N119" s="5">
        <f t="shared" si="8"/>
        <v>0.10626262626262628</v>
      </c>
      <c r="O119" s="5" t="str">
        <f t="shared" si="9"/>
        <v>At-Risk</v>
      </c>
      <c r="P119" s="5">
        <f>IF(Table1[[#This Row],[Health Status]]="Churned",0,1)</f>
        <v>1</v>
      </c>
      <c r="Q119" s="5" t="str">
        <f>IF(Table1[[#This Row],[Subscription_End_Date]]="", "Active", "Churned")</f>
        <v>Active</v>
      </c>
      <c r="R119" s="5">
        <f ca="1">IF(Table1[[#This Row],[Subscription_End_Date]]="", DATEDIF(Table1[[#This Row],[Subscription_Start_Date]], TODAY(), "m"),
DATEDIF(Table1[[#This Row],[Subscription_Start_Date]], Table1[[#This Row],[Subscription_End_Date]], "m"))</f>
        <v>18</v>
      </c>
      <c r="S119" s="2">
        <f ca="1">Table1[[#This Row],[Monthly_Spend]] * Table1[[#This Row],[Customer Lifetime(Months)]]</f>
        <v>360000</v>
      </c>
    </row>
    <row r="120" spans="1:19" x14ac:dyDescent="0.35">
      <c r="A120" t="s">
        <v>138</v>
      </c>
      <c r="B120" t="s">
        <v>27</v>
      </c>
      <c r="C120" s="1">
        <v>45348</v>
      </c>
      <c r="E120" t="s">
        <v>23</v>
      </c>
      <c r="F120" s="2">
        <v>50000</v>
      </c>
      <c r="G120">
        <v>48</v>
      </c>
      <c r="H120">
        <v>71</v>
      </c>
      <c r="I120" t="s">
        <v>17</v>
      </c>
      <c r="J120">
        <f>IF(Table1[[#This Row],[Status]]="Churned",1,0)</f>
        <v>0</v>
      </c>
      <c r="K120">
        <f t="shared" si="5"/>
        <v>0.70707070707070707</v>
      </c>
      <c r="L120">
        <f t="shared" si="6"/>
        <v>4.0000000000000036E-2</v>
      </c>
      <c r="M120" s="5">
        <f t="shared" si="7"/>
        <v>0.47368421052631576</v>
      </c>
      <c r="N120" s="5">
        <f t="shared" si="8"/>
        <v>0.16141414141414143</v>
      </c>
      <c r="O120" s="5" t="str">
        <f t="shared" si="9"/>
        <v>At-Risk</v>
      </c>
      <c r="P120" s="5">
        <f>IF(Table1[[#This Row],[Health Status]]="Churned",0,1)</f>
        <v>1</v>
      </c>
      <c r="Q120" s="5" t="str">
        <f>IF(Table1[[#This Row],[Subscription_End_Date]]="", "Active", "Churned")</f>
        <v>Active</v>
      </c>
      <c r="R120" s="5">
        <f ca="1">IF(Table1[[#This Row],[Subscription_End_Date]]="", DATEDIF(Table1[[#This Row],[Subscription_Start_Date]], TODAY(), "m"),
DATEDIF(Table1[[#This Row],[Subscription_Start_Date]], Table1[[#This Row],[Subscription_End_Date]], "m"))</f>
        <v>20</v>
      </c>
      <c r="S120" s="2">
        <f ca="1">Table1[[#This Row],[Monthly_Spend]] * Table1[[#This Row],[Customer Lifetime(Months)]]</f>
        <v>1000000</v>
      </c>
    </row>
    <row r="121" spans="1:19" x14ac:dyDescent="0.35">
      <c r="A121" t="s">
        <v>139</v>
      </c>
      <c r="B121" t="s">
        <v>10</v>
      </c>
      <c r="C121" s="1">
        <v>45017</v>
      </c>
      <c r="E121" t="s">
        <v>23</v>
      </c>
      <c r="F121" s="2">
        <v>5000</v>
      </c>
      <c r="G121">
        <v>49</v>
      </c>
      <c r="H121">
        <v>52</v>
      </c>
      <c r="I121" t="s">
        <v>17</v>
      </c>
      <c r="J121">
        <f>IF(Table1[[#This Row],[Status]]="Churned",1,0)</f>
        <v>0</v>
      </c>
      <c r="K121">
        <f t="shared" si="5"/>
        <v>0.51515151515151514</v>
      </c>
      <c r="L121">
        <f t="shared" si="6"/>
        <v>2.0000000000000018E-2</v>
      </c>
      <c r="M121" s="5">
        <f t="shared" si="7"/>
        <v>0</v>
      </c>
      <c r="N121" s="5">
        <f t="shared" si="8"/>
        <v>0.11303030303030304</v>
      </c>
      <c r="O121" s="5" t="str">
        <f t="shared" si="9"/>
        <v>At-Risk</v>
      </c>
      <c r="P121" s="5">
        <f>IF(Table1[[#This Row],[Health Status]]="Churned",0,1)</f>
        <v>1</v>
      </c>
      <c r="Q121" s="5" t="str">
        <f>IF(Table1[[#This Row],[Subscription_End_Date]]="", "Active", "Churned")</f>
        <v>Active</v>
      </c>
      <c r="R121" s="5">
        <f ca="1">IF(Table1[[#This Row],[Subscription_End_Date]]="", DATEDIF(Table1[[#This Row],[Subscription_Start_Date]], TODAY(), "m"),
DATEDIF(Table1[[#This Row],[Subscription_Start_Date]], Table1[[#This Row],[Subscription_End_Date]], "m"))</f>
        <v>30</v>
      </c>
      <c r="S121" s="2">
        <f ca="1">Table1[[#This Row],[Monthly_Spend]] * Table1[[#This Row],[Customer Lifetime(Months)]]</f>
        <v>150000</v>
      </c>
    </row>
    <row r="122" spans="1:19" x14ac:dyDescent="0.35">
      <c r="A122" t="s">
        <v>140</v>
      </c>
      <c r="B122" t="s">
        <v>14</v>
      </c>
      <c r="C122" s="1">
        <v>45600</v>
      </c>
      <c r="E122" t="s">
        <v>11</v>
      </c>
      <c r="F122" s="2">
        <v>50000</v>
      </c>
      <c r="G122">
        <v>3</v>
      </c>
      <c r="H122">
        <v>25</v>
      </c>
      <c r="I122" t="s">
        <v>17</v>
      </c>
      <c r="J122">
        <f>IF(Table1[[#This Row],[Status]]="Churned",1,0)</f>
        <v>0</v>
      </c>
      <c r="K122">
        <f t="shared" si="5"/>
        <v>0.24242424242424243</v>
      </c>
      <c r="L122">
        <f t="shared" si="6"/>
        <v>0.94</v>
      </c>
      <c r="M122" s="5">
        <f t="shared" si="7"/>
        <v>0.47368421052631576</v>
      </c>
      <c r="N122" s="5">
        <f t="shared" si="8"/>
        <v>0.51848484848484844</v>
      </c>
      <c r="O122" s="5" t="str">
        <f t="shared" si="9"/>
        <v>At-Risk</v>
      </c>
      <c r="P122" s="5">
        <f>IF(Table1[[#This Row],[Health Status]]="Churned",0,1)</f>
        <v>1</v>
      </c>
      <c r="Q122" s="5" t="str">
        <f>IF(Table1[[#This Row],[Subscription_End_Date]]="", "Active", "Churned")</f>
        <v>Active</v>
      </c>
      <c r="R122" s="5">
        <f ca="1">IF(Table1[[#This Row],[Subscription_End_Date]]="", DATEDIF(Table1[[#This Row],[Subscription_Start_Date]], TODAY(), "m"),
DATEDIF(Table1[[#This Row],[Subscription_Start_Date]], Table1[[#This Row],[Subscription_End_Date]], "m"))</f>
        <v>11</v>
      </c>
      <c r="S122" s="2">
        <f ca="1">Table1[[#This Row],[Monthly_Spend]] * Table1[[#This Row],[Customer Lifetime(Months)]]</f>
        <v>550000</v>
      </c>
    </row>
    <row r="123" spans="1:19" x14ac:dyDescent="0.35">
      <c r="A123" t="s">
        <v>141</v>
      </c>
      <c r="B123" t="s">
        <v>14</v>
      </c>
      <c r="C123" s="1">
        <v>45564</v>
      </c>
      <c r="E123" t="s">
        <v>23</v>
      </c>
      <c r="F123" s="2">
        <v>5000</v>
      </c>
      <c r="G123">
        <v>13</v>
      </c>
      <c r="H123">
        <v>35</v>
      </c>
      <c r="I123" t="s">
        <v>17</v>
      </c>
      <c r="J123">
        <f>IF(Table1[[#This Row],[Status]]="Churned",1,0)</f>
        <v>0</v>
      </c>
      <c r="K123">
        <f t="shared" si="5"/>
        <v>0.34343434343434343</v>
      </c>
      <c r="L123">
        <f t="shared" si="6"/>
        <v>0.74</v>
      </c>
      <c r="M123" s="5">
        <f t="shared" si="7"/>
        <v>0</v>
      </c>
      <c r="N123" s="5">
        <f t="shared" si="8"/>
        <v>0.43868686868686868</v>
      </c>
      <c r="O123" s="5" t="str">
        <f t="shared" si="9"/>
        <v>At-Risk</v>
      </c>
      <c r="P123" s="5">
        <f>IF(Table1[[#This Row],[Health Status]]="Churned",0,1)</f>
        <v>1</v>
      </c>
      <c r="Q123" s="5" t="str">
        <f>IF(Table1[[#This Row],[Subscription_End_Date]]="", "Active", "Churned")</f>
        <v>Active</v>
      </c>
      <c r="R123" s="5">
        <f ca="1">IF(Table1[[#This Row],[Subscription_End_Date]]="", DATEDIF(Table1[[#This Row],[Subscription_Start_Date]], TODAY(), "m"),
DATEDIF(Table1[[#This Row],[Subscription_Start_Date]], Table1[[#This Row],[Subscription_End_Date]], "m"))</f>
        <v>13</v>
      </c>
      <c r="S123" s="2">
        <f ca="1">Table1[[#This Row],[Monthly_Spend]] * Table1[[#This Row],[Customer Lifetime(Months)]]</f>
        <v>65000</v>
      </c>
    </row>
    <row r="124" spans="1:19" x14ac:dyDescent="0.35">
      <c r="A124" t="s">
        <v>142</v>
      </c>
      <c r="B124" t="s">
        <v>14</v>
      </c>
      <c r="C124" s="1">
        <v>45221</v>
      </c>
      <c r="E124" t="s">
        <v>11</v>
      </c>
      <c r="F124" s="2">
        <v>5000</v>
      </c>
      <c r="G124">
        <v>1</v>
      </c>
      <c r="H124">
        <v>81</v>
      </c>
      <c r="I124" t="s">
        <v>17</v>
      </c>
      <c r="J124">
        <f>IF(Table1[[#This Row],[Status]]="Churned",1,0)</f>
        <v>0</v>
      </c>
      <c r="K124">
        <f t="shared" si="5"/>
        <v>0.80808080808080807</v>
      </c>
      <c r="L124">
        <f t="shared" si="6"/>
        <v>0.98</v>
      </c>
      <c r="M124" s="5">
        <f t="shared" si="7"/>
        <v>0</v>
      </c>
      <c r="N124" s="5">
        <f t="shared" si="8"/>
        <v>0.65161616161616165</v>
      </c>
      <c r="O124" s="5" t="str">
        <f t="shared" si="9"/>
        <v>At-Risk</v>
      </c>
      <c r="P124" s="5">
        <f>IF(Table1[[#This Row],[Health Status]]="Churned",0,1)</f>
        <v>1</v>
      </c>
      <c r="Q124" s="5" t="str">
        <f>IF(Table1[[#This Row],[Subscription_End_Date]]="", "Active", "Churned")</f>
        <v>Active</v>
      </c>
      <c r="R124" s="5">
        <f ca="1">IF(Table1[[#This Row],[Subscription_End_Date]]="", DATEDIF(Table1[[#This Row],[Subscription_Start_Date]], TODAY(), "m"),
DATEDIF(Table1[[#This Row],[Subscription_Start_Date]], Table1[[#This Row],[Subscription_End_Date]], "m"))</f>
        <v>24</v>
      </c>
      <c r="S124" s="2">
        <f ca="1">Table1[[#This Row],[Monthly_Spend]] * Table1[[#This Row],[Customer Lifetime(Months)]]</f>
        <v>120000</v>
      </c>
    </row>
    <row r="125" spans="1:19" x14ac:dyDescent="0.35">
      <c r="A125" t="s">
        <v>143</v>
      </c>
      <c r="B125" t="s">
        <v>14</v>
      </c>
      <c r="C125" s="1">
        <v>45653</v>
      </c>
      <c r="E125" t="s">
        <v>11</v>
      </c>
      <c r="F125" s="2">
        <v>100000</v>
      </c>
      <c r="G125">
        <v>26</v>
      </c>
      <c r="H125">
        <v>12</v>
      </c>
      <c r="I125" t="s">
        <v>12</v>
      </c>
      <c r="J125">
        <f>IF(Table1[[#This Row],[Status]]="Churned",1,0)</f>
        <v>0</v>
      </c>
      <c r="K125">
        <f t="shared" si="5"/>
        <v>0.1111111111111111</v>
      </c>
      <c r="L125">
        <f t="shared" si="6"/>
        <v>0.48</v>
      </c>
      <c r="M125" s="5">
        <f t="shared" si="7"/>
        <v>1</v>
      </c>
      <c r="N125" s="5">
        <f t="shared" si="8"/>
        <v>0.26222222222222219</v>
      </c>
      <c r="O125" s="5" t="str">
        <f t="shared" si="9"/>
        <v>Healthy</v>
      </c>
      <c r="P125" s="5">
        <f>IF(Table1[[#This Row],[Health Status]]="Churned",0,1)</f>
        <v>1</v>
      </c>
      <c r="Q125" s="5" t="str">
        <f>IF(Table1[[#This Row],[Subscription_End_Date]]="", "Active", "Churned")</f>
        <v>Active</v>
      </c>
      <c r="R125" s="5">
        <f ca="1">IF(Table1[[#This Row],[Subscription_End_Date]]="", DATEDIF(Table1[[#This Row],[Subscription_Start_Date]], TODAY(), "m"),
DATEDIF(Table1[[#This Row],[Subscription_Start_Date]], Table1[[#This Row],[Subscription_End_Date]], "m"))</f>
        <v>10</v>
      </c>
      <c r="S125" s="2">
        <f ca="1">Table1[[#This Row],[Monthly_Spend]] * Table1[[#This Row],[Customer Lifetime(Months)]]</f>
        <v>1000000</v>
      </c>
    </row>
    <row r="126" spans="1:19" x14ac:dyDescent="0.35">
      <c r="A126" t="s">
        <v>144</v>
      </c>
      <c r="B126" t="s">
        <v>27</v>
      </c>
      <c r="C126" s="1">
        <v>45399</v>
      </c>
      <c r="E126" t="s">
        <v>11</v>
      </c>
      <c r="F126" s="2">
        <v>50000</v>
      </c>
      <c r="G126">
        <v>45</v>
      </c>
      <c r="H126">
        <v>38</v>
      </c>
      <c r="I126" t="s">
        <v>12</v>
      </c>
      <c r="J126">
        <f>IF(Table1[[#This Row],[Status]]="Churned",1,0)</f>
        <v>0</v>
      </c>
      <c r="K126">
        <f t="shared" si="5"/>
        <v>0.37373737373737376</v>
      </c>
      <c r="L126">
        <f t="shared" si="6"/>
        <v>9.9999999999999978E-2</v>
      </c>
      <c r="M126" s="5">
        <f t="shared" si="7"/>
        <v>0.47368421052631576</v>
      </c>
      <c r="N126" s="5">
        <f t="shared" si="8"/>
        <v>0.12474747474747475</v>
      </c>
      <c r="O126" s="5" t="str">
        <f t="shared" si="9"/>
        <v>At-Risk</v>
      </c>
      <c r="P126" s="5">
        <f>IF(Table1[[#This Row],[Health Status]]="Churned",0,1)</f>
        <v>1</v>
      </c>
      <c r="Q126" s="5" t="str">
        <f>IF(Table1[[#This Row],[Subscription_End_Date]]="", "Active", "Churned")</f>
        <v>Active</v>
      </c>
      <c r="R126" s="5">
        <f ca="1">IF(Table1[[#This Row],[Subscription_End_Date]]="", DATEDIF(Table1[[#This Row],[Subscription_Start_Date]], TODAY(), "m"),
DATEDIF(Table1[[#This Row],[Subscription_Start_Date]], Table1[[#This Row],[Subscription_End_Date]], "m"))</f>
        <v>18</v>
      </c>
      <c r="S126" s="2">
        <f ca="1">Table1[[#This Row],[Monthly_Spend]] * Table1[[#This Row],[Customer Lifetime(Months)]]</f>
        <v>900000</v>
      </c>
    </row>
    <row r="127" spans="1:19" x14ac:dyDescent="0.35">
      <c r="A127" t="s">
        <v>145</v>
      </c>
      <c r="B127" t="s">
        <v>14</v>
      </c>
      <c r="C127" s="1">
        <v>45206</v>
      </c>
      <c r="E127" t="s">
        <v>16</v>
      </c>
      <c r="F127" s="2">
        <v>50000</v>
      </c>
      <c r="G127">
        <v>15</v>
      </c>
      <c r="H127">
        <v>59</v>
      </c>
      <c r="I127" t="s">
        <v>17</v>
      </c>
      <c r="J127">
        <f>IF(Table1[[#This Row],[Status]]="Churned",1,0)</f>
        <v>0</v>
      </c>
      <c r="K127">
        <f t="shared" si="5"/>
        <v>0.58585858585858586</v>
      </c>
      <c r="L127">
        <f t="shared" si="6"/>
        <v>0.7</v>
      </c>
      <c r="M127" s="5">
        <f t="shared" si="7"/>
        <v>0.47368421052631576</v>
      </c>
      <c r="N127" s="5">
        <f t="shared" si="8"/>
        <v>0.46717171717171713</v>
      </c>
      <c r="O127" s="5" t="str">
        <f t="shared" si="9"/>
        <v>At-Risk</v>
      </c>
      <c r="P127" s="5">
        <f>IF(Table1[[#This Row],[Health Status]]="Churned",0,1)</f>
        <v>1</v>
      </c>
      <c r="Q127" s="5" t="str">
        <f>IF(Table1[[#This Row],[Subscription_End_Date]]="", "Active", "Churned")</f>
        <v>Active</v>
      </c>
      <c r="R127" s="5">
        <f ca="1">IF(Table1[[#This Row],[Subscription_End_Date]]="", DATEDIF(Table1[[#This Row],[Subscription_Start_Date]], TODAY(), "m"),
DATEDIF(Table1[[#This Row],[Subscription_Start_Date]], Table1[[#This Row],[Subscription_End_Date]], "m"))</f>
        <v>24</v>
      </c>
      <c r="S127" s="2">
        <f ca="1">Table1[[#This Row],[Monthly_Spend]] * Table1[[#This Row],[Customer Lifetime(Months)]]</f>
        <v>1200000</v>
      </c>
    </row>
    <row r="128" spans="1:19" x14ac:dyDescent="0.35">
      <c r="A128" t="s">
        <v>146</v>
      </c>
      <c r="B128" t="s">
        <v>14</v>
      </c>
      <c r="C128" s="1">
        <v>45319</v>
      </c>
      <c r="E128" t="s">
        <v>11</v>
      </c>
      <c r="F128" s="2">
        <v>5000</v>
      </c>
      <c r="G128">
        <v>17</v>
      </c>
      <c r="H128">
        <v>99</v>
      </c>
      <c r="I128" t="s">
        <v>12</v>
      </c>
      <c r="J128">
        <f>IF(Table1[[#This Row],[Status]]="Churned",1,0)</f>
        <v>0</v>
      </c>
      <c r="K128">
        <f t="shared" si="5"/>
        <v>0.98989898989898994</v>
      </c>
      <c r="L128">
        <f t="shared" si="6"/>
        <v>0.65999999999999992</v>
      </c>
      <c r="M128" s="5">
        <f t="shared" si="7"/>
        <v>0</v>
      </c>
      <c r="N128" s="5">
        <f t="shared" si="8"/>
        <v>0.52797979797979799</v>
      </c>
      <c r="O128" s="5" t="str">
        <f t="shared" si="9"/>
        <v>At-Risk</v>
      </c>
      <c r="P128" s="5">
        <f>IF(Table1[[#This Row],[Health Status]]="Churned",0,1)</f>
        <v>1</v>
      </c>
      <c r="Q128" s="5" t="str">
        <f>IF(Table1[[#This Row],[Subscription_End_Date]]="", "Active", "Churned")</f>
        <v>Active</v>
      </c>
      <c r="R128" s="5">
        <f ca="1">IF(Table1[[#This Row],[Subscription_End_Date]]="", DATEDIF(Table1[[#This Row],[Subscription_Start_Date]], TODAY(), "m"),
DATEDIF(Table1[[#This Row],[Subscription_Start_Date]], Table1[[#This Row],[Subscription_End_Date]], "m"))</f>
        <v>21</v>
      </c>
      <c r="S128" s="2">
        <f ca="1">Table1[[#This Row],[Monthly_Spend]] * Table1[[#This Row],[Customer Lifetime(Months)]]</f>
        <v>105000</v>
      </c>
    </row>
    <row r="129" spans="1:19" x14ac:dyDescent="0.35">
      <c r="A129" t="s">
        <v>147</v>
      </c>
      <c r="B129" t="s">
        <v>31</v>
      </c>
      <c r="C129" s="1">
        <v>45446</v>
      </c>
      <c r="E129" t="s">
        <v>23</v>
      </c>
      <c r="F129" s="2">
        <v>20000</v>
      </c>
      <c r="G129">
        <v>46</v>
      </c>
      <c r="H129">
        <v>39</v>
      </c>
      <c r="I129" t="s">
        <v>12</v>
      </c>
      <c r="J129">
        <f>IF(Table1[[#This Row],[Status]]="Churned",1,0)</f>
        <v>0</v>
      </c>
      <c r="K129">
        <f t="shared" si="5"/>
        <v>0.38383838383838381</v>
      </c>
      <c r="L129">
        <f t="shared" si="6"/>
        <v>7.999999999999996E-2</v>
      </c>
      <c r="M129" s="5">
        <f t="shared" si="7"/>
        <v>0.15789473684210525</v>
      </c>
      <c r="N129" s="5">
        <f t="shared" si="8"/>
        <v>0.11676767676767674</v>
      </c>
      <c r="O129" s="5" t="str">
        <f t="shared" si="9"/>
        <v>At-Risk</v>
      </c>
      <c r="P129" s="5">
        <f>IF(Table1[[#This Row],[Health Status]]="Churned",0,1)</f>
        <v>1</v>
      </c>
      <c r="Q129" s="5" t="str">
        <f>IF(Table1[[#This Row],[Subscription_End_Date]]="", "Active", "Churned")</f>
        <v>Active</v>
      </c>
      <c r="R129" s="5">
        <f ca="1">IF(Table1[[#This Row],[Subscription_End_Date]]="", DATEDIF(Table1[[#This Row],[Subscription_Start_Date]], TODAY(), "m"),
DATEDIF(Table1[[#This Row],[Subscription_Start_Date]], Table1[[#This Row],[Subscription_End_Date]], "m"))</f>
        <v>16</v>
      </c>
      <c r="S129" s="2">
        <f ca="1">Table1[[#This Row],[Monthly_Spend]] * Table1[[#This Row],[Customer Lifetime(Months)]]</f>
        <v>320000</v>
      </c>
    </row>
    <row r="130" spans="1:19" x14ac:dyDescent="0.35">
      <c r="A130" t="s">
        <v>148</v>
      </c>
      <c r="B130" t="s">
        <v>14</v>
      </c>
      <c r="C130" s="1">
        <v>45602</v>
      </c>
      <c r="E130" t="s">
        <v>16</v>
      </c>
      <c r="F130" s="2">
        <v>50000</v>
      </c>
      <c r="G130">
        <v>34</v>
      </c>
      <c r="H130">
        <v>62</v>
      </c>
      <c r="I130" t="s">
        <v>12</v>
      </c>
      <c r="J130">
        <f>IF(Table1[[#This Row],[Status]]="Churned",1,0)</f>
        <v>0</v>
      </c>
      <c r="K130">
        <f t="shared" ref="K130:K193" si="10">(H130-MIN($H$2:$H$501))/(MAX($H$2:$H$501)-MIN($H$2:$H$501))</f>
        <v>0.61616161616161613</v>
      </c>
      <c r="L130">
        <f t="shared" ref="L130:L193" si="11">1 - ((G130-MIN($G$2:$G$501))/(MAX($G$2:$G$501)-MIN($G$2:$G$501)))</f>
        <v>0.31999999999999995</v>
      </c>
      <c r="M130" s="5">
        <f t="shared" ref="M130:M193" si="12">(F130-MIN($F$2:$F$501))/(MAX($F$2:$F$501)-MIN($F$2:$F$501))</f>
        <v>0.47368421052631576</v>
      </c>
      <c r="N130" s="5">
        <f t="shared" ref="N130:N193" si="13">(J130*0.3) + (K130*0.2) + (L130*0.5)</f>
        <v>0.28323232323232322</v>
      </c>
      <c r="O130" s="5" t="str">
        <f t="shared" ref="O130:O193" si="14">IF(I130="Churned", "Churned", IF(M130&gt;=0.6, "Healthy", "At-Risk"))</f>
        <v>At-Risk</v>
      </c>
      <c r="P130" s="5">
        <f>IF(Table1[[#This Row],[Health Status]]="Churned",0,1)</f>
        <v>1</v>
      </c>
      <c r="Q130" s="5" t="str">
        <f>IF(Table1[[#This Row],[Subscription_End_Date]]="", "Active", "Churned")</f>
        <v>Active</v>
      </c>
      <c r="R130" s="5">
        <f ca="1">IF(Table1[[#This Row],[Subscription_End_Date]]="", DATEDIF(Table1[[#This Row],[Subscription_Start_Date]], TODAY(), "m"),
DATEDIF(Table1[[#This Row],[Subscription_Start_Date]], Table1[[#This Row],[Subscription_End_Date]], "m"))</f>
        <v>11</v>
      </c>
      <c r="S130" s="2">
        <f ca="1">Table1[[#This Row],[Monthly_Spend]] * Table1[[#This Row],[Customer Lifetime(Months)]]</f>
        <v>550000</v>
      </c>
    </row>
    <row r="131" spans="1:19" x14ac:dyDescent="0.35">
      <c r="A131" t="s">
        <v>149</v>
      </c>
      <c r="B131" t="s">
        <v>19</v>
      </c>
      <c r="C131" s="1">
        <v>45492</v>
      </c>
      <c r="E131" t="s">
        <v>23</v>
      </c>
      <c r="F131" s="2">
        <v>50000</v>
      </c>
      <c r="G131">
        <v>20</v>
      </c>
      <c r="H131">
        <v>25</v>
      </c>
      <c r="I131" t="s">
        <v>17</v>
      </c>
      <c r="J131">
        <f>IF(Table1[[#This Row],[Status]]="Churned",1,0)</f>
        <v>0</v>
      </c>
      <c r="K131">
        <f t="shared" si="10"/>
        <v>0.24242424242424243</v>
      </c>
      <c r="L131">
        <f t="shared" si="11"/>
        <v>0.6</v>
      </c>
      <c r="M131" s="5">
        <f t="shared" si="12"/>
        <v>0.47368421052631576</v>
      </c>
      <c r="N131" s="5">
        <f t="shared" si="13"/>
        <v>0.34848484848484851</v>
      </c>
      <c r="O131" s="5" t="str">
        <f t="shared" si="14"/>
        <v>At-Risk</v>
      </c>
      <c r="P131" s="5">
        <f>IF(Table1[[#This Row],[Health Status]]="Churned",0,1)</f>
        <v>1</v>
      </c>
      <c r="Q131" s="5" t="str">
        <f>IF(Table1[[#This Row],[Subscription_End_Date]]="", "Active", "Churned")</f>
        <v>Active</v>
      </c>
      <c r="R131" s="5">
        <f ca="1">IF(Table1[[#This Row],[Subscription_End_Date]]="", DATEDIF(Table1[[#This Row],[Subscription_Start_Date]], TODAY(), "m"),
DATEDIF(Table1[[#This Row],[Subscription_Start_Date]], Table1[[#This Row],[Subscription_End_Date]], "m"))</f>
        <v>15</v>
      </c>
      <c r="S131" s="2">
        <f ca="1">Table1[[#This Row],[Monthly_Spend]] * Table1[[#This Row],[Customer Lifetime(Months)]]</f>
        <v>750000</v>
      </c>
    </row>
    <row r="132" spans="1:19" x14ac:dyDescent="0.35">
      <c r="A132" t="s">
        <v>150</v>
      </c>
      <c r="B132" t="s">
        <v>27</v>
      </c>
      <c r="C132" s="1">
        <v>45319</v>
      </c>
      <c r="E132" t="s">
        <v>16</v>
      </c>
      <c r="F132" s="2">
        <v>5000</v>
      </c>
      <c r="G132">
        <v>20</v>
      </c>
      <c r="H132">
        <v>96</v>
      </c>
      <c r="I132" t="s">
        <v>17</v>
      </c>
      <c r="J132">
        <f>IF(Table1[[#This Row],[Status]]="Churned",1,0)</f>
        <v>0</v>
      </c>
      <c r="K132">
        <f t="shared" si="10"/>
        <v>0.95959595959595956</v>
      </c>
      <c r="L132">
        <f t="shared" si="11"/>
        <v>0.6</v>
      </c>
      <c r="M132" s="5">
        <f t="shared" si="12"/>
        <v>0</v>
      </c>
      <c r="N132" s="5">
        <f t="shared" si="13"/>
        <v>0.49191919191919192</v>
      </c>
      <c r="O132" s="5" t="str">
        <f t="shared" si="14"/>
        <v>At-Risk</v>
      </c>
      <c r="P132" s="5">
        <f>IF(Table1[[#This Row],[Health Status]]="Churned",0,1)</f>
        <v>1</v>
      </c>
      <c r="Q132" s="5" t="str">
        <f>IF(Table1[[#This Row],[Subscription_End_Date]]="", "Active", "Churned")</f>
        <v>Active</v>
      </c>
      <c r="R132" s="5">
        <f ca="1">IF(Table1[[#This Row],[Subscription_End_Date]]="", DATEDIF(Table1[[#This Row],[Subscription_Start_Date]], TODAY(), "m"),
DATEDIF(Table1[[#This Row],[Subscription_Start_Date]], Table1[[#This Row],[Subscription_End_Date]], "m"))</f>
        <v>21</v>
      </c>
      <c r="S132" s="2">
        <f ca="1">Table1[[#This Row],[Monthly_Spend]] * Table1[[#This Row],[Customer Lifetime(Months)]]</f>
        <v>105000</v>
      </c>
    </row>
    <row r="133" spans="1:19" x14ac:dyDescent="0.35">
      <c r="A133" t="s">
        <v>151</v>
      </c>
      <c r="B133" t="s">
        <v>31</v>
      </c>
      <c r="C133" s="1">
        <v>45317</v>
      </c>
      <c r="E133" t="s">
        <v>16</v>
      </c>
      <c r="F133" s="2">
        <v>50000</v>
      </c>
      <c r="G133">
        <v>2</v>
      </c>
      <c r="H133">
        <v>17</v>
      </c>
      <c r="I133" t="s">
        <v>12</v>
      </c>
      <c r="J133">
        <f>IF(Table1[[#This Row],[Status]]="Churned",1,0)</f>
        <v>0</v>
      </c>
      <c r="K133">
        <f t="shared" si="10"/>
        <v>0.16161616161616163</v>
      </c>
      <c r="L133">
        <f t="shared" si="11"/>
        <v>0.96</v>
      </c>
      <c r="M133" s="5">
        <f t="shared" si="12"/>
        <v>0.47368421052631576</v>
      </c>
      <c r="N133" s="5">
        <f t="shared" si="13"/>
        <v>0.51232323232323229</v>
      </c>
      <c r="O133" s="5" t="str">
        <f t="shared" si="14"/>
        <v>At-Risk</v>
      </c>
      <c r="P133" s="5">
        <f>IF(Table1[[#This Row],[Health Status]]="Churned",0,1)</f>
        <v>1</v>
      </c>
      <c r="Q133" s="5" t="str">
        <f>IF(Table1[[#This Row],[Subscription_End_Date]]="", "Active", "Churned")</f>
        <v>Active</v>
      </c>
      <c r="R133" s="5">
        <f ca="1">IF(Table1[[#This Row],[Subscription_End_Date]]="", DATEDIF(Table1[[#This Row],[Subscription_Start_Date]], TODAY(), "m"),
DATEDIF(Table1[[#This Row],[Subscription_Start_Date]], Table1[[#This Row],[Subscription_End_Date]], "m"))</f>
        <v>21</v>
      </c>
      <c r="S133" s="2">
        <f ca="1">Table1[[#This Row],[Monthly_Spend]] * Table1[[#This Row],[Customer Lifetime(Months)]]</f>
        <v>1050000</v>
      </c>
    </row>
    <row r="134" spans="1:19" x14ac:dyDescent="0.35">
      <c r="A134" t="s">
        <v>152</v>
      </c>
      <c r="B134" t="s">
        <v>14</v>
      </c>
      <c r="C134" s="1">
        <v>45266</v>
      </c>
      <c r="E134" t="s">
        <v>16</v>
      </c>
      <c r="F134" s="2">
        <v>5000</v>
      </c>
      <c r="G134">
        <v>33</v>
      </c>
      <c r="H134">
        <v>59</v>
      </c>
      <c r="I134" t="s">
        <v>17</v>
      </c>
      <c r="J134">
        <f>IF(Table1[[#This Row],[Status]]="Churned",1,0)</f>
        <v>0</v>
      </c>
      <c r="K134">
        <f t="shared" si="10"/>
        <v>0.58585858585858586</v>
      </c>
      <c r="L134">
        <f t="shared" si="11"/>
        <v>0.33999999999999997</v>
      </c>
      <c r="M134" s="5">
        <f t="shared" si="12"/>
        <v>0</v>
      </c>
      <c r="N134" s="5">
        <f t="shared" si="13"/>
        <v>0.28717171717171719</v>
      </c>
      <c r="O134" s="5" t="str">
        <f t="shared" si="14"/>
        <v>At-Risk</v>
      </c>
      <c r="P134" s="5">
        <f>IF(Table1[[#This Row],[Health Status]]="Churned",0,1)</f>
        <v>1</v>
      </c>
      <c r="Q134" s="5" t="str">
        <f>IF(Table1[[#This Row],[Subscription_End_Date]]="", "Active", "Churned")</f>
        <v>Active</v>
      </c>
      <c r="R134" s="5">
        <f ca="1">IF(Table1[[#This Row],[Subscription_End_Date]]="", DATEDIF(Table1[[#This Row],[Subscription_Start_Date]], TODAY(), "m"),
DATEDIF(Table1[[#This Row],[Subscription_Start_Date]], Table1[[#This Row],[Subscription_End_Date]], "m"))</f>
        <v>22</v>
      </c>
      <c r="S134" s="2">
        <f ca="1">Table1[[#This Row],[Monthly_Spend]] * Table1[[#This Row],[Customer Lifetime(Months)]]</f>
        <v>110000</v>
      </c>
    </row>
    <row r="135" spans="1:19" x14ac:dyDescent="0.35">
      <c r="A135" t="s">
        <v>153</v>
      </c>
      <c r="B135" t="s">
        <v>10</v>
      </c>
      <c r="C135" s="1">
        <v>45074</v>
      </c>
      <c r="E135" t="s">
        <v>16</v>
      </c>
      <c r="F135" s="2">
        <v>5000</v>
      </c>
      <c r="G135">
        <v>30</v>
      </c>
      <c r="H135">
        <v>34</v>
      </c>
      <c r="I135" t="s">
        <v>12</v>
      </c>
      <c r="J135">
        <f>IF(Table1[[#This Row],[Status]]="Churned",1,0)</f>
        <v>0</v>
      </c>
      <c r="K135">
        <f t="shared" si="10"/>
        <v>0.33333333333333331</v>
      </c>
      <c r="L135">
        <f t="shared" si="11"/>
        <v>0.4</v>
      </c>
      <c r="M135" s="5">
        <f t="shared" si="12"/>
        <v>0</v>
      </c>
      <c r="N135" s="5">
        <f t="shared" si="13"/>
        <v>0.26666666666666666</v>
      </c>
      <c r="O135" s="5" t="str">
        <f t="shared" si="14"/>
        <v>At-Risk</v>
      </c>
      <c r="P135" s="5">
        <f>IF(Table1[[#This Row],[Health Status]]="Churned",0,1)</f>
        <v>1</v>
      </c>
      <c r="Q135" s="5" t="str">
        <f>IF(Table1[[#This Row],[Subscription_End_Date]]="", "Active", "Churned")</f>
        <v>Active</v>
      </c>
      <c r="R135" s="5">
        <f ca="1">IF(Table1[[#This Row],[Subscription_End_Date]]="", DATEDIF(Table1[[#This Row],[Subscription_Start_Date]], TODAY(), "m"),
DATEDIF(Table1[[#This Row],[Subscription_Start_Date]], Table1[[#This Row],[Subscription_End_Date]], "m"))</f>
        <v>29</v>
      </c>
      <c r="S135" s="2">
        <f ca="1">Table1[[#This Row],[Monthly_Spend]] * Table1[[#This Row],[Customer Lifetime(Months)]]</f>
        <v>145000</v>
      </c>
    </row>
    <row r="136" spans="1:19" x14ac:dyDescent="0.35">
      <c r="A136" t="s">
        <v>154</v>
      </c>
      <c r="B136" t="s">
        <v>19</v>
      </c>
      <c r="C136" s="1">
        <v>45636</v>
      </c>
      <c r="E136" t="s">
        <v>16</v>
      </c>
      <c r="F136" s="2">
        <v>20000</v>
      </c>
      <c r="G136">
        <v>43</v>
      </c>
      <c r="H136">
        <v>69</v>
      </c>
      <c r="I136" t="s">
        <v>12</v>
      </c>
      <c r="J136">
        <f>IF(Table1[[#This Row],[Status]]="Churned",1,0)</f>
        <v>0</v>
      </c>
      <c r="K136">
        <f t="shared" si="10"/>
        <v>0.68686868686868685</v>
      </c>
      <c r="L136">
        <f t="shared" si="11"/>
        <v>0.14000000000000001</v>
      </c>
      <c r="M136" s="5">
        <f t="shared" si="12"/>
        <v>0.15789473684210525</v>
      </c>
      <c r="N136" s="5">
        <f t="shared" si="13"/>
        <v>0.20737373737373738</v>
      </c>
      <c r="O136" s="5" t="str">
        <f t="shared" si="14"/>
        <v>At-Risk</v>
      </c>
      <c r="P136" s="5">
        <f>IF(Table1[[#This Row],[Health Status]]="Churned",0,1)</f>
        <v>1</v>
      </c>
      <c r="Q136" s="5" t="str">
        <f>IF(Table1[[#This Row],[Subscription_End_Date]]="", "Active", "Churned")</f>
        <v>Active</v>
      </c>
      <c r="R136" s="5">
        <f ca="1">IF(Table1[[#This Row],[Subscription_End_Date]]="", DATEDIF(Table1[[#This Row],[Subscription_Start_Date]], TODAY(), "m"),
DATEDIF(Table1[[#This Row],[Subscription_Start_Date]], Table1[[#This Row],[Subscription_End_Date]], "m"))</f>
        <v>10</v>
      </c>
      <c r="S136" s="2">
        <f ca="1">Table1[[#This Row],[Monthly_Spend]] * Table1[[#This Row],[Customer Lifetime(Months)]]</f>
        <v>200000</v>
      </c>
    </row>
    <row r="137" spans="1:19" x14ac:dyDescent="0.35">
      <c r="A137" t="s">
        <v>155</v>
      </c>
      <c r="B137" t="s">
        <v>31</v>
      </c>
      <c r="C137" s="1">
        <v>45568</v>
      </c>
      <c r="E137" t="s">
        <v>23</v>
      </c>
      <c r="F137" s="2">
        <v>100000</v>
      </c>
      <c r="G137">
        <v>2</v>
      </c>
      <c r="H137">
        <v>80</v>
      </c>
      <c r="I137" t="s">
        <v>17</v>
      </c>
      <c r="J137">
        <f>IF(Table1[[#This Row],[Status]]="Churned",1,0)</f>
        <v>0</v>
      </c>
      <c r="K137">
        <f t="shared" si="10"/>
        <v>0.79797979797979801</v>
      </c>
      <c r="L137">
        <f t="shared" si="11"/>
        <v>0.96</v>
      </c>
      <c r="M137" s="5">
        <f t="shared" si="12"/>
        <v>1</v>
      </c>
      <c r="N137" s="5">
        <f t="shared" si="13"/>
        <v>0.63959595959595961</v>
      </c>
      <c r="O137" s="5" t="str">
        <f t="shared" si="14"/>
        <v>Healthy</v>
      </c>
      <c r="P137" s="5">
        <f>IF(Table1[[#This Row],[Health Status]]="Churned",0,1)</f>
        <v>1</v>
      </c>
      <c r="Q137" s="5" t="str">
        <f>IF(Table1[[#This Row],[Subscription_End_Date]]="", "Active", "Churned")</f>
        <v>Active</v>
      </c>
      <c r="R137" s="5">
        <f ca="1">IF(Table1[[#This Row],[Subscription_End_Date]]="", DATEDIF(Table1[[#This Row],[Subscription_Start_Date]], TODAY(), "m"),
DATEDIF(Table1[[#This Row],[Subscription_Start_Date]], Table1[[#This Row],[Subscription_End_Date]], "m"))</f>
        <v>12</v>
      </c>
      <c r="S137" s="2">
        <f ca="1">Table1[[#This Row],[Monthly_Spend]] * Table1[[#This Row],[Customer Lifetime(Months)]]</f>
        <v>1200000</v>
      </c>
    </row>
    <row r="138" spans="1:19" x14ac:dyDescent="0.35">
      <c r="A138" t="s">
        <v>156</v>
      </c>
      <c r="B138" t="s">
        <v>10</v>
      </c>
      <c r="C138" s="1">
        <v>45573</v>
      </c>
      <c r="E138" t="s">
        <v>11</v>
      </c>
      <c r="F138" s="2">
        <v>10000</v>
      </c>
      <c r="G138">
        <v>47</v>
      </c>
      <c r="H138">
        <v>12</v>
      </c>
      <c r="I138" t="s">
        <v>17</v>
      </c>
      <c r="J138">
        <f>IF(Table1[[#This Row],[Status]]="Churned",1,0)</f>
        <v>0</v>
      </c>
      <c r="K138">
        <f t="shared" si="10"/>
        <v>0.1111111111111111</v>
      </c>
      <c r="L138">
        <f t="shared" si="11"/>
        <v>6.0000000000000053E-2</v>
      </c>
      <c r="M138" s="5">
        <f t="shared" si="12"/>
        <v>5.2631578947368418E-2</v>
      </c>
      <c r="N138" s="5">
        <f t="shared" si="13"/>
        <v>5.2222222222222253E-2</v>
      </c>
      <c r="O138" s="5" t="str">
        <f t="shared" si="14"/>
        <v>At-Risk</v>
      </c>
      <c r="P138" s="5">
        <f>IF(Table1[[#This Row],[Health Status]]="Churned",0,1)</f>
        <v>1</v>
      </c>
      <c r="Q138" s="5" t="str">
        <f>IF(Table1[[#This Row],[Subscription_End_Date]]="", "Active", "Churned")</f>
        <v>Active</v>
      </c>
      <c r="R138" s="5">
        <f ca="1">IF(Table1[[#This Row],[Subscription_End_Date]]="", DATEDIF(Table1[[#This Row],[Subscription_Start_Date]], TODAY(), "m"),
DATEDIF(Table1[[#This Row],[Subscription_Start_Date]], Table1[[#This Row],[Subscription_End_Date]], "m"))</f>
        <v>12</v>
      </c>
      <c r="S138" s="2">
        <f ca="1">Table1[[#This Row],[Monthly_Spend]] * Table1[[#This Row],[Customer Lifetime(Months)]]</f>
        <v>120000</v>
      </c>
    </row>
    <row r="139" spans="1:19" x14ac:dyDescent="0.35">
      <c r="A139" t="s">
        <v>157</v>
      </c>
      <c r="B139" t="s">
        <v>31</v>
      </c>
      <c r="C139" s="1">
        <v>45575</v>
      </c>
      <c r="E139" t="s">
        <v>11</v>
      </c>
      <c r="F139" s="2">
        <v>50000</v>
      </c>
      <c r="G139">
        <v>10</v>
      </c>
      <c r="H139">
        <v>89</v>
      </c>
      <c r="I139" t="s">
        <v>12</v>
      </c>
      <c r="J139">
        <f>IF(Table1[[#This Row],[Status]]="Churned",1,0)</f>
        <v>0</v>
      </c>
      <c r="K139">
        <f t="shared" si="10"/>
        <v>0.88888888888888884</v>
      </c>
      <c r="L139">
        <f t="shared" si="11"/>
        <v>0.8</v>
      </c>
      <c r="M139" s="5">
        <f t="shared" si="12"/>
        <v>0.47368421052631576</v>
      </c>
      <c r="N139" s="5">
        <f t="shared" si="13"/>
        <v>0.57777777777777783</v>
      </c>
      <c r="O139" s="5" t="str">
        <f t="shared" si="14"/>
        <v>At-Risk</v>
      </c>
      <c r="P139" s="5">
        <f>IF(Table1[[#This Row],[Health Status]]="Churned",0,1)</f>
        <v>1</v>
      </c>
      <c r="Q139" s="5" t="str">
        <f>IF(Table1[[#This Row],[Subscription_End_Date]]="", "Active", "Churned")</f>
        <v>Active</v>
      </c>
      <c r="R139" s="5">
        <f ca="1">IF(Table1[[#This Row],[Subscription_End_Date]]="", DATEDIF(Table1[[#This Row],[Subscription_Start_Date]], TODAY(), "m"),
DATEDIF(Table1[[#This Row],[Subscription_Start_Date]], Table1[[#This Row],[Subscription_End_Date]], "m"))</f>
        <v>12</v>
      </c>
      <c r="S139" s="2">
        <f ca="1">Table1[[#This Row],[Monthly_Spend]] * Table1[[#This Row],[Customer Lifetime(Months)]]</f>
        <v>600000</v>
      </c>
    </row>
    <row r="140" spans="1:19" x14ac:dyDescent="0.35">
      <c r="A140" t="s">
        <v>158</v>
      </c>
      <c r="B140" t="s">
        <v>19</v>
      </c>
      <c r="C140" s="1">
        <v>44974</v>
      </c>
      <c r="E140" t="s">
        <v>11</v>
      </c>
      <c r="F140" s="2">
        <v>20000</v>
      </c>
      <c r="G140">
        <v>22</v>
      </c>
      <c r="H140">
        <v>48</v>
      </c>
      <c r="I140" t="s">
        <v>12</v>
      </c>
      <c r="J140">
        <f>IF(Table1[[#This Row],[Status]]="Churned",1,0)</f>
        <v>0</v>
      </c>
      <c r="K140">
        <f t="shared" si="10"/>
        <v>0.47474747474747475</v>
      </c>
      <c r="L140">
        <f t="shared" si="11"/>
        <v>0.56000000000000005</v>
      </c>
      <c r="M140" s="5">
        <f t="shared" si="12"/>
        <v>0.15789473684210525</v>
      </c>
      <c r="N140" s="5">
        <f t="shared" si="13"/>
        <v>0.37494949494949498</v>
      </c>
      <c r="O140" s="5" t="str">
        <f t="shared" si="14"/>
        <v>At-Risk</v>
      </c>
      <c r="P140" s="5">
        <f>IF(Table1[[#This Row],[Health Status]]="Churned",0,1)</f>
        <v>1</v>
      </c>
      <c r="Q140" s="5" t="str">
        <f>IF(Table1[[#This Row],[Subscription_End_Date]]="", "Active", "Churned")</f>
        <v>Active</v>
      </c>
      <c r="R140" s="5">
        <f ca="1">IF(Table1[[#This Row],[Subscription_End_Date]]="", DATEDIF(Table1[[#This Row],[Subscription_Start_Date]], TODAY(), "m"),
DATEDIF(Table1[[#This Row],[Subscription_Start_Date]], Table1[[#This Row],[Subscription_End_Date]], "m"))</f>
        <v>32</v>
      </c>
      <c r="S140" s="2">
        <f ca="1">Table1[[#This Row],[Monthly_Spend]] * Table1[[#This Row],[Customer Lifetime(Months)]]</f>
        <v>640000</v>
      </c>
    </row>
    <row r="141" spans="1:19" x14ac:dyDescent="0.35">
      <c r="A141" t="s">
        <v>159</v>
      </c>
      <c r="B141" t="s">
        <v>31</v>
      </c>
      <c r="C141" s="1">
        <v>45177</v>
      </c>
      <c r="E141" t="s">
        <v>11</v>
      </c>
      <c r="F141" s="2">
        <v>10000</v>
      </c>
      <c r="G141">
        <v>11</v>
      </c>
      <c r="H141">
        <v>11</v>
      </c>
      <c r="I141" t="s">
        <v>12</v>
      </c>
      <c r="J141">
        <f>IF(Table1[[#This Row],[Status]]="Churned",1,0)</f>
        <v>0</v>
      </c>
      <c r="K141">
        <f t="shared" si="10"/>
        <v>0.10101010101010101</v>
      </c>
      <c r="L141">
        <f t="shared" si="11"/>
        <v>0.78</v>
      </c>
      <c r="M141" s="5">
        <f t="shared" si="12"/>
        <v>5.2631578947368418E-2</v>
      </c>
      <c r="N141" s="5">
        <f t="shared" si="13"/>
        <v>0.41020202020202023</v>
      </c>
      <c r="O141" s="5" t="str">
        <f t="shared" si="14"/>
        <v>At-Risk</v>
      </c>
      <c r="P141" s="5">
        <f>IF(Table1[[#This Row],[Health Status]]="Churned",0,1)</f>
        <v>1</v>
      </c>
      <c r="Q141" s="5" t="str">
        <f>IF(Table1[[#This Row],[Subscription_End_Date]]="", "Active", "Churned")</f>
        <v>Active</v>
      </c>
      <c r="R141" s="5">
        <f ca="1">IF(Table1[[#This Row],[Subscription_End_Date]]="", DATEDIF(Table1[[#This Row],[Subscription_Start_Date]], TODAY(), "m"),
DATEDIF(Table1[[#This Row],[Subscription_Start_Date]], Table1[[#This Row],[Subscription_End_Date]], "m"))</f>
        <v>25</v>
      </c>
      <c r="S141" s="2">
        <f ca="1">Table1[[#This Row],[Monthly_Spend]] * Table1[[#This Row],[Customer Lifetime(Months)]]</f>
        <v>250000</v>
      </c>
    </row>
    <row r="142" spans="1:19" x14ac:dyDescent="0.35">
      <c r="A142" t="s">
        <v>160</v>
      </c>
      <c r="B142" t="s">
        <v>14</v>
      </c>
      <c r="C142" s="1">
        <v>45561</v>
      </c>
      <c r="E142" t="s">
        <v>23</v>
      </c>
      <c r="F142" s="2">
        <v>100000</v>
      </c>
      <c r="G142">
        <v>9</v>
      </c>
      <c r="H142">
        <v>30</v>
      </c>
      <c r="I142" t="s">
        <v>17</v>
      </c>
      <c r="J142">
        <f>IF(Table1[[#This Row],[Status]]="Churned",1,0)</f>
        <v>0</v>
      </c>
      <c r="K142">
        <f t="shared" si="10"/>
        <v>0.29292929292929293</v>
      </c>
      <c r="L142">
        <f t="shared" si="11"/>
        <v>0.82000000000000006</v>
      </c>
      <c r="M142" s="5">
        <f t="shared" si="12"/>
        <v>1</v>
      </c>
      <c r="N142" s="5">
        <f t="shared" si="13"/>
        <v>0.46858585858585861</v>
      </c>
      <c r="O142" s="5" t="str">
        <f t="shared" si="14"/>
        <v>Healthy</v>
      </c>
      <c r="P142" s="5">
        <f>IF(Table1[[#This Row],[Health Status]]="Churned",0,1)</f>
        <v>1</v>
      </c>
      <c r="Q142" s="5" t="str">
        <f>IF(Table1[[#This Row],[Subscription_End_Date]]="", "Active", "Churned")</f>
        <v>Active</v>
      </c>
      <c r="R142" s="5">
        <f ca="1">IF(Table1[[#This Row],[Subscription_End_Date]]="", DATEDIF(Table1[[#This Row],[Subscription_Start_Date]], TODAY(), "m"),
DATEDIF(Table1[[#This Row],[Subscription_Start_Date]], Table1[[#This Row],[Subscription_End_Date]], "m"))</f>
        <v>13</v>
      </c>
      <c r="S142" s="2">
        <f ca="1">Table1[[#This Row],[Monthly_Spend]] * Table1[[#This Row],[Customer Lifetime(Months)]]</f>
        <v>1300000</v>
      </c>
    </row>
    <row r="143" spans="1:19" x14ac:dyDescent="0.35">
      <c r="A143" t="s">
        <v>161</v>
      </c>
      <c r="B143" t="s">
        <v>31</v>
      </c>
      <c r="C143" s="1">
        <v>45187</v>
      </c>
      <c r="E143" t="s">
        <v>16</v>
      </c>
      <c r="F143" s="2">
        <v>50000</v>
      </c>
      <c r="G143">
        <v>18</v>
      </c>
      <c r="H143">
        <v>87</v>
      </c>
      <c r="I143" t="s">
        <v>12</v>
      </c>
      <c r="J143">
        <f>IF(Table1[[#This Row],[Status]]="Churned",1,0)</f>
        <v>0</v>
      </c>
      <c r="K143">
        <f t="shared" si="10"/>
        <v>0.86868686868686873</v>
      </c>
      <c r="L143">
        <f t="shared" si="11"/>
        <v>0.64</v>
      </c>
      <c r="M143" s="5">
        <f t="shared" si="12"/>
        <v>0.47368421052631576</v>
      </c>
      <c r="N143" s="5">
        <f t="shared" si="13"/>
        <v>0.49373737373737375</v>
      </c>
      <c r="O143" s="5" t="str">
        <f t="shared" si="14"/>
        <v>At-Risk</v>
      </c>
      <c r="P143" s="5">
        <f>IF(Table1[[#This Row],[Health Status]]="Churned",0,1)</f>
        <v>1</v>
      </c>
      <c r="Q143" s="5" t="str">
        <f>IF(Table1[[#This Row],[Subscription_End_Date]]="", "Active", "Churned")</f>
        <v>Active</v>
      </c>
      <c r="R143" s="5">
        <f ca="1">IF(Table1[[#This Row],[Subscription_End_Date]]="", DATEDIF(Table1[[#This Row],[Subscription_Start_Date]], TODAY(), "m"),
DATEDIF(Table1[[#This Row],[Subscription_Start_Date]], Table1[[#This Row],[Subscription_End_Date]], "m"))</f>
        <v>25</v>
      </c>
      <c r="S143" s="2">
        <f ca="1">Table1[[#This Row],[Monthly_Spend]] * Table1[[#This Row],[Customer Lifetime(Months)]]</f>
        <v>1250000</v>
      </c>
    </row>
    <row r="144" spans="1:19" x14ac:dyDescent="0.35">
      <c r="A144" t="s">
        <v>162</v>
      </c>
      <c r="B144" t="s">
        <v>14</v>
      </c>
      <c r="C144" s="1">
        <v>45002</v>
      </c>
      <c r="E144" t="s">
        <v>11</v>
      </c>
      <c r="F144" s="2">
        <v>100000</v>
      </c>
      <c r="G144">
        <v>19</v>
      </c>
      <c r="H144">
        <v>82</v>
      </c>
      <c r="I144" t="s">
        <v>17</v>
      </c>
      <c r="J144">
        <f>IF(Table1[[#This Row],[Status]]="Churned",1,0)</f>
        <v>0</v>
      </c>
      <c r="K144">
        <f t="shared" si="10"/>
        <v>0.81818181818181823</v>
      </c>
      <c r="L144">
        <f t="shared" si="11"/>
        <v>0.62</v>
      </c>
      <c r="M144" s="5">
        <f t="shared" si="12"/>
        <v>1</v>
      </c>
      <c r="N144" s="5">
        <f t="shared" si="13"/>
        <v>0.47363636363636363</v>
      </c>
      <c r="O144" s="5" t="str">
        <f t="shared" si="14"/>
        <v>Healthy</v>
      </c>
      <c r="P144" s="5">
        <f>IF(Table1[[#This Row],[Health Status]]="Churned",0,1)</f>
        <v>1</v>
      </c>
      <c r="Q144" s="5" t="str">
        <f>IF(Table1[[#This Row],[Subscription_End_Date]]="", "Active", "Churned")</f>
        <v>Active</v>
      </c>
      <c r="R144" s="5">
        <f ca="1">IF(Table1[[#This Row],[Subscription_End_Date]]="", DATEDIF(Table1[[#This Row],[Subscription_Start_Date]], TODAY(), "m"),
DATEDIF(Table1[[#This Row],[Subscription_Start_Date]], Table1[[#This Row],[Subscription_End_Date]], "m"))</f>
        <v>31</v>
      </c>
      <c r="S144" s="2">
        <f ca="1">Table1[[#This Row],[Monthly_Spend]] * Table1[[#This Row],[Customer Lifetime(Months)]]</f>
        <v>3100000</v>
      </c>
    </row>
    <row r="145" spans="1:19" x14ac:dyDescent="0.35">
      <c r="A145" t="s">
        <v>163</v>
      </c>
      <c r="B145" t="s">
        <v>31</v>
      </c>
      <c r="C145" s="1">
        <v>45183</v>
      </c>
      <c r="E145" t="s">
        <v>16</v>
      </c>
      <c r="F145" s="2">
        <v>10000</v>
      </c>
      <c r="G145">
        <v>24</v>
      </c>
      <c r="H145">
        <v>62</v>
      </c>
      <c r="I145" t="s">
        <v>17</v>
      </c>
      <c r="J145">
        <f>IF(Table1[[#This Row],[Status]]="Churned",1,0)</f>
        <v>0</v>
      </c>
      <c r="K145">
        <f t="shared" si="10"/>
        <v>0.61616161616161613</v>
      </c>
      <c r="L145">
        <f t="shared" si="11"/>
        <v>0.52</v>
      </c>
      <c r="M145" s="5">
        <f t="shared" si="12"/>
        <v>5.2631578947368418E-2</v>
      </c>
      <c r="N145" s="5">
        <f t="shared" si="13"/>
        <v>0.38323232323232326</v>
      </c>
      <c r="O145" s="5" t="str">
        <f t="shared" si="14"/>
        <v>At-Risk</v>
      </c>
      <c r="P145" s="5">
        <f>IF(Table1[[#This Row],[Health Status]]="Churned",0,1)</f>
        <v>1</v>
      </c>
      <c r="Q145" s="5" t="str">
        <f>IF(Table1[[#This Row],[Subscription_End_Date]]="", "Active", "Churned")</f>
        <v>Active</v>
      </c>
      <c r="R145" s="5">
        <f ca="1">IF(Table1[[#This Row],[Subscription_End_Date]]="", DATEDIF(Table1[[#This Row],[Subscription_Start_Date]], TODAY(), "m"),
DATEDIF(Table1[[#This Row],[Subscription_Start_Date]], Table1[[#This Row],[Subscription_End_Date]], "m"))</f>
        <v>25</v>
      </c>
      <c r="S145" s="2">
        <f ca="1">Table1[[#This Row],[Monthly_Spend]] * Table1[[#This Row],[Customer Lifetime(Months)]]</f>
        <v>250000</v>
      </c>
    </row>
    <row r="146" spans="1:19" x14ac:dyDescent="0.35">
      <c r="A146" t="s">
        <v>164</v>
      </c>
      <c r="B146" t="s">
        <v>10</v>
      </c>
      <c r="C146" s="1">
        <v>45317</v>
      </c>
      <c r="E146" t="s">
        <v>11</v>
      </c>
      <c r="F146" s="2">
        <v>20000</v>
      </c>
      <c r="G146">
        <v>1</v>
      </c>
      <c r="H146">
        <v>85</v>
      </c>
      <c r="I146" t="s">
        <v>17</v>
      </c>
      <c r="J146">
        <f>IF(Table1[[#This Row],[Status]]="Churned",1,0)</f>
        <v>0</v>
      </c>
      <c r="K146">
        <f t="shared" si="10"/>
        <v>0.84848484848484851</v>
      </c>
      <c r="L146">
        <f t="shared" si="11"/>
        <v>0.98</v>
      </c>
      <c r="M146" s="5">
        <f t="shared" si="12"/>
        <v>0.15789473684210525</v>
      </c>
      <c r="N146" s="5">
        <f t="shared" si="13"/>
        <v>0.65969696969696967</v>
      </c>
      <c r="O146" s="5" t="str">
        <f t="shared" si="14"/>
        <v>At-Risk</v>
      </c>
      <c r="P146" s="5">
        <f>IF(Table1[[#This Row],[Health Status]]="Churned",0,1)</f>
        <v>1</v>
      </c>
      <c r="Q146" s="5" t="str">
        <f>IF(Table1[[#This Row],[Subscription_End_Date]]="", "Active", "Churned")</f>
        <v>Active</v>
      </c>
      <c r="R146" s="5">
        <f ca="1">IF(Table1[[#This Row],[Subscription_End_Date]]="", DATEDIF(Table1[[#This Row],[Subscription_Start_Date]], TODAY(), "m"),
DATEDIF(Table1[[#This Row],[Subscription_Start_Date]], Table1[[#This Row],[Subscription_End_Date]], "m"))</f>
        <v>21</v>
      </c>
      <c r="S146" s="2">
        <f ca="1">Table1[[#This Row],[Monthly_Spend]] * Table1[[#This Row],[Customer Lifetime(Months)]]</f>
        <v>420000</v>
      </c>
    </row>
    <row r="147" spans="1:19" x14ac:dyDescent="0.35">
      <c r="A147" t="s">
        <v>165</v>
      </c>
      <c r="B147" t="s">
        <v>31</v>
      </c>
      <c r="C147" s="1">
        <v>44935</v>
      </c>
      <c r="E147" t="s">
        <v>23</v>
      </c>
      <c r="F147" s="2">
        <v>100000</v>
      </c>
      <c r="G147">
        <v>47</v>
      </c>
      <c r="H147">
        <v>64</v>
      </c>
      <c r="I147" t="s">
        <v>12</v>
      </c>
      <c r="J147">
        <f>IF(Table1[[#This Row],[Status]]="Churned",1,0)</f>
        <v>0</v>
      </c>
      <c r="K147">
        <f t="shared" si="10"/>
        <v>0.63636363636363635</v>
      </c>
      <c r="L147">
        <f t="shared" si="11"/>
        <v>6.0000000000000053E-2</v>
      </c>
      <c r="M147" s="5">
        <f t="shared" si="12"/>
        <v>1</v>
      </c>
      <c r="N147" s="5">
        <f t="shared" si="13"/>
        <v>0.15727272727272731</v>
      </c>
      <c r="O147" s="5" t="str">
        <f t="shared" si="14"/>
        <v>Healthy</v>
      </c>
      <c r="P147" s="5">
        <f>IF(Table1[[#This Row],[Health Status]]="Churned",0,1)</f>
        <v>1</v>
      </c>
      <c r="Q147" s="5" t="str">
        <f>IF(Table1[[#This Row],[Subscription_End_Date]]="", "Active", "Churned")</f>
        <v>Active</v>
      </c>
      <c r="R147" s="5">
        <f ca="1">IF(Table1[[#This Row],[Subscription_End_Date]]="", DATEDIF(Table1[[#This Row],[Subscription_Start_Date]], TODAY(), "m"),
DATEDIF(Table1[[#This Row],[Subscription_Start_Date]], Table1[[#This Row],[Subscription_End_Date]], "m"))</f>
        <v>33</v>
      </c>
      <c r="S147" s="2">
        <f ca="1">Table1[[#This Row],[Monthly_Spend]] * Table1[[#This Row],[Customer Lifetime(Months)]]</f>
        <v>3300000</v>
      </c>
    </row>
    <row r="148" spans="1:19" x14ac:dyDescent="0.35">
      <c r="A148" t="s">
        <v>166</v>
      </c>
      <c r="B148" t="s">
        <v>19</v>
      </c>
      <c r="C148" s="1">
        <v>45548</v>
      </c>
      <c r="E148" t="s">
        <v>11</v>
      </c>
      <c r="F148" s="2">
        <v>10000</v>
      </c>
      <c r="G148">
        <v>39</v>
      </c>
      <c r="H148">
        <v>33</v>
      </c>
      <c r="I148" t="s">
        <v>12</v>
      </c>
      <c r="J148">
        <f>IF(Table1[[#This Row],[Status]]="Churned",1,0)</f>
        <v>0</v>
      </c>
      <c r="K148">
        <f t="shared" si="10"/>
        <v>0.32323232323232326</v>
      </c>
      <c r="L148">
        <f t="shared" si="11"/>
        <v>0.21999999999999997</v>
      </c>
      <c r="M148" s="5">
        <f t="shared" si="12"/>
        <v>5.2631578947368418E-2</v>
      </c>
      <c r="N148" s="5">
        <f t="shared" si="13"/>
        <v>0.17464646464646466</v>
      </c>
      <c r="O148" s="5" t="str">
        <f t="shared" si="14"/>
        <v>At-Risk</v>
      </c>
      <c r="P148" s="5">
        <f>IF(Table1[[#This Row],[Health Status]]="Churned",0,1)</f>
        <v>1</v>
      </c>
      <c r="Q148" s="5" t="str">
        <f>IF(Table1[[#This Row],[Subscription_End_Date]]="", "Active", "Churned")</f>
        <v>Active</v>
      </c>
      <c r="R148" s="5">
        <f ca="1">IF(Table1[[#This Row],[Subscription_End_Date]]="", DATEDIF(Table1[[#This Row],[Subscription_Start_Date]], TODAY(), "m"),
DATEDIF(Table1[[#This Row],[Subscription_Start_Date]], Table1[[#This Row],[Subscription_End_Date]], "m"))</f>
        <v>13</v>
      </c>
      <c r="S148" s="2">
        <f ca="1">Table1[[#This Row],[Monthly_Spend]] * Table1[[#This Row],[Customer Lifetime(Months)]]</f>
        <v>130000</v>
      </c>
    </row>
    <row r="149" spans="1:19" x14ac:dyDescent="0.35">
      <c r="A149" t="s">
        <v>167</v>
      </c>
      <c r="B149" t="s">
        <v>27</v>
      </c>
      <c r="C149" s="1">
        <v>45026</v>
      </c>
      <c r="E149" t="s">
        <v>16</v>
      </c>
      <c r="F149" s="2">
        <v>20000</v>
      </c>
      <c r="G149">
        <v>50</v>
      </c>
      <c r="H149">
        <v>57</v>
      </c>
      <c r="I149" t="s">
        <v>12</v>
      </c>
      <c r="J149">
        <f>IF(Table1[[#This Row],[Status]]="Churned",1,0)</f>
        <v>0</v>
      </c>
      <c r="K149">
        <f t="shared" si="10"/>
        <v>0.56565656565656564</v>
      </c>
      <c r="L149">
        <f t="shared" si="11"/>
        <v>0</v>
      </c>
      <c r="M149" s="5">
        <f t="shared" si="12"/>
        <v>0.15789473684210525</v>
      </c>
      <c r="N149" s="5">
        <f t="shared" si="13"/>
        <v>0.11313131313131314</v>
      </c>
      <c r="O149" s="5" t="str">
        <f t="shared" si="14"/>
        <v>At-Risk</v>
      </c>
      <c r="P149" s="5">
        <f>IF(Table1[[#This Row],[Health Status]]="Churned",0,1)</f>
        <v>1</v>
      </c>
      <c r="Q149" s="5" t="str">
        <f>IF(Table1[[#This Row],[Subscription_End_Date]]="", "Active", "Churned")</f>
        <v>Active</v>
      </c>
      <c r="R149" s="5">
        <f ca="1">IF(Table1[[#This Row],[Subscription_End_Date]]="", DATEDIF(Table1[[#This Row],[Subscription_Start_Date]], TODAY(), "m"),
DATEDIF(Table1[[#This Row],[Subscription_Start_Date]], Table1[[#This Row],[Subscription_End_Date]], "m"))</f>
        <v>30</v>
      </c>
      <c r="S149" s="2">
        <f ca="1">Table1[[#This Row],[Monthly_Spend]] * Table1[[#This Row],[Customer Lifetime(Months)]]</f>
        <v>600000</v>
      </c>
    </row>
    <row r="150" spans="1:19" x14ac:dyDescent="0.35">
      <c r="A150" t="s">
        <v>168</v>
      </c>
      <c r="B150" t="s">
        <v>10</v>
      </c>
      <c r="C150" s="1">
        <v>45300</v>
      </c>
      <c r="E150" t="s">
        <v>16</v>
      </c>
      <c r="F150" s="2">
        <v>20000</v>
      </c>
      <c r="G150">
        <v>20</v>
      </c>
      <c r="H150">
        <v>96</v>
      </c>
      <c r="I150" t="s">
        <v>12</v>
      </c>
      <c r="J150">
        <f>IF(Table1[[#This Row],[Status]]="Churned",1,0)</f>
        <v>0</v>
      </c>
      <c r="K150">
        <f t="shared" si="10"/>
        <v>0.95959595959595956</v>
      </c>
      <c r="L150">
        <f t="shared" si="11"/>
        <v>0.6</v>
      </c>
      <c r="M150" s="5">
        <f t="shared" si="12"/>
        <v>0.15789473684210525</v>
      </c>
      <c r="N150" s="5">
        <f t="shared" si="13"/>
        <v>0.49191919191919192</v>
      </c>
      <c r="O150" s="5" t="str">
        <f t="shared" si="14"/>
        <v>At-Risk</v>
      </c>
      <c r="P150" s="5">
        <f>IF(Table1[[#This Row],[Health Status]]="Churned",0,1)</f>
        <v>1</v>
      </c>
      <c r="Q150" s="5" t="str">
        <f>IF(Table1[[#This Row],[Subscription_End_Date]]="", "Active", "Churned")</f>
        <v>Active</v>
      </c>
      <c r="R150" s="5">
        <f ca="1">IF(Table1[[#This Row],[Subscription_End_Date]]="", DATEDIF(Table1[[#This Row],[Subscription_Start_Date]], TODAY(), "m"),
DATEDIF(Table1[[#This Row],[Subscription_Start_Date]], Table1[[#This Row],[Subscription_End_Date]], "m"))</f>
        <v>21</v>
      </c>
      <c r="S150" s="2">
        <f ca="1">Table1[[#This Row],[Monthly_Spend]] * Table1[[#This Row],[Customer Lifetime(Months)]]</f>
        <v>420000</v>
      </c>
    </row>
    <row r="151" spans="1:19" x14ac:dyDescent="0.35">
      <c r="A151" t="s">
        <v>169</v>
      </c>
      <c r="B151" t="s">
        <v>31</v>
      </c>
      <c r="C151" s="1">
        <v>45132</v>
      </c>
      <c r="E151" t="s">
        <v>11</v>
      </c>
      <c r="F151" s="2">
        <v>100000</v>
      </c>
      <c r="G151">
        <v>32</v>
      </c>
      <c r="H151">
        <v>35</v>
      </c>
      <c r="I151" t="s">
        <v>17</v>
      </c>
      <c r="J151">
        <f>IF(Table1[[#This Row],[Status]]="Churned",1,0)</f>
        <v>0</v>
      </c>
      <c r="K151">
        <f t="shared" si="10"/>
        <v>0.34343434343434343</v>
      </c>
      <c r="L151">
        <f t="shared" si="11"/>
        <v>0.36</v>
      </c>
      <c r="M151" s="5">
        <f t="shared" si="12"/>
        <v>1</v>
      </c>
      <c r="N151" s="5">
        <f t="shared" si="13"/>
        <v>0.24868686868686868</v>
      </c>
      <c r="O151" s="5" t="str">
        <f t="shared" si="14"/>
        <v>Healthy</v>
      </c>
      <c r="P151" s="5">
        <f>IF(Table1[[#This Row],[Health Status]]="Churned",0,1)</f>
        <v>1</v>
      </c>
      <c r="Q151" s="5" t="str">
        <f>IF(Table1[[#This Row],[Subscription_End_Date]]="", "Active", "Churned")</f>
        <v>Active</v>
      </c>
      <c r="R151" s="5">
        <f ca="1">IF(Table1[[#This Row],[Subscription_End_Date]]="", DATEDIF(Table1[[#This Row],[Subscription_Start_Date]], TODAY(), "m"),
DATEDIF(Table1[[#This Row],[Subscription_Start_Date]], Table1[[#This Row],[Subscription_End_Date]], "m"))</f>
        <v>27</v>
      </c>
      <c r="S151" s="2">
        <f ca="1">Table1[[#This Row],[Monthly_Spend]] * Table1[[#This Row],[Customer Lifetime(Months)]]</f>
        <v>2700000</v>
      </c>
    </row>
    <row r="152" spans="1:19" x14ac:dyDescent="0.35">
      <c r="A152" t="s">
        <v>170</v>
      </c>
      <c r="B152" t="s">
        <v>27</v>
      </c>
      <c r="C152" s="1">
        <v>45420</v>
      </c>
      <c r="E152" t="s">
        <v>23</v>
      </c>
      <c r="F152" s="2">
        <v>20000</v>
      </c>
      <c r="G152">
        <v>7</v>
      </c>
      <c r="H152">
        <v>60</v>
      </c>
      <c r="I152" t="s">
        <v>17</v>
      </c>
      <c r="J152">
        <f>IF(Table1[[#This Row],[Status]]="Churned",1,0)</f>
        <v>0</v>
      </c>
      <c r="K152">
        <f t="shared" si="10"/>
        <v>0.59595959595959591</v>
      </c>
      <c r="L152">
        <f t="shared" si="11"/>
        <v>0.86</v>
      </c>
      <c r="M152" s="5">
        <f t="shared" si="12"/>
        <v>0.15789473684210525</v>
      </c>
      <c r="N152" s="5">
        <f t="shared" si="13"/>
        <v>0.54919191919191923</v>
      </c>
      <c r="O152" s="5" t="str">
        <f t="shared" si="14"/>
        <v>At-Risk</v>
      </c>
      <c r="P152" s="5">
        <f>IF(Table1[[#This Row],[Health Status]]="Churned",0,1)</f>
        <v>1</v>
      </c>
      <c r="Q152" s="5" t="str">
        <f>IF(Table1[[#This Row],[Subscription_End_Date]]="", "Active", "Churned")</f>
        <v>Active</v>
      </c>
      <c r="R152" s="5">
        <f ca="1">IF(Table1[[#This Row],[Subscription_End_Date]]="", DATEDIF(Table1[[#This Row],[Subscription_Start_Date]], TODAY(), "m"),
DATEDIF(Table1[[#This Row],[Subscription_Start_Date]], Table1[[#This Row],[Subscription_End_Date]], "m"))</f>
        <v>17</v>
      </c>
      <c r="S152" s="2">
        <f ca="1">Table1[[#This Row],[Monthly_Spend]] * Table1[[#This Row],[Customer Lifetime(Months)]]</f>
        <v>340000</v>
      </c>
    </row>
    <row r="153" spans="1:19" x14ac:dyDescent="0.35">
      <c r="A153" t="s">
        <v>171</v>
      </c>
      <c r="B153" t="s">
        <v>10</v>
      </c>
      <c r="C153" s="1">
        <v>45158</v>
      </c>
      <c r="E153" t="s">
        <v>11</v>
      </c>
      <c r="F153" s="2">
        <v>100000</v>
      </c>
      <c r="G153">
        <v>23</v>
      </c>
      <c r="H153">
        <v>12</v>
      </c>
      <c r="I153" t="s">
        <v>17</v>
      </c>
      <c r="J153">
        <f>IF(Table1[[#This Row],[Status]]="Churned",1,0)</f>
        <v>0</v>
      </c>
      <c r="K153">
        <f t="shared" si="10"/>
        <v>0.1111111111111111</v>
      </c>
      <c r="L153">
        <f t="shared" si="11"/>
        <v>0.54</v>
      </c>
      <c r="M153" s="5">
        <f t="shared" si="12"/>
        <v>1</v>
      </c>
      <c r="N153" s="5">
        <f t="shared" si="13"/>
        <v>0.29222222222222222</v>
      </c>
      <c r="O153" s="5" t="str">
        <f t="shared" si="14"/>
        <v>Healthy</v>
      </c>
      <c r="P153" s="5">
        <f>IF(Table1[[#This Row],[Health Status]]="Churned",0,1)</f>
        <v>1</v>
      </c>
      <c r="Q153" s="5" t="str">
        <f>IF(Table1[[#This Row],[Subscription_End_Date]]="", "Active", "Churned")</f>
        <v>Active</v>
      </c>
      <c r="R153" s="5">
        <f ca="1">IF(Table1[[#This Row],[Subscription_End_Date]]="", DATEDIF(Table1[[#This Row],[Subscription_Start_Date]], TODAY(), "m"),
DATEDIF(Table1[[#This Row],[Subscription_Start_Date]], Table1[[#This Row],[Subscription_End_Date]], "m"))</f>
        <v>26</v>
      </c>
      <c r="S153" s="2">
        <f ca="1">Table1[[#This Row],[Monthly_Spend]] * Table1[[#This Row],[Customer Lifetime(Months)]]</f>
        <v>2600000</v>
      </c>
    </row>
    <row r="154" spans="1:19" x14ac:dyDescent="0.35">
      <c r="A154" t="s">
        <v>172</v>
      </c>
      <c r="B154" t="s">
        <v>31</v>
      </c>
      <c r="C154" s="1">
        <v>45197</v>
      </c>
      <c r="E154" t="s">
        <v>11</v>
      </c>
      <c r="F154" s="2">
        <v>20000</v>
      </c>
      <c r="G154">
        <v>43</v>
      </c>
      <c r="H154">
        <v>96</v>
      </c>
      <c r="I154" t="s">
        <v>17</v>
      </c>
      <c r="J154">
        <f>IF(Table1[[#This Row],[Status]]="Churned",1,0)</f>
        <v>0</v>
      </c>
      <c r="K154">
        <f t="shared" si="10"/>
        <v>0.95959595959595956</v>
      </c>
      <c r="L154">
        <f t="shared" si="11"/>
        <v>0.14000000000000001</v>
      </c>
      <c r="M154" s="5">
        <f t="shared" si="12"/>
        <v>0.15789473684210525</v>
      </c>
      <c r="N154" s="5">
        <f t="shared" si="13"/>
        <v>0.26191919191919194</v>
      </c>
      <c r="O154" s="5" t="str">
        <f t="shared" si="14"/>
        <v>At-Risk</v>
      </c>
      <c r="P154" s="5">
        <f>IF(Table1[[#This Row],[Health Status]]="Churned",0,1)</f>
        <v>1</v>
      </c>
      <c r="Q154" s="5" t="str">
        <f>IF(Table1[[#This Row],[Subscription_End_Date]]="", "Active", "Churned")</f>
        <v>Active</v>
      </c>
      <c r="R154" s="5">
        <f ca="1">IF(Table1[[#This Row],[Subscription_End_Date]]="", DATEDIF(Table1[[#This Row],[Subscription_Start_Date]], TODAY(), "m"),
DATEDIF(Table1[[#This Row],[Subscription_Start_Date]], Table1[[#This Row],[Subscription_End_Date]], "m"))</f>
        <v>25</v>
      </c>
      <c r="S154" s="2">
        <f ca="1">Table1[[#This Row],[Monthly_Spend]] * Table1[[#This Row],[Customer Lifetime(Months)]]</f>
        <v>500000</v>
      </c>
    </row>
    <row r="155" spans="1:19" x14ac:dyDescent="0.35">
      <c r="A155" t="s">
        <v>173</v>
      </c>
      <c r="B155" t="s">
        <v>19</v>
      </c>
      <c r="C155" s="1">
        <v>45317</v>
      </c>
      <c r="E155" t="s">
        <v>16</v>
      </c>
      <c r="F155" s="2">
        <v>5000</v>
      </c>
      <c r="G155">
        <v>43</v>
      </c>
      <c r="H155">
        <v>30</v>
      </c>
      <c r="I155" t="s">
        <v>17</v>
      </c>
      <c r="J155">
        <f>IF(Table1[[#This Row],[Status]]="Churned",1,0)</f>
        <v>0</v>
      </c>
      <c r="K155">
        <f t="shared" si="10"/>
        <v>0.29292929292929293</v>
      </c>
      <c r="L155">
        <f t="shared" si="11"/>
        <v>0.14000000000000001</v>
      </c>
      <c r="M155" s="5">
        <f t="shared" si="12"/>
        <v>0</v>
      </c>
      <c r="N155" s="5">
        <f t="shared" si="13"/>
        <v>0.12858585858585858</v>
      </c>
      <c r="O155" s="5" t="str">
        <f t="shared" si="14"/>
        <v>At-Risk</v>
      </c>
      <c r="P155" s="5">
        <f>IF(Table1[[#This Row],[Health Status]]="Churned",0,1)</f>
        <v>1</v>
      </c>
      <c r="Q155" s="5" t="str">
        <f>IF(Table1[[#This Row],[Subscription_End_Date]]="", "Active", "Churned")</f>
        <v>Active</v>
      </c>
      <c r="R155" s="5">
        <f ca="1">IF(Table1[[#This Row],[Subscription_End_Date]]="", DATEDIF(Table1[[#This Row],[Subscription_Start_Date]], TODAY(), "m"),
DATEDIF(Table1[[#This Row],[Subscription_Start_Date]], Table1[[#This Row],[Subscription_End_Date]], "m"))</f>
        <v>21</v>
      </c>
      <c r="S155" s="2">
        <f ca="1">Table1[[#This Row],[Monthly_Spend]] * Table1[[#This Row],[Customer Lifetime(Months)]]</f>
        <v>105000</v>
      </c>
    </row>
    <row r="156" spans="1:19" x14ac:dyDescent="0.35">
      <c r="A156" t="s">
        <v>174</v>
      </c>
      <c r="B156" t="s">
        <v>31</v>
      </c>
      <c r="C156" s="1">
        <v>45561</v>
      </c>
      <c r="E156" t="s">
        <v>11</v>
      </c>
      <c r="F156" s="2">
        <v>100000</v>
      </c>
      <c r="G156">
        <v>14</v>
      </c>
      <c r="H156">
        <v>83</v>
      </c>
      <c r="I156" t="s">
        <v>17</v>
      </c>
      <c r="J156">
        <f>IF(Table1[[#This Row],[Status]]="Churned",1,0)</f>
        <v>0</v>
      </c>
      <c r="K156">
        <f t="shared" si="10"/>
        <v>0.82828282828282829</v>
      </c>
      <c r="L156">
        <f t="shared" si="11"/>
        <v>0.72</v>
      </c>
      <c r="M156" s="5">
        <f t="shared" si="12"/>
        <v>1</v>
      </c>
      <c r="N156" s="5">
        <f t="shared" si="13"/>
        <v>0.52565656565656571</v>
      </c>
      <c r="O156" s="5" t="str">
        <f t="shared" si="14"/>
        <v>Healthy</v>
      </c>
      <c r="P156" s="5">
        <f>IF(Table1[[#This Row],[Health Status]]="Churned",0,1)</f>
        <v>1</v>
      </c>
      <c r="Q156" s="5" t="str">
        <f>IF(Table1[[#This Row],[Subscription_End_Date]]="", "Active", "Churned")</f>
        <v>Active</v>
      </c>
      <c r="R156" s="5">
        <f ca="1">IF(Table1[[#This Row],[Subscription_End_Date]]="", DATEDIF(Table1[[#This Row],[Subscription_Start_Date]], TODAY(), "m"),
DATEDIF(Table1[[#This Row],[Subscription_Start_Date]], Table1[[#This Row],[Subscription_End_Date]], "m"))</f>
        <v>13</v>
      </c>
      <c r="S156" s="2">
        <f ca="1">Table1[[#This Row],[Monthly_Spend]] * Table1[[#This Row],[Customer Lifetime(Months)]]</f>
        <v>1300000</v>
      </c>
    </row>
    <row r="157" spans="1:19" x14ac:dyDescent="0.35">
      <c r="A157" t="s">
        <v>175</v>
      </c>
      <c r="B157" t="s">
        <v>10</v>
      </c>
      <c r="C157" s="1">
        <v>45402</v>
      </c>
      <c r="E157" t="s">
        <v>16</v>
      </c>
      <c r="F157" s="2">
        <v>50000</v>
      </c>
      <c r="G157">
        <v>7</v>
      </c>
      <c r="H157">
        <v>18</v>
      </c>
      <c r="I157" t="s">
        <v>17</v>
      </c>
      <c r="J157">
        <f>IF(Table1[[#This Row],[Status]]="Churned",1,0)</f>
        <v>0</v>
      </c>
      <c r="K157">
        <f t="shared" si="10"/>
        <v>0.17171717171717171</v>
      </c>
      <c r="L157">
        <f t="shared" si="11"/>
        <v>0.86</v>
      </c>
      <c r="M157" s="5">
        <f t="shared" si="12"/>
        <v>0.47368421052631576</v>
      </c>
      <c r="N157" s="5">
        <f t="shared" si="13"/>
        <v>0.46434343434343434</v>
      </c>
      <c r="O157" s="5" t="str">
        <f t="shared" si="14"/>
        <v>At-Risk</v>
      </c>
      <c r="P157" s="5">
        <f>IF(Table1[[#This Row],[Health Status]]="Churned",0,1)</f>
        <v>1</v>
      </c>
      <c r="Q157" s="5" t="str">
        <f>IF(Table1[[#This Row],[Subscription_End_Date]]="", "Active", "Churned")</f>
        <v>Active</v>
      </c>
      <c r="R157" s="5">
        <f ca="1">IF(Table1[[#This Row],[Subscription_End_Date]]="", DATEDIF(Table1[[#This Row],[Subscription_Start_Date]], TODAY(), "m"),
DATEDIF(Table1[[#This Row],[Subscription_Start_Date]], Table1[[#This Row],[Subscription_End_Date]], "m"))</f>
        <v>18</v>
      </c>
      <c r="S157" s="2">
        <f ca="1">Table1[[#This Row],[Monthly_Spend]] * Table1[[#This Row],[Customer Lifetime(Months)]]</f>
        <v>900000</v>
      </c>
    </row>
    <row r="158" spans="1:19" x14ac:dyDescent="0.35">
      <c r="A158" t="s">
        <v>176</v>
      </c>
      <c r="B158" t="s">
        <v>10</v>
      </c>
      <c r="C158" s="1">
        <v>45238</v>
      </c>
      <c r="E158" t="s">
        <v>11</v>
      </c>
      <c r="F158" s="2">
        <v>5000</v>
      </c>
      <c r="G158">
        <v>15</v>
      </c>
      <c r="H158">
        <v>69</v>
      </c>
      <c r="I158" t="s">
        <v>12</v>
      </c>
      <c r="J158">
        <f>IF(Table1[[#This Row],[Status]]="Churned",1,0)</f>
        <v>0</v>
      </c>
      <c r="K158">
        <f t="shared" si="10"/>
        <v>0.68686868686868685</v>
      </c>
      <c r="L158">
        <f t="shared" si="11"/>
        <v>0.7</v>
      </c>
      <c r="M158" s="5">
        <f t="shared" si="12"/>
        <v>0</v>
      </c>
      <c r="N158" s="5">
        <f t="shared" si="13"/>
        <v>0.48737373737373735</v>
      </c>
      <c r="O158" s="5" t="str">
        <f t="shared" si="14"/>
        <v>At-Risk</v>
      </c>
      <c r="P158" s="5">
        <f>IF(Table1[[#This Row],[Health Status]]="Churned",0,1)</f>
        <v>1</v>
      </c>
      <c r="Q158" s="5" t="str">
        <f>IF(Table1[[#This Row],[Subscription_End_Date]]="", "Active", "Churned")</f>
        <v>Active</v>
      </c>
      <c r="R158" s="5">
        <f ca="1">IF(Table1[[#This Row],[Subscription_End_Date]]="", DATEDIF(Table1[[#This Row],[Subscription_Start_Date]], TODAY(), "m"),
DATEDIF(Table1[[#This Row],[Subscription_Start_Date]], Table1[[#This Row],[Subscription_End_Date]], "m"))</f>
        <v>23</v>
      </c>
      <c r="S158" s="2">
        <f ca="1">Table1[[#This Row],[Monthly_Spend]] * Table1[[#This Row],[Customer Lifetime(Months)]]</f>
        <v>115000</v>
      </c>
    </row>
    <row r="159" spans="1:19" x14ac:dyDescent="0.35">
      <c r="A159" t="s">
        <v>177</v>
      </c>
      <c r="B159" t="s">
        <v>27</v>
      </c>
      <c r="C159" s="1">
        <v>45391</v>
      </c>
      <c r="E159" t="s">
        <v>23</v>
      </c>
      <c r="F159" s="2">
        <v>100000</v>
      </c>
      <c r="G159">
        <v>47</v>
      </c>
      <c r="H159">
        <v>94</v>
      </c>
      <c r="I159" t="s">
        <v>17</v>
      </c>
      <c r="J159">
        <f>IF(Table1[[#This Row],[Status]]="Churned",1,0)</f>
        <v>0</v>
      </c>
      <c r="K159">
        <f t="shared" si="10"/>
        <v>0.93939393939393945</v>
      </c>
      <c r="L159">
        <f t="shared" si="11"/>
        <v>6.0000000000000053E-2</v>
      </c>
      <c r="M159" s="5">
        <f t="shared" si="12"/>
        <v>1</v>
      </c>
      <c r="N159" s="5">
        <f t="shared" si="13"/>
        <v>0.21787878787878792</v>
      </c>
      <c r="O159" s="5" t="str">
        <f t="shared" si="14"/>
        <v>Healthy</v>
      </c>
      <c r="P159" s="5">
        <f>IF(Table1[[#This Row],[Health Status]]="Churned",0,1)</f>
        <v>1</v>
      </c>
      <c r="Q159" s="5" t="str">
        <f>IF(Table1[[#This Row],[Subscription_End_Date]]="", "Active", "Churned")</f>
        <v>Active</v>
      </c>
      <c r="R159" s="5">
        <f ca="1">IF(Table1[[#This Row],[Subscription_End_Date]]="", DATEDIF(Table1[[#This Row],[Subscription_Start_Date]], TODAY(), "m"),
DATEDIF(Table1[[#This Row],[Subscription_Start_Date]], Table1[[#This Row],[Subscription_End_Date]], "m"))</f>
        <v>18</v>
      </c>
      <c r="S159" s="2">
        <f ca="1">Table1[[#This Row],[Monthly_Spend]] * Table1[[#This Row],[Customer Lifetime(Months)]]</f>
        <v>1800000</v>
      </c>
    </row>
    <row r="160" spans="1:19" x14ac:dyDescent="0.35">
      <c r="A160" t="s">
        <v>178</v>
      </c>
      <c r="B160" t="s">
        <v>27</v>
      </c>
      <c r="C160" s="1">
        <v>45597</v>
      </c>
      <c r="D160" s="1">
        <v>46128</v>
      </c>
      <c r="E160" t="s">
        <v>23</v>
      </c>
      <c r="F160" s="2">
        <v>100000</v>
      </c>
      <c r="G160">
        <v>26</v>
      </c>
      <c r="H160">
        <v>36</v>
      </c>
      <c r="I160" t="s">
        <v>28</v>
      </c>
      <c r="J160">
        <f>IF(Table1[[#This Row],[Status]]="Churned",1,0)</f>
        <v>1</v>
      </c>
      <c r="K160">
        <f t="shared" si="10"/>
        <v>0.35353535353535354</v>
      </c>
      <c r="L160">
        <f t="shared" si="11"/>
        <v>0.48</v>
      </c>
      <c r="M160" s="5">
        <f t="shared" si="12"/>
        <v>1</v>
      </c>
      <c r="N160" s="5">
        <f t="shared" si="13"/>
        <v>0.61070707070707075</v>
      </c>
      <c r="O160" s="5" t="str">
        <f t="shared" si="14"/>
        <v>Churned</v>
      </c>
      <c r="P160" s="5">
        <f>IF(Table1[[#This Row],[Health Status]]="Churned",0,1)</f>
        <v>0</v>
      </c>
      <c r="Q160" s="5" t="str">
        <f>IF(Table1[[#This Row],[Subscription_End_Date]]="", "Active", "Churned")</f>
        <v>Churned</v>
      </c>
      <c r="R160" s="5">
        <f ca="1">IF(Table1[[#This Row],[Subscription_End_Date]]="", DATEDIF(Table1[[#This Row],[Subscription_Start_Date]], TODAY(), "m"),
DATEDIF(Table1[[#This Row],[Subscription_Start_Date]], Table1[[#This Row],[Subscription_End_Date]], "m"))</f>
        <v>17</v>
      </c>
      <c r="S160" s="2">
        <f ca="1">Table1[[#This Row],[Monthly_Spend]] * Table1[[#This Row],[Customer Lifetime(Months)]]</f>
        <v>1700000</v>
      </c>
    </row>
    <row r="161" spans="1:19" x14ac:dyDescent="0.35">
      <c r="A161" t="s">
        <v>179</v>
      </c>
      <c r="B161" t="s">
        <v>10</v>
      </c>
      <c r="C161" s="1">
        <v>45306</v>
      </c>
      <c r="E161" t="s">
        <v>16</v>
      </c>
      <c r="F161" s="2">
        <v>10000</v>
      </c>
      <c r="G161">
        <v>23</v>
      </c>
      <c r="H161">
        <v>13</v>
      </c>
      <c r="I161" t="s">
        <v>17</v>
      </c>
      <c r="J161">
        <f>IF(Table1[[#This Row],[Status]]="Churned",1,0)</f>
        <v>0</v>
      </c>
      <c r="K161">
        <f t="shared" si="10"/>
        <v>0.12121212121212122</v>
      </c>
      <c r="L161">
        <f t="shared" si="11"/>
        <v>0.54</v>
      </c>
      <c r="M161" s="5">
        <f t="shared" si="12"/>
        <v>5.2631578947368418E-2</v>
      </c>
      <c r="N161" s="5">
        <f t="shared" si="13"/>
        <v>0.29424242424242425</v>
      </c>
      <c r="O161" s="5" t="str">
        <f t="shared" si="14"/>
        <v>At-Risk</v>
      </c>
      <c r="P161" s="5">
        <f>IF(Table1[[#This Row],[Health Status]]="Churned",0,1)</f>
        <v>1</v>
      </c>
      <c r="Q161" s="5" t="str">
        <f>IF(Table1[[#This Row],[Subscription_End_Date]]="", "Active", "Churned")</f>
        <v>Active</v>
      </c>
      <c r="R161" s="5">
        <f ca="1">IF(Table1[[#This Row],[Subscription_End_Date]]="", DATEDIF(Table1[[#This Row],[Subscription_Start_Date]], TODAY(), "m"),
DATEDIF(Table1[[#This Row],[Subscription_Start_Date]], Table1[[#This Row],[Subscription_End_Date]], "m"))</f>
        <v>21</v>
      </c>
      <c r="S161" s="2">
        <f ca="1">Table1[[#This Row],[Monthly_Spend]] * Table1[[#This Row],[Customer Lifetime(Months)]]</f>
        <v>210000</v>
      </c>
    </row>
    <row r="162" spans="1:19" x14ac:dyDescent="0.35">
      <c r="A162" t="s">
        <v>180</v>
      </c>
      <c r="B162" t="s">
        <v>19</v>
      </c>
      <c r="C162" s="1">
        <v>45587</v>
      </c>
      <c r="E162" t="s">
        <v>16</v>
      </c>
      <c r="F162" s="2">
        <v>20000</v>
      </c>
      <c r="G162">
        <v>12</v>
      </c>
      <c r="H162">
        <v>16</v>
      </c>
      <c r="I162" t="s">
        <v>17</v>
      </c>
      <c r="J162">
        <f>IF(Table1[[#This Row],[Status]]="Churned",1,0)</f>
        <v>0</v>
      </c>
      <c r="K162">
        <f t="shared" si="10"/>
        <v>0.15151515151515152</v>
      </c>
      <c r="L162">
        <f t="shared" si="11"/>
        <v>0.76</v>
      </c>
      <c r="M162" s="5">
        <f t="shared" si="12"/>
        <v>0.15789473684210525</v>
      </c>
      <c r="N162" s="5">
        <f t="shared" si="13"/>
        <v>0.41030303030303028</v>
      </c>
      <c r="O162" s="5" t="str">
        <f t="shared" si="14"/>
        <v>At-Risk</v>
      </c>
      <c r="P162" s="5">
        <f>IF(Table1[[#This Row],[Health Status]]="Churned",0,1)</f>
        <v>1</v>
      </c>
      <c r="Q162" s="5" t="str">
        <f>IF(Table1[[#This Row],[Subscription_End_Date]]="", "Active", "Churned")</f>
        <v>Active</v>
      </c>
      <c r="R162" s="5">
        <f ca="1">IF(Table1[[#This Row],[Subscription_End_Date]]="", DATEDIF(Table1[[#This Row],[Subscription_Start_Date]], TODAY(), "m"),
DATEDIF(Table1[[#This Row],[Subscription_Start_Date]], Table1[[#This Row],[Subscription_End_Date]], "m"))</f>
        <v>12</v>
      </c>
      <c r="S162" s="2">
        <f ca="1">Table1[[#This Row],[Monthly_Spend]] * Table1[[#This Row],[Customer Lifetime(Months)]]</f>
        <v>240000</v>
      </c>
    </row>
    <row r="163" spans="1:19" x14ac:dyDescent="0.35">
      <c r="A163" t="s">
        <v>181</v>
      </c>
      <c r="B163" t="s">
        <v>31</v>
      </c>
      <c r="C163" s="1">
        <v>45605</v>
      </c>
      <c r="E163" t="s">
        <v>11</v>
      </c>
      <c r="F163" s="2">
        <v>5000</v>
      </c>
      <c r="G163">
        <v>50</v>
      </c>
      <c r="H163">
        <v>43</v>
      </c>
      <c r="I163" t="s">
        <v>12</v>
      </c>
      <c r="J163">
        <f>IF(Table1[[#This Row],[Status]]="Churned",1,0)</f>
        <v>0</v>
      </c>
      <c r="K163">
        <f t="shared" si="10"/>
        <v>0.42424242424242425</v>
      </c>
      <c r="L163">
        <f t="shared" si="11"/>
        <v>0</v>
      </c>
      <c r="M163" s="5">
        <f t="shared" si="12"/>
        <v>0</v>
      </c>
      <c r="N163" s="5">
        <f t="shared" si="13"/>
        <v>8.4848484848484854E-2</v>
      </c>
      <c r="O163" s="5" t="str">
        <f t="shared" si="14"/>
        <v>At-Risk</v>
      </c>
      <c r="P163" s="5">
        <f>IF(Table1[[#This Row],[Health Status]]="Churned",0,1)</f>
        <v>1</v>
      </c>
      <c r="Q163" s="5" t="str">
        <f>IF(Table1[[#This Row],[Subscription_End_Date]]="", "Active", "Churned")</f>
        <v>Active</v>
      </c>
      <c r="R163" s="5">
        <f ca="1">IF(Table1[[#This Row],[Subscription_End_Date]]="", DATEDIF(Table1[[#This Row],[Subscription_Start_Date]], TODAY(), "m"),
DATEDIF(Table1[[#This Row],[Subscription_Start_Date]], Table1[[#This Row],[Subscription_End_Date]], "m"))</f>
        <v>11</v>
      </c>
      <c r="S163" s="2">
        <f ca="1">Table1[[#This Row],[Monthly_Spend]] * Table1[[#This Row],[Customer Lifetime(Months)]]</f>
        <v>55000</v>
      </c>
    </row>
    <row r="164" spans="1:19" x14ac:dyDescent="0.35">
      <c r="A164" t="s">
        <v>182</v>
      </c>
      <c r="B164" t="s">
        <v>27</v>
      </c>
      <c r="C164" s="1">
        <v>45505</v>
      </c>
      <c r="E164" t="s">
        <v>11</v>
      </c>
      <c r="F164" s="2">
        <v>100000</v>
      </c>
      <c r="G164">
        <v>13</v>
      </c>
      <c r="H164">
        <v>30</v>
      </c>
      <c r="I164" t="s">
        <v>12</v>
      </c>
      <c r="J164">
        <f>IF(Table1[[#This Row],[Status]]="Churned",1,0)</f>
        <v>0</v>
      </c>
      <c r="K164">
        <f t="shared" si="10"/>
        <v>0.29292929292929293</v>
      </c>
      <c r="L164">
        <f t="shared" si="11"/>
        <v>0.74</v>
      </c>
      <c r="M164" s="5">
        <f t="shared" si="12"/>
        <v>1</v>
      </c>
      <c r="N164" s="5">
        <f t="shared" si="13"/>
        <v>0.42858585858585857</v>
      </c>
      <c r="O164" s="5" t="str">
        <f t="shared" si="14"/>
        <v>Healthy</v>
      </c>
      <c r="P164" s="5">
        <f>IF(Table1[[#This Row],[Health Status]]="Churned",0,1)</f>
        <v>1</v>
      </c>
      <c r="Q164" s="5" t="str">
        <f>IF(Table1[[#This Row],[Subscription_End_Date]]="", "Active", "Churned")</f>
        <v>Active</v>
      </c>
      <c r="R164" s="5">
        <f ca="1">IF(Table1[[#This Row],[Subscription_End_Date]]="", DATEDIF(Table1[[#This Row],[Subscription_Start_Date]], TODAY(), "m"),
DATEDIF(Table1[[#This Row],[Subscription_Start_Date]], Table1[[#This Row],[Subscription_End_Date]], "m"))</f>
        <v>14</v>
      </c>
      <c r="S164" s="2">
        <f ca="1">Table1[[#This Row],[Monthly_Spend]] * Table1[[#This Row],[Customer Lifetime(Months)]]</f>
        <v>1400000</v>
      </c>
    </row>
    <row r="165" spans="1:19" x14ac:dyDescent="0.35">
      <c r="A165" t="s">
        <v>183</v>
      </c>
      <c r="B165" t="s">
        <v>19</v>
      </c>
      <c r="C165" s="1">
        <v>45537</v>
      </c>
      <c r="D165" s="1">
        <v>45715</v>
      </c>
      <c r="E165" t="s">
        <v>11</v>
      </c>
      <c r="F165" s="2">
        <v>10000</v>
      </c>
      <c r="G165">
        <v>34</v>
      </c>
      <c r="H165">
        <v>33</v>
      </c>
      <c r="I165" t="s">
        <v>28</v>
      </c>
      <c r="J165">
        <f>IF(Table1[[#This Row],[Status]]="Churned",1,0)</f>
        <v>1</v>
      </c>
      <c r="K165">
        <f t="shared" si="10"/>
        <v>0.32323232323232326</v>
      </c>
      <c r="L165">
        <f t="shared" si="11"/>
        <v>0.31999999999999995</v>
      </c>
      <c r="M165" s="5">
        <f t="shared" si="12"/>
        <v>5.2631578947368418E-2</v>
      </c>
      <c r="N165" s="5">
        <f t="shared" si="13"/>
        <v>0.52464646464646458</v>
      </c>
      <c r="O165" s="5" t="str">
        <f t="shared" si="14"/>
        <v>Churned</v>
      </c>
      <c r="P165" s="5">
        <f>IF(Table1[[#This Row],[Health Status]]="Churned",0,1)</f>
        <v>0</v>
      </c>
      <c r="Q165" s="5" t="str">
        <f>IF(Table1[[#This Row],[Subscription_End_Date]]="", "Active", "Churned")</f>
        <v>Churned</v>
      </c>
      <c r="R165" s="5">
        <f ca="1">IF(Table1[[#This Row],[Subscription_End_Date]]="", DATEDIF(Table1[[#This Row],[Subscription_Start_Date]], TODAY(), "m"),
DATEDIF(Table1[[#This Row],[Subscription_Start_Date]], Table1[[#This Row],[Subscription_End_Date]], "m"))</f>
        <v>5</v>
      </c>
      <c r="S165" s="2">
        <f ca="1">Table1[[#This Row],[Monthly_Spend]] * Table1[[#This Row],[Customer Lifetime(Months)]]</f>
        <v>50000</v>
      </c>
    </row>
    <row r="166" spans="1:19" x14ac:dyDescent="0.35">
      <c r="A166" t="s">
        <v>184</v>
      </c>
      <c r="B166" t="s">
        <v>27</v>
      </c>
      <c r="C166" s="1">
        <v>45603</v>
      </c>
      <c r="E166" t="s">
        <v>11</v>
      </c>
      <c r="F166" s="2">
        <v>5000</v>
      </c>
      <c r="G166">
        <v>22</v>
      </c>
      <c r="H166">
        <v>31</v>
      </c>
      <c r="I166" t="s">
        <v>12</v>
      </c>
      <c r="J166">
        <f>IF(Table1[[#This Row],[Status]]="Churned",1,0)</f>
        <v>0</v>
      </c>
      <c r="K166">
        <f t="shared" si="10"/>
        <v>0.30303030303030304</v>
      </c>
      <c r="L166">
        <f t="shared" si="11"/>
        <v>0.56000000000000005</v>
      </c>
      <c r="M166" s="5">
        <f t="shared" si="12"/>
        <v>0</v>
      </c>
      <c r="N166" s="5">
        <f t="shared" si="13"/>
        <v>0.34060606060606063</v>
      </c>
      <c r="O166" s="5" t="str">
        <f t="shared" si="14"/>
        <v>At-Risk</v>
      </c>
      <c r="P166" s="5">
        <f>IF(Table1[[#This Row],[Health Status]]="Churned",0,1)</f>
        <v>1</v>
      </c>
      <c r="Q166" s="5" t="str">
        <f>IF(Table1[[#This Row],[Subscription_End_Date]]="", "Active", "Churned")</f>
        <v>Active</v>
      </c>
      <c r="R166" s="5">
        <f ca="1">IF(Table1[[#This Row],[Subscription_End_Date]]="", DATEDIF(Table1[[#This Row],[Subscription_Start_Date]], TODAY(), "m"),
DATEDIF(Table1[[#This Row],[Subscription_Start_Date]], Table1[[#This Row],[Subscription_End_Date]], "m"))</f>
        <v>11</v>
      </c>
      <c r="S166" s="2">
        <f ca="1">Table1[[#This Row],[Monthly_Spend]] * Table1[[#This Row],[Customer Lifetime(Months)]]</f>
        <v>55000</v>
      </c>
    </row>
    <row r="167" spans="1:19" x14ac:dyDescent="0.35">
      <c r="A167" t="s">
        <v>185</v>
      </c>
      <c r="B167" t="s">
        <v>14</v>
      </c>
      <c r="C167" s="1">
        <v>44943</v>
      </c>
      <c r="E167" t="s">
        <v>23</v>
      </c>
      <c r="F167" s="2">
        <v>10000</v>
      </c>
      <c r="G167">
        <v>47</v>
      </c>
      <c r="H167">
        <v>54</v>
      </c>
      <c r="I167" t="s">
        <v>12</v>
      </c>
      <c r="J167">
        <f>IF(Table1[[#This Row],[Status]]="Churned",1,0)</f>
        <v>0</v>
      </c>
      <c r="K167">
        <f t="shared" si="10"/>
        <v>0.53535353535353536</v>
      </c>
      <c r="L167">
        <f t="shared" si="11"/>
        <v>6.0000000000000053E-2</v>
      </c>
      <c r="M167" s="5">
        <f t="shared" si="12"/>
        <v>5.2631578947368418E-2</v>
      </c>
      <c r="N167" s="5">
        <f t="shared" si="13"/>
        <v>0.13707070707070712</v>
      </c>
      <c r="O167" s="5" t="str">
        <f t="shared" si="14"/>
        <v>At-Risk</v>
      </c>
      <c r="P167" s="5">
        <f>IF(Table1[[#This Row],[Health Status]]="Churned",0,1)</f>
        <v>1</v>
      </c>
      <c r="Q167" s="5" t="str">
        <f>IF(Table1[[#This Row],[Subscription_End_Date]]="", "Active", "Churned")</f>
        <v>Active</v>
      </c>
      <c r="R167" s="5">
        <f ca="1">IF(Table1[[#This Row],[Subscription_End_Date]]="", DATEDIF(Table1[[#This Row],[Subscription_Start_Date]], TODAY(), "m"),
DATEDIF(Table1[[#This Row],[Subscription_Start_Date]], Table1[[#This Row],[Subscription_End_Date]], "m"))</f>
        <v>33</v>
      </c>
      <c r="S167" s="2">
        <f ca="1">Table1[[#This Row],[Monthly_Spend]] * Table1[[#This Row],[Customer Lifetime(Months)]]</f>
        <v>330000</v>
      </c>
    </row>
    <row r="168" spans="1:19" x14ac:dyDescent="0.35">
      <c r="A168" t="s">
        <v>186</v>
      </c>
      <c r="B168" t="s">
        <v>14</v>
      </c>
      <c r="C168" s="1">
        <v>44992</v>
      </c>
      <c r="E168" t="s">
        <v>11</v>
      </c>
      <c r="F168" s="2">
        <v>100000</v>
      </c>
      <c r="G168">
        <v>37</v>
      </c>
      <c r="H168">
        <v>14</v>
      </c>
      <c r="I168" t="s">
        <v>17</v>
      </c>
      <c r="J168">
        <f>IF(Table1[[#This Row],[Status]]="Churned",1,0)</f>
        <v>0</v>
      </c>
      <c r="K168">
        <f t="shared" si="10"/>
        <v>0.13131313131313133</v>
      </c>
      <c r="L168">
        <f t="shared" si="11"/>
        <v>0.26</v>
      </c>
      <c r="M168" s="5">
        <f t="shared" si="12"/>
        <v>1</v>
      </c>
      <c r="N168" s="5">
        <f t="shared" si="13"/>
        <v>0.15626262626262627</v>
      </c>
      <c r="O168" s="5" t="str">
        <f t="shared" si="14"/>
        <v>Healthy</v>
      </c>
      <c r="P168" s="5">
        <f>IF(Table1[[#This Row],[Health Status]]="Churned",0,1)</f>
        <v>1</v>
      </c>
      <c r="Q168" s="5" t="str">
        <f>IF(Table1[[#This Row],[Subscription_End_Date]]="", "Active", "Churned")</f>
        <v>Active</v>
      </c>
      <c r="R168" s="5">
        <f ca="1">IF(Table1[[#This Row],[Subscription_End_Date]]="", DATEDIF(Table1[[#This Row],[Subscription_Start_Date]], TODAY(), "m"),
DATEDIF(Table1[[#This Row],[Subscription_Start_Date]], Table1[[#This Row],[Subscription_End_Date]], "m"))</f>
        <v>31</v>
      </c>
      <c r="S168" s="2">
        <f ca="1">Table1[[#This Row],[Monthly_Spend]] * Table1[[#This Row],[Customer Lifetime(Months)]]</f>
        <v>3100000</v>
      </c>
    </row>
    <row r="169" spans="1:19" x14ac:dyDescent="0.35">
      <c r="A169" t="s">
        <v>187</v>
      </c>
      <c r="B169" t="s">
        <v>31</v>
      </c>
      <c r="C169" s="1">
        <v>45153</v>
      </c>
      <c r="E169" t="s">
        <v>16</v>
      </c>
      <c r="F169" s="2">
        <v>100000</v>
      </c>
      <c r="G169">
        <v>19</v>
      </c>
      <c r="H169">
        <v>59</v>
      </c>
      <c r="I169" t="s">
        <v>12</v>
      </c>
      <c r="J169">
        <f>IF(Table1[[#This Row],[Status]]="Churned",1,0)</f>
        <v>0</v>
      </c>
      <c r="K169">
        <f t="shared" si="10"/>
        <v>0.58585858585858586</v>
      </c>
      <c r="L169">
        <f t="shared" si="11"/>
        <v>0.62</v>
      </c>
      <c r="M169" s="5">
        <f t="shared" si="12"/>
        <v>1</v>
      </c>
      <c r="N169" s="5">
        <f t="shared" si="13"/>
        <v>0.4271717171717172</v>
      </c>
      <c r="O169" s="5" t="str">
        <f t="shared" si="14"/>
        <v>Healthy</v>
      </c>
      <c r="P169" s="5">
        <f>IF(Table1[[#This Row],[Health Status]]="Churned",0,1)</f>
        <v>1</v>
      </c>
      <c r="Q169" s="5" t="str">
        <f>IF(Table1[[#This Row],[Subscription_End_Date]]="", "Active", "Churned")</f>
        <v>Active</v>
      </c>
      <c r="R169" s="5">
        <f ca="1">IF(Table1[[#This Row],[Subscription_End_Date]]="", DATEDIF(Table1[[#This Row],[Subscription_Start_Date]], TODAY(), "m"),
DATEDIF(Table1[[#This Row],[Subscription_Start_Date]], Table1[[#This Row],[Subscription_End_Date]], "m"))</f>
        <v>26</v>
      </c>
      <c r="S169" s="2">
        <f ca="1">Table1[[#This Row],[Monthly_Spend]] * Table1[[#This Row],[Customer Lifetime(Months)]]</f>
        <v>2600000</v>
      </c>
    </row>
    <row r="170" spans="1:19" x14ac:dyDescent="0.35">
      <c r="A170" t="s">
        <v>188</v>
      </c>
      <c r="B170" t="s">
        <v>10</v>
      </c>
      <c r="C170" s="1">
        <v>45417</v>
      </c>
      <c r="E170" t="s">
        <v>11</v>
      </c>
      <c r="F170" s="2">
        <v>5000</v>
      </c>
      <c r="G170">
        <v>31</v>
      </c>
      <c r="H170">
        <v>92</v>
      </c>
      <c r="I170" t="s">
        <v>17</v>
      </c>
      <c r="J170">
        <f>IF(Table1[[#This Row],[Status]]="Churned",1,0)</f>
        <v>0</v>
      </c>
      <c r="K170">
        <f t="shared" si="10"/>
        <v>0.91919191919191923</v>
      </c>
      <c r="L170">
        <f t="shared" si="11"/>
        <v>0.38</v>
      </c>
      <c r="M170" s="5">
        <f t="shared" si="12"/>
        <v>0</v>
      </c>
      <c r="N170" s="5">
        <f t="shared" si="13"/>
        <v>0.37383838383838386</v>
      </c>
      <c r="O170" s="5" t="str">
        <f t="shared" si="14"/>
        <v>At-Risk</v>
      </c>
      <c r="P170" s="5">
        <f>IF(Table1[[#This Row],[Health Status]]="Churned",0,1)</f>
        <v>1</v>
      </c>
      <c r="Q170" s="5" t="str">
        <f>IF(Table1[[#This Row],[Subscription_End_Date]]="", "Active", "Churned")</f>
        <v>Active</v>
      </c>
      <c r="R170" s="5">
        <f ca="1">IF(Table1[[#This Row],[Subscription_End_Date]]="", DATEDIF(Table1[[#This Row],[Subscription_Start_Date]], TODAY(), "m"),
DATEDIF(Table1[[#This Row],[Subscription_Start_Date]], Table1[[#This Row],[Subscription_End_Date]], "m"))</f>
        <v>17</v>
      </c>
      <c r="S170" s="2">
        <f ca="1">Table1[[#This Row],[Monthly_Spend]] * Table1[[#This Row],[Customer Lifetime(Months)]]</f>
        <v>85000</v>
      </c>
    </row>
    <row r="171" spans="1:19" x14ac:dyDescent="0.35">
      <c r="A171" t="s">
        <v>189</v>
      </c>
      <c r="B171" t="s">
        <v>31</v>
      </c>
      <c r="C171" s="1">
        <v>45009</v>
      </c>
      <c r="E171" t="s">
        <v>11</v>
      </c>
      <c r="F171" s="2">
        <v>5000</v>
      </c>
      <c r="G171">
        <v>8</v>
      </c>
      <c r="H171">
        <v>36</v>
      </c>
      <c r="I171" t="s">
        <v>12</v>
      </c>
      <c r="J171">
        <f>IF(Table1[[#This Row],[Status]]="Churned",1,0)</f>
        <v>0</v>
      </c>
      <c r="K171">
        <f t="shared" si="10"/>
        <v>0.35353535353535354</v>
      </c>
      <c r="L171">
        <f t="shared" si="11"/>
        <v>0.84</v>
      </c>
      <c r="M171" s="5">
        <f t="shared" si="12"/>
        <v>0</v>
      </c>
      <c r="N171" s="5">
        <f t="shared" si="13"/>
        <v>0.4907070707070707</v>
      </c>
      <c r="O171" s="5" t="str">
        <f t="shared" si="14"/>
        <v>At-Risk</v>
      </c>
      <c r="P171" s="5">
        <f>IF(Table1[[#This Row],[Health Status]]="Churned",0,1)</f>
        <v>1</v>
      </c>
      <c r="Q171" s="5" t="str">
        <f>IF(Table1[[#This Row],[Subscription_End_Date]]="", "Active", "Churned")</f>
        <v>Active</v>
      </c>
      <c r="R171" s="5">
        <f ca="1">IF(Table1[[#This Row],[Subscription_End_Date]]="", DATEDIF(Table1[[#This Row],[Subscription_Start_Date]], TODAY(), "m"),
DATEDIF(Table1[[#This Row],[Subscription_Start_Date]], Table1[[#This Row],[Subscription_End_Date]], "m"))</f>
        <v>31</v>
      </c>
      <c r="S171" s="2">
        <f ca="1">Table1[[#This Row],[Monthly_Spend]] * Table1[[#This Row],[Customer Lifetime(Months)]]</f>
        <v>155000</v>
      </c>
    </row>
    <row r="172" spans="1:19" x14ac:dyDescent="0.35">
      <c r="A172" t="s">
        <v>190</v>
      </c>
      <c r="B172" t="s">
        <v>14</v>
      </c>
      <c r="C172" s="1">
        <v>45526</v>
      </c>
      <c r="E172" t="s">
        <v>16</v>
      </c>
      <c r="F172" s="2">
        <v>50000</v>
      </c>
      <c r="G172">
        <v>38</v>
      </c>
      <c r="H172">
        <v>68</v>
      </c>
      <c r="I172" t="s">
        <v>17</v>
      </c>
      <c r="J172">
        <f>IF(Table1[[#This Row],[Status]]="Churned",1,0)</f>
        <v>0</v>
      </c>
      <c r="K172">
        <f t="shared" si="10"/>
        <v>0.6767676767676768</v>
      </c>
      <c r="L172">
        <f t="shared" si="11"/>
        <v>0.24</v>
      </c>
      <c r="M172" s="5">
        <f t="shared" si="12"/>
        <v>0.47368421052631576</v>
      </c>
      <c r="N172" s="5">
        <f t="shared" si="13"/>
        <v>0.25535353535353533</v>
      </c>
      <c r="O172" s="5" t="str">
        <f t="shared" si="14"/>
        <v>At-Risk</v>
      </c>
      <c r="P172" s="5">
        <f>IF(Table1[[#This Row],[Health Status]]="Churned",0,1)</f>
        <v>1</v>
      </c>
      <c r="Q172" s="5" t="str">
        <f>IF(Table1[[#This Row],[Subscription_End_Date]]="", "Active", "Churned")</f>
        <v>Active</v>
      </c>
      <c r="R172" s="5">
        <f ca="1">IF(Table1[[#This Row],[Subscription_End_Date]]="", DATEDIF(Table1[[#This Row],[Subscription_Start_Date]], TODAY(), "m"),
DATEDIF(Table1[[#This Row],[Subscription_Start_Date]], Table1[[#This Row],[Subscription_End_Date]], "m"))</f>
        <v>14</v>
      </c>
      <c r="S172" s="2">
        <f ca="1">Table1[[#This Row],[Monthly_Spend]] * Table1[[#This Row],[Customer Lifetime(Months)]]</f>
        <v>700000</v>
      </c>
    </row>
    <row r="173" spans="1:19" x14ac:dyDescent="0.35">
      <c r="A173" t="s">
        <v>191</v>
      </c>
      <c r="B173" t="s">
        <v>19</v>
      </c>
      <c r="C173" s="1">
        <v>45444</v>
      </c>
      <c r="E173" t="s">
        <v>23</v>
      </c>
      <c r="F173" s="2">
        <v>5000</v>
      </c>
      <c r="G173">
        <v>41</v>
      </c>
      <c r="H173">
        <v>84</v>
      </c>
      <c r="I173" t="s">
        <v>12</v>
      </c>
      <c r="J173">
        <f>IF(Table1[[#This Row],[Status]]="Churned",1,0)</f>
        <v>0</v>
      </c>
      <c r="K173">
        <f t="shared" si="10"/>
        <v>0.83838383838383834</v>
      </c>
      <c r="L173">
        <f t="shared" si="11"/>
        <v>0.18000000000000005</v>
      </c>
      <c r="M173" s="5">
        <f t="shared" si="12"/>
        <v>0</v>
      </c>
      <c r="N173" s="5">
        <f t="shared" si="13"/>
        <v>0.25767676767676773</v>
      </c>
      <c r="O173" s="5" t="str">
        <f t="shared" si="14"/>
        <v>At-Risk</v>
      </c>
      <c r="P173" s="5">
        <f>IF(Table1[[#This Row],[Health Status]]="Churned",0,1)</f>
        <v>1</v>
      </c>
      <c r="Q173" s="5" t="str">
        <f>IF(Table1[[#This Row],[Subscription_End_Date]]="", "Active", "Churned")</f>
        <v>Active</v>
      </c>
      <c r="R173" s="5">
        <f ca="1">IF(Table1[[#This Row],[Subscription_End_Date]]="", DATEDIF(Table1[[#This Row],[Subscription_Start_Date]], TODAY(), "m"),
DATEDIF(Table1[[#This Row],[Subscription_Start_Date]], Table1[[#This Row],[Subscription_End_Date]], "m"))</f>
        <v>16</v>
      </c>
      <c r="S173" s="2">
        <f ca="1">Table1[[#This Row],[Monthly_Spend]] * Table1[[#This Row],[Customer Lifetime(Months)]]</f>
        <v>80000</v>
      </c>
    </row>
    <row r="174" spans="1:19" x14ac:dyDescent="0.35">
      <c r="A174" t="s">
        <v>192</v>
      </c>
      <c r="B174" t="s">
        <v>14</v>
      </c>
      <c r="C174" s="1">
        <v>45147</v>
      </c>
      <c r="E174" t="s">
        <v>16</v>
      </c>
      <c r="F174" s="2">
        <v>50000</v>
      </c>
      <c r="G174">
        <v>21</v>
      </c>
      <c r="H174">
        <v>59</v>
      </c>
      <c r="I174" t="s">
        <v>12</v>
      </c>
      <c r="J174">
        <f>IF(Table1[[#This Row],[Status]]="Churned",1,0)</f>
        <v>0</v>
      </c>
      <c r="K174">
        <f t="shared" si="10"/>
        <v>0.58585858585858586</v>
      </c>
      <c r="L174">
        <f t="shared" si="11"/>
        <v>0.58000000000000007</v>
      </c>
      <c r="M174" s="5">
        <f t="shared" si="12"/>
        <v>0.47368421052631576</v>
      </c>
      <c r="N174" s="5">
        <f t="shared" si="13"/>
        <v>0.40717171717171718</v>
      </c>
      <c r="O174" s="5" t="str">
        <f t="shared" si="14"/>
        <v>At-Risk</v>
      </c>
      <c r="P174" s="5">
        <f>IF(Table1[[#This Row],[Health Status]]="Churned",0,1)</f>
        <v>1</v>
      </c>
      <c r="Q174" s="5" t="str">
        <f>IF(Table1[[#This Row],[Subscription_End_Date]]="", "Active", "Churned")</f>
        <v>Active</v>
      </c>
      <c r="R174" s="5">
        <f ca="1">IF(Table1[[#This Row],[Subscription_End_Date]]="", DATEDIF(Table1[[#This Row],[Subscription_Start_Date]], TODAY(), "m"),
DATEDIF(Table1[[#This Row],[Subscription_Start_Date]], Table1[[#This Row],[Subscription_End_Date]], "m"))</f>
        <v>26</v>
      </c>
      <c r="S174" s="2">
        <f ca="1">Table1[[#This Row],[Monthly_Spend]] * Table1[[#This Row],[Customer Lifetime(Months)]]</f>
        <v>1300000</v>
      </c>
    </row>
    <row r="175" spans="1:19" x14ac:dyDescent="0.35">
      <c r="A175" t="s">
        <v>193</v>
      </c>
      <c r="B175" t="s">
        <v>31</v>
      </c>
      <c r="C175" s="1">
        <v>45024</v>
      </c>
      <c r="E175" t="s">
        <v>23</v>
      </c>
      <c r="F175" s="2">
        <v>20000</v>
      </c>
      <c r="G175">
        <v>23</v>
      </c>
      <c r="H175">
        <v>20</v>
      </c>
      <c r="I175" t="s">
        <v>17</v>
      </c>
      <c r="J175">
        <f>IF(Table1[[#This Row],[Status]]="Churned",1,0)</f>
        <v>0</v>
      </c>
      <c r="K175">
        <f t="shared" si="10"/>
        <v>0.19191919191919191</v>
      </c>
      <c r="L175">
        <f t="shared" si="11"/>
        <v>0.54</v>
      </c>
      <c r="M175" s="5">
        <f t="shared" si="12"/>
        <v>0.15789473684210525</v>
      </c>
      <c r="N175" s="5">
        <f t="shared" si="13"/>
        <v>0.30838383838383843</v>
      </c>
      <c r="O175" s="5" t="str">
        <f t="shared" si="14"/>
        <v>At-Risk</v>
      </c>
      <c r="P175" s="5">
        <f>IF(Table1[[#This Row],[Health Status]]="Churned",0,1)</f>
        <v>1</v>
      </c>
      <c r="Q175" s="5" t="str">
        <f>IF(Table1[[#This Row],[Subscription_End_Date]]="", "Active", "Churned")</f>
        <v>Active</v>
      </c>
      <c r="R175" s="5">
        <f ca="1">IF(Table1[[#This Row],[Subscription_End_Date]]="", DATEDIF(Table1[[#This Row],[Subscription_Start_Date]], TODAY(), "m"),
DATEDIF(Table1[[#This Row],[Subscription_Start_Date]], Table1[[#This Row],[Subscription_End_Date]], "m"))</f>
        <v>30</v>
      </c>
      <c r="S175" s="2">
        <f ca="1">Table1[[#This Row],[Monthly_Spend]] * Table1[[#This Row],[Customer Lifetime(Months)]]</f>
        <v>600000</v>
      </c>
    </row>
    <row r="176" spans="1:19" x14ac:dyDescent="0.35">
      <c r="A176" t="s">
        <v>194</v>
      </c>
      <c r="B176" t="s">
        <v>31</v>
      </c>
      <c r="C176" s="1">
        <v>45020</v>
      </c>
      <c r="E176" t="s">
        <v>11</v>
      </c>
      <c r="F176" s="2">
        <v>50000</v>
      </c>
      <c r="G176">
        <v>6</v>
      </c>
      <c r="H176">
        <v>96</v>
      </c>
      <c r="I176" t="s">
        <v>12</v>
      </c>
      <c r="J176">
        <f>IF(Table1[[#This Row],[Status]]="Churned",1,0)</f>
        <v>0</v>
      </c>
      <c r="K176">
        <f t="shared" si="10"/>
        <v>0.95959595959595956</v>
      </c>
      <c r="L176">
        <f t="shared" si="11"/>
        <v>0.88</v>
      </c>
      <c r="M176" s="5">
        <f t="shared" si="12"/>
        <v>0.47368421052631576</v>
      </c>
      <c r="N176" s="5">
        <f t="shared" si="13"/>
        <v>0.63191919191919199</v>
      </c>
      <c r="O176" s="5" t="str">
        <f t="shared" si="14"/>
        <v>At-Risk</v>
      </c>
      <c r="P176" s="5">
        <f>IF(Table1[[#This Row],[Health Status]]="Churned",0,1)</f>
        <v>1</v>
      </c>
      <c r="Q176" s="5" t="str">
        <f>IF(Table1[[#This Row],[Subscription_End_Date]]="", "Active", "Churned")</f>
        <v>Active</v>
      </c>
      <c r="R176" s="5">
        <f ca="1">IF(Table1[[#This Row],[Subscription_End_Date]]="", DATEDIF(Table1[[#This Row],[Subscription_Start_Date]], TODAY(), "m"),
DATEDIF(Table1[[#This Row],[Subscription_Start_Date]], Table1[[#This Row],[Subscription_End_Date]], "m"))</f>
        <v>30</v>
      </c>
      <c r="S176" s="2">
        <f ca="1">Table1[[#This Row],[Monthly_Spend]] * Table1[[#This Row],[Customer Lifetime(Months)]]</f>
        <v>1500000</v>
      </c>
    </row>
    <row r="177" spans="1:19" x14ac:dyDescent="0.35">
      <c r="A177" t="s">
        <v>195</v>
      </c>
      <c r="B177" t="s">
        <v>19</v>
      </c>
      <c r="C177" s="1">
        <v>45496</v>
      </c>
      <c r="E177" t="s">
        <v>11</v>
      </c>
      <c r="F177" s="2">
        <v>5000</v>
      </c>
      <c r="G177">
        <v>26</v>
      </c>
      <c r="H177">
        <v>46</v>
      </c>
      <c r="I177" t="s">
        <v>17</v>
      </c>
      <c r="J177">
        <f>IF(Table1[[#This Row],[Status]]="Churned",1,0)</f>
        <v>0</v>
      </c>
      <c r="K177">
        <f t="shared" si="10"/>
        <v>0.45454545454545453</v>
      </c>
      <c r="L177">
        <f t="shared" si="11"/>
        <v>0.48</v>
      </c>
      <c r="M177" s="5">
        <f t="shared" si="12"/>
        <v>0</v>
      </c>
      <c r="N177" s="5">
        <f t="shared" si="13"/>
        <v>0.33090909090909093</v>
      </c>
      <c r="O177" s="5" t="str">
        <f t="shared" si="14"/>
        <v>At-Risk</v>
      </c>
      <c r="P177" s="5">
        <f>IF(Table1[[#This Row],[Health Status]]="Churned",0,1)</f>
        <v>1</v>
      </c>
      <c r="Q177" s="5" t="str">
        <f>IF(Table1[[#This Row],[Subscription_End_Date]]="", "Active", "Churned")</f>
        <v>Active</v>
      </c>
      <c r="R177" s="5">
        <f ca="1">IF(Table1[[#This Row],[Subscription_End_Date]]="", DATEDIF(Table1[[#This Row],[Subscription_Start_Date]], TODAY(), "m"),
DATEDIF(Table1[[#This Row],[Subscription_Start_Date]], Table1[[#This Row],[Subscription_End_Date]], "m"))</f>
        <v>15</v>
      </c>
      <c r="S177" s="2">
        <f ca="1">Table1[[#This Row],[Monthly_Spend]] * Table1[[#This Row],[Customer Lifetime(Months)]]</f>
        <v>75000</v>
      </c>
    </row>
    <row r="178" spans="1:19" x14ac:dyDescent="0.35">
      <c r="A178" t="s">
        <v>196</v>
      </c>
      <c r="B178" t="s">
        <v>31</v>
      </c>
      <c r="C178" s="1">
        <v>44979</v>
      </c>
      <c r="E178" t="s">
        <v>16</v>
      </c>
      <c r="F178" s="2">
        <v>20000</v>
      </c>
      <c r="G178">
        <v>6</v>
      </c>
      <c r="H178">
        <v>74</v>
      </c>
      <c r="I178" t="s">
        <v>17</v>
      </c>
      <c r="J178">
        <f>IF(Table1[[#This Row],[Status]]="Churned",1,0)</f>
        <v>0</v>
      </c>
      <c r="K178">
        <f t="shared" si="10"/>
        <v>0.73737373737373735</v>
      </c>
      <c r="L178">
        <f t="shared" si="11"/>
        <v>0.88</v>
      </c>
      <c r="M178" s="5">
        <f t="shared" si="12"/>
        <v>0.15789473684210525</v>
      </c>
      <c r="N178" s="5">
        <f t="shared" si="13"/>
        <v>0.58747474747474748</v>
      </c>
      <c r="O178" s="5" t="str">
        <f t="shared" si="14"/>
        <v>At-Risk</v>
      </c>
      <c r="P178" s="5">
        <f>IF(Table1[[#This Row],[Health Status]]="Churned",0,1)</f>
        <v>1</v>
      </c>
      <c r="Q178" s="5" t="str">
        <f>IF(Table1[[#This Row],[Subscription_End_Date]]="", "Active", "Churned")</f>
        <v>Active</v>
      </c>
      <c r="R178" s="5">
        <f ca="1">IF(Table1[[#This Row],[Subscription_End_Date]]="", DATEDIF(Table1[[#This Row],[Subscription_Start_Date]], TODAY(), "m"),
DATEDIF(Table1[[#This Row],[Subscription_Start_Date]], Table1[[#This Row],[Subscription_End_Date]], "m"))</f>
        <v>32</v>
      </c>
      <c r="S178" s="2">
        <f ca="1">Table1[[#This Row],[Monthly_Spend]] * Table1[[#This Row],[Customer Lifetime(Months)]]</f>
        <v>640000</v>
      </c>
    </row>
    <row r="179" spans="1:19" x14ac:dyDescent="0.35">
      <c r="A179" t="s">
        <v>197</v>
      </c>
      <c r="B179" t="s">
        <v>14</v>
      </c>
      <c r="C179" s="1">
        <v>45085</v>
      </c>
      <c r="E179" t="s">
        <v>11</v>
      </c>
      <c r="F179" s="2">
        <v>5000</v>
      </c>
      <c r="G179">
        <v>22</v>
      </c>
      <c r="H179">
        <v>72</v>
      </c>
      <c r="I179" t="s">
        <v>12</v>
      </c>
      <c r="J179">
        <f>IF(Table1[[#This Row],[Status]]="Churned",1,0)</f>
        <v>0</v>
      </c>
      <c r="K179">
        <f t="shared" si="10"/>
        <v>0.71717171717171713</v>
      </c>
      <c r="L179">
        <f t="shared" si="11"/>
        <v>0.56000000000000005</v>
      </c>
      <c r="M179" s="5">
        <f t="shared" si="12"/>
        <v>0</v>
      </c>
      <c r="N179" s="5">
        <f t="shared" si="13"/>
        <v>0.4234343434343435</v>
      </c>
      <c r="O179" s="5" t="str">
        <f t="shared" si="14"/>
        <v>At-Risk</v>
      </c>
      <c r="P179" s="5">
        <f>IF(Table1[[#This Row],[Health Status]]="Churned",0,1)</f>
        <v>1</v>
      </c>
      <c r="Q179" s="5" t="str">
        <f>IF(Table1[[#This Row],[Subscription_End_Date]]="", "Active", "Churned")</f>
        <v>Active</v>
      </c>
      <c r="R179" s="5">
        <f ca="1">IF(Table1[[#This Row],[Subscription_End_Date]]="", DATEDIF(Table1[[#This Row],[Subscription_Start_Date]], TODAY(), "m"),
DATEDIF(Table1[[#This Row],[Subscription_Start_Date]], Table1[[#This Row],[Subscription_End_Date]], "m"))</f>
        <v>28</v>
      </c>
      <c r="S179" s="2">
        <f ca="1">Table1[[#This Row],[Monthly_Spend]] * Table1[[#This Row],[Customer Lifetime(Months)]]</f>
        <v>140000</v>
      </c>
    </row>
    <row r="180" spans="1:19" x14ac:dyDescent="0.35">
      <c r="A180" t="s">
        <v>198</v>
      </c>
      <c r="B180" t="s">
        <v>19</v>
      </c>
      <c r="C180" s="1">
        <v>45212</v>
      </c>
      <c r="E180" t="s">
        <v>11</v>
      </c>
      <c r="F180" s="2">
        <v>100000</v>
      </c>
      <c r="G180">
        <v>49</v>
      </c>
      <c r="H180">
        <v>80</v>
      </c>
      <c r="I180" t="s">
        <v>17</v>
      </c>
      <c r="J180">
        <f>IF(Table1[[#This Row],[Status]]="Churned",1,0)</f>
        <v>0</v>
      </c>
      <c r="K180">
        <f t="shared" si="10"/>
        <v>0.79797979797979801</v>
      </c>
      <c r="L180">
        <f t="shared" si="11"/>
        <v>2.0000000000000018E-2</v>
      </c>
      <c r="M180" s="5">
        <f t="shared" si="12"/>
        <v>1</v>
      </c>
      <c r="N180" s="5">
        <f t="shared" si="13"/>
        <v>0.16959595959595963</v>
      </c>
      <c r="O180" s="5" t="str">
        <f t="shared" si="14"/>
        <v>Healthy</v>
      </c>
      <c r="P180" s="5">
        <f>IF(Table1[[#This Row],[Health Status]]="Churned",0,1)</f>
        <v>1</v>
      </c>
      <c r="Q180" s="5" t="str">
        <f>IF(Table1[[#This Row],[Subscription_End_Date]]="", "Active", "Churned")</f>
        <v>Active</v>
      </c>
      <c r="R180" s="5">
        <f ca="1">IF(Table1[[#This Row],[Subscription_End_Date]]="", DATEDIF(Table1[[#This Row],[Subscription_Start_Date]], TODAY(), "m"),
DATEDIF(Table1[[#This Row],[Subscription_Start_Date]], Table1[[#This Row],[Subscription_End_Date]], "m"))</f>
        <v>24</v>
      </c>
      <c r="S180" s="2">
        <f ca="1">Table1[[#This Row],[Monthly_Spend]] * Table1[[#This Row],[Customer Lifetime(Months)]]</f>
        <v>2400000</v>
      </c>
    </row>
    <row r="181" spans="1:19" x14ac:dyDescent="0.35">
      <c r="A181" t="s">
        <v>199</v>
      </c>
      <c r="B181" t="s">
        <v>14</v>
      </c>
      <c r="C181" s="1">
        <v>45585</v>
      </c>
      <c r="E181" t="s">
        <v>16</v>
      </c>
      <c r="F181" s="2">
        <v>5000</v>
      </c>
      <c r="G181">
        <v>11</v>
      </c>
      <c r="H181">
        <v>35</v>
      </c>
      <c r="I181" t="s">
        <v>17</v>
      </c>
      <c r="J181">
        <f>IF(Table1[[#This Row],[Status]]="Churned",1,0)</f>
        <v>0</v>
      </c>
      <c r="K181">
        <f t="shared" si="10"/>
        <v>0.34343434343434343</v>
      </c>
      <c r="L181">
        <f t="shared" si="11"/>
        <v>0.78</v>
      </c>
      <c r="M181" s="5">
        <f t="shared" si="12"/>
        <v>0</v>
      </c>
      <c r="N181" s="5">
        <f t="shared" si="13"/>
        <v>0.4586868686868687</v>
      </c>
      <c r="O181" s="5" t="str">
        <f t="shared" si="14"/>
        <v>At-Risk</v>
      </c>
      <c r="P181" s="5">
        <f>IF(Table1[[#This Row],[Health Status]]="Churned",0,1)</f>
        <v>1</v>
      </c>
      <c r="Q181" s="5" t="str">
        <f>IF(Table1[[#This Row],[Subscription_End_Date]]="", "Active", "Churned")</f>
        <v>Active</v>
      </c>
      <c r="R181" s="5">
        <f ca="1">IF(Table1[[#This Row],[Subscription_End_Date]]="", DATEDIF(Table1[[#This Row],[Subscription_Start_Date]], TODAY(), "m"),
DATEDIF(Table1[[#This Row],[Subscription_Start_Date]], Table1[[#This Row],[Subscription_End_Date]], "m"))</f>
        <v>12</v>
      </c>
      <c r="S181" s="2">
        <f ca="1">Table1[[#This Row],[Monthly_Spend]] * Table1[[#This Row],[Customer Lifetime(Months)]]</f>
        <v>60000</v>
      </c>
    </row>
    <row r="182" spans="1:19" x14ac:dyDescent="0.35">
      <c r="A182" t="s">
        <v>200</v>
      </c>
      <c r="B182" t="s">
        <v>19</v>
      </c>
      <c r="C182" s="1">
        <v>45286</v>
      </c>
      <c r="D182" s="1">
        <v>45462</v>
      </c>
      <c r="E182" t="s">
        <v>23</v>
      </c>
      <c r="F182" s="2">
        <v>100000</v>
      </c>
      <c r="G182">
        <v>42</v>
      </c>
      <c r="H182">
        <v>52</v>
      </c>
      <c r="I182" t="s">
        <v>28</v>
      </c>
      <c r="J182">
        <f>IF(Table1[[#This Row],[Status]]="Churned",1,0)</f>
        <v>1</v>
      </c>
      <c r="K182">
        <f t="shared" si="10"/>
        <v>0.51515151515151514</v>
      </c>
      <c r="L182">
        <f t="shared" si="11"/>
        <v>0.16000000000000003</v>
      </c>
      <c r="M182" s="5">
        <f t="shared" si="12"/>
        <v>1</v>
      </c>
      <c r="N182" s="5">
        <f t="shared" si="13"/>
        <v>0.48303030303030303</v>
      </c>
      <c r="O182" s="5" t="str">
        <f t="shared" si="14"/>
        <v>Churned</v>
      </c>
      <c r="P182" s="5">
        <f>IF(Table1[[#This Row],[Health Status]]="Churned",0,1)</f>
        <v>0</v>
      </c>
      <c r="Q182" s="5" t="str">
        <f>IF(Table1[[#This Row],[Subscription_End_Date]]="", "Active", "Churned")</f>
        <v>Churned</v>
      </c>
      <c r="R182" s="5">
        <f ca="1">IF(Table1[[#This Row],[Subscription_End_Date]]="", DATEDIF(Table1[[#This Row],[Subscription_Start_Date]], TODAY(), "m"),
DATEDIF(Table1[[#This Row],[Subscription_Start_Date]], Table1[[#This Row],[Subscription_End_Date]], "m"))</f>
        <v>5</v>
      </c>
      <c r="S182" s="2">
        <f ca="1">Table1[[#This Row],[Monthly_Spend]] * Table1[[#This Row],[Customer Lifetime(Months)]]</f>
        <v>500000</v>
      </c>
    </row>
    <row r="183" spans="1:19" x14ac:dyDescent="0.35">
      <c r="A183" t="s">
        <v>201</v>
      </c>
      <c r="B183" t="s">
        <v>10</v>
      </c>
      <c r="C183" s="1">
        <v>45575</v>
      </c>
      <c r="E183" t="s">
        <v>11</v>
      </c>
      <c r="F183" s="2">
        <v>100000</v>
      </c>
      <c r="G183">
        <v>13</v>
      </c>
      <c r="H183">
        <v>49</v>
      </c>
      <c r="I183" t="s">
        <v>12</v>
      </c>
      <c r="J183">
        <f>IF(Table1[[#This Row],[Status]]="Churned",1,0)</f>
        <v>0</v>
      </c>
      <c r="K183">
        <f t="shared" si="10"/>
        <v>0.48484848484848486</v>
      </c>
      <c r="L183">
        <f t="shared" si="11"/>
        <v>0.74</v>
      </c>
      <c r="M183" s="5">
        <f t="shared" si="12"/>
        <v>1</v>
      </c>
      <c r="N183" s="5">
        <f t="shared" si="13"/>
        <v>0.46696969696969698</v>
      </c>
      <c r="O183" s="5" t="str">
        <f t="shared" si="14"/>
        <v>Healthy</v>
      </c>
      <c r="P183" s="5">
        <f>IF(Table1[[#This Row],[Health Status]]="Churned",0,1)</f>
        <v>1</v>
      </c>
      <c r="Q183" s="5" t="str">
        <f>IF(Table1[[#This Row],[Subscription_End_Date]]="", "Active", "Churned")</f>
        <v>Active</v>
      </c>
      <c r="R183" s="5">
        <f ca="1">IF(Table1[[#This Row],[Subscription_End_Date]]="", DATEDIF(Table1[[#This Row],[Subscription_Start_Date]], TODAY(), "m"),
DATEDIF(Table1[[#This Row],[Subscription_Start_Date]], Table1[[#This Row],[Subscription_End_Date]], "m"))</f>
        <v>12</v>
      </c>
      <c r="S183" s="2">
        <f ca="1">Table1[[#This Row],[Monthly_Spend]] * Table1[[#This Row],[Customer Lifetime(Months)]]</f>
        <v>1200000</v>
      </c>
    </row>
    <row r="184" spans="1:19" x14ac:dyDescent="0.35">
      <c r="A184" t="s">
        <v>202</v>
      </c>
      <c r="B184" t="s">
        <v>31</v>
      </c>
      <c r="C184" s="1">
        <v>45276</v>
      </c>
      <c r="E184" t="s">
        <v>23</v>
      </c>
      <c r="F184" s="2">
        <v>20000</v>
      </c>
      <c r="G184">
        <v>49</v>
      </c>
      <c r="H184">
        <v>73</v>
      </c>
      <c r="I184" t="s">
        <v>17</v>
      </c>
      <c r="J184">
        <f>IF(Table1[[#This Row],[Status]]="Churned",1,0)</f>
        <v>0</v>
      </c>
      <c r="K184">
        <f t="shared" si="10"/>
        <v>0.72727272727272729</v>
      </c>
      <c r="L184">
        <f t="shared" si="11"/>
        <v>2.0000000000000018E-2</v>
      </c>
      <c r="M184" s="5">
        <f t="shared" si="12"/>
        <v>0.15789473684210525</v>
      </c>
      <c r="N184" s="5">
        <f t="shared" si="13"/>
        <v>0.15545454545454548</v>
      </c>
      <c r="O184" s="5" t="str">
        <f t="shared" si="14"/>
        <v>At-Risk</v>
      </c>
      <c r="P184" s="5">
        <f>IF(Table1[[#This Row],[Health Status]]="Churned",0,1)</f>
        <v>1</v>
      </c>
      <c r="Q184" s="5" t="str">
        <f>IF(Table1[[#This Row],[Subscription_End_Date]]="", "Active", "Churned")</f>
        <v>Active</v>
      </c>
      <c r="R184" s="5">
        <f ca="1">IF(Table1[[#This Row],[Subscription_End_Date]]="", DATEDIF(Table1[[#This Row],[Subscription_Start_Date]], TODAY(), "m"),
DATEDIF(Table1[[#This Row],[Subscription_Start_Date]], Table1[[#This Row],[Subscription_End_Date]], "m"))</f>
        <v>22</v>
      </c>
      <c r="S184" s="2">
        <f ca="1">Table1[[#This Row],[Monthly_Spend]] * Table1[[#This Row],[Customer Lifetime(Months)]]</f>
        <v>440000</v>
      </c>
    </row>
    <row r="185" spans="1:19" x14ac:dyDescent="0.35">
      <c r="A185" t="s">
        <v>203</v>
      </c>
      <c r="B185" t="s">
        <v>14</v>
      </c>
      <c r="C185" s="1">
        <v>44980</v>
      </c>
      <c r="E185" t="s">
        <v>11</v>
      </c>
      <c r="F185" s="2">
        <v>5000</v>
      </c>
      <c r="G185">
        <v>17</v>
      </c>
      <c r="H185">
        <v>57</v>
      </c>
      <c r="I185" t="s">
        <v>12</v>
      </c>
      <c r="J185">
        <f>IF(Table1[[#This Row],[Status]]="Churned",1,0)</f>
        <v>0</v>
      </c>
      <c r="K185">
        <f t="shared" si="10"/>
        <v>0.56565656565656564</v>
      </c>
      <c r="L185">
        <f t="shared" si="11"/>
        <v>0.65999999999999992</v>
      </c>
      <c r="M185" s="5">
        <f t="shared" si="12"/>
        <v>0</v>
      </c>
      <c r="N185" s="5">
        <f t="shared" si="13"/>
        <v>0.4431313131313131</v>
      </c>
      <c r="O185" s="5" t="str">
        <f t="shared" si="14"/>
        <v>At-Risk</v>
      </c>
      <c r="P185" s="5">
        <f>IF(Table1[[#This Row],[Health Status]]="Churned",0,1)</f>
        <v>1</v>
      </c>
      <c r="Q185" s="5" t="str">
        <f>IF(Table1[[#This Row],[Subscription_End_Date]]="", "Active", "Churned")</f>
        <v>Active</v>
      </c>
      <c r="R185" s="5">
        <f ca="1">IF(Table1[[#This Row],[Subscription_End_Date]]="", DATEDIF(Table1[[#This Row],[Subscription_Start_Date]], TODAY(), "m"),
DATEDIF(Table1[[#This Row],[Subscription_Start_Date]], Table1[[#This Row],[Subscription_End_Date]], "m"))</f>
        <v>32</v>
      </c>
      <c r="S185" s="2">
        <f ca="1">Table1[[#This Row],[Monthly_Spend]] * Table1[[#This Row],[Customer Lifetime(Months)]]</f>
        <v>160000</v>
      </c>
    </row>
    <row r="186" spans="1:19" x14ac:dyDescent="0.35">
      <c r="A186" t="s">
        <v>204</v>
      </c>
      <c r="B186" t="s">
        <v>31</v>
      </c>
      <c r="C186" s="1">
        <v>45548</v>
      </c>
      <c r="E186" t="s">
        <v>23</v>
      </c>
      <c r="F186" s="2">
        <v>10000</v>
      </c>
      <c r="G186">
        <v>48</v>
      </c>
      <c r="H186">
        <v>66</v>
      </c>
      <c r="I186" t="s">
        <v>17</v>
      </c>
      <c r="J186">
        <f>IF(Table1[[#This Row],[Status]]="Churned",1,0)</f>
        <v>0</v>
      </c>
      <c r="K186">
        <f t="shared" si="10"/>
        <v>0.65656565656565657</v>
      </c>
      <c r="L186">
        <f t="shared" si="11"/>
        <v>4.0000000000000036E-2</v>
      </c>
      <c r="M186" s="5">
        <f t="shared" si="12"/>
        <v>5.2631578947368418E-2</v>
      </c>
      <c r="N186" s="5">
        <f t="shared" si="13"/>
        <v>0.15131313131313134</v>
      </c>
      <c r="O186" s="5" t="str">
        <f t="shared" si="14"/>
        <v>At-Risk</v>
      </c>
      <c r="P186" s="5">
        <f>IF(Table1[[#This Row],[Health Status]]="Churned",0,1)</f>
        <v>1</v>
      </c>
      <c r="Q186" s="5" t="str">
        <f>IF(Table1[[#This Row],[Subscription_End_Date]]="", "Active", "Churned")</f>
        <v>Active</v>
      </c>
      <c r="R186" s="5">
        <f ca="1">IF(Table1[[#This Row],[Subscription_End_Date]]="", DATEDIF(Table1[[#This Row],[Subscription_Start_Date]], TODAY(), "m"),
DATEDIF(Table1[[#This Row],[Subscription_Start_Date]], Table1[[#This Row],[Subscription_End_Date]], "m"))</f>
        <v>13</v>
      </c>
      <c r="S186" s="2">
        <f ca="1">Table1[[#This Row],[Monthly_Spend]] * Table1[[#This Row],[Customer Lifetime(Months)]]</f>
        <v>130000</v>
      </c>
    </row>
    <row r="187" spans="1:19" x14ac:dyDescent="0.35">
      <c r="A187" t="s">
        <v>205</v>
      </c>
      <c r="B187" t="s">
        <v>10</v>
      </c>
      <c r="C187" s="1">
        <v>45367</v>
      </c>
      <c r="E187" t="s">
        <v>23</v>
      </c>
      <c r="F187" s="2">
        <v>100000</v>
      </c>
      <c r="G187">
        <v>42</v>
      </c>
      <c r="H187">
        <v>40</v>
      </c>
      <c r="I187" t="s">
        <v>17</v>
      </c>
      <c r="J187">
        <f>IF(Table1[[#This Row],[Status]]="Churned",1,0)</f>
        <v>0</v>
      </c>
      <c r="K187">
        <f t="shared" si="10"/>
        <v>0.39393939393939392</v>
      </c>
      <c r="L187">
        <f t="shared" si="11"/>
        <v>0.16000000000000003</v>
      </c>
      <c r="M187" s="5">
        <f t="shared" si="12"/>
        <v>1</v>
      </c>
      <c r="N187" s="5">
        <f t="shared" si="13"/>
        <v>0.15878787878787881</v>
      </c>
      <c r="O187" s="5" t="str">
        <f t="shared" si="14"/>
        <v>Healthy</v>
      </c>
      <c r="P187" s="5">
        <f>IF(Table1[[#This Row],[Health Status]]="Churned",0,1)</f>
        <v>1</v>
      </c>
      <c r="Q187" s="5" t="str">
        <f>IF(Table1[[#This Row],[Subscription_End_Date]]="", "Active", "Churned")</f>
        <v>Active</v>
      </c>
      <c r="R187" s="5">
        <f ca="1">IF(Table1[[#This Row],[Subscription_End_Date]]="", DATEDIF(Table1[[#This Row],[Subscription_Start_Date]], TODAY(), "m"),
DATEDIF(Table1[[#This Row],[Subscription_Start_Date]], Table1[[#This Row],[Subscription_End_Date]], "m"))</f>
        <v>19</v>
      </c>
      <c r="S187" s="2">
        <f ca="1">Table1[[#This Row],[Monthly_Spend]] * Table1[[#This Row],[Customer Lifetime(Months)]]</f>
        <v>1900000</v>
      </c>
    </row>
    <row r="188" spans="1:19" x14ac:dyDescent="0.35">
      <c r="A188" t="s">
        <v>206</v>
      </c>
      <c r="B188" t="s">
        <v>10</v>
      </c>
      <c r="C188" s="1">
        <v>45331</v>
      </c>
      <c r="E188" t="s">
        <v>11</v>
      </c>
      <c r="F188" s="2">
        <v>5000</v>
      </c>
      <c r="G188">
        <v>13</v>
      </c>
      <c r="H188">
        <v>39</v>
      </c>
      <c r="I188" t="s">
        <v>12</v>
      </c>
      <c r="J188">
        <f>IF(Table1[[#This Row],[Status]]="Churned",1,0)</f>
        <v>0</v>
      </c>
      <c r="K188">
        <f t="shared" si="10"/>
        <v>0.38383838383838381</v>
      </c>
      <c r="L188">
        <f t="shared" si="11"/>
        <v>0.74</v>
      </c>
      <c r="M188" s="5">
        <f t="shared" si="12"/>
        <v>0</v>
      </c>
      <c r="N188" s="5">
        <f t="shared" si="13"/>
        <v>0.44676767676767676</v>
      </c>
      <c r="O188" s="5" t="str">
        <f t="shared" si="14"/>
        <v>At-Risk</v>
      </c>
      <c r="P188" s="5">
        <f>IF(Table1[[#This Row],[Health Status]]="Churned",0,1)</f>
        <v>1</v>
      </c>
      <c r="Q188" s="5" t="str">
        <f>IF(Table1[[#This Row],[Subscription_End_Date]]="", "Active", "Churned")</f>
        <v>Active</v>
      </c>
      <c r="R188" s="5">
        <f ca="1">IF(Table1[[#This Row],[Subscription_End_Date]]="", DATEDIF(Table1[[#This Row],[Subscription_Start_Date]], TODAY(), "m"),
DATEDIF(Table1[[#This Row],[Subscription_Start_Date]], Table1[[#This Row],[Subscription_End_Date]], "m"))</f>
        <v>20</v>
      </c>
      <c r="S188" s="2">
        <f ca="1">Table1[[#This Row],[Monthly_Spend]] * Table1[[#This Row],[Customer Lifetime(Months)]]</f>
        <v>100000</v>
      </c>
    </row>
    <row r="189" spans="1:19" x14ac:dyDescent="0.35">
      <c r="A189" t="s">
        <v>207</v>
      </c>
      <c r="B189" t="s">
        <v>27</v>
      </c>
      <c r="C189" s="1">
        <v>45188</v>
      </c>
      <c r="E189" t="s">
        <v>11</v>
      </c>
      <c r="F189" s="2">
        <v>5000</v>
      </c>
      <c r="G189">
        <v>31</v>
      </c>
      <c r="H189">
        <v>96</v>
      </c>
      <c r="I189" t="s">
        <v>12</v>
      </c>
      <c r="J189">
        <f>IF(Table1[[#This Row],[Status]]="Churned",1,0)</f>
        <v>0</v>
      </c>
      <c r="K189">
        <f t="shared" si="10"/>
        <v>0.95959595959595956</v>
      </c>
      <c r="L189">
        <f t="shared" si="11"/>
        <v>0.38</v>
      </c>
      <c r="M189" s="5">
        <f t="shared" si="12"/>
        <v>0</v>
      </c>
      <c r="N189" s="5">
        <f t="shared" si="13"/>
        <v>0.38191919191919194</v>
      </c>
      <c r="O189" s="5" t="str">
        <f t="shared" si="14"/>
        <v>At-Risk</v>
      </c>
      <c r="P189" s="5">
        <f>IF(Table1[[#This Row],[Health Status]]="Churned",0,1)</f>
        <v>1</v>
      </c>
      <c r="Q189" s="5" t="str">
        <f>IF(Table1[[#This Row],[Subscription_End_Date]]="", "Active", "Churned")</f>
        <v>Active</v>
      </c>
      <c r="R189" s="5">
        <f ca="1">IF(Table1[[#This Row],[Subscription_End_Date]]="", DATEDIF(Table1[[#This Row],[Subscription_Start_Date]], TODAY(), "m"),
DATEDIF(Table1[[#This Row],[Subscription_Start_Date]], Table1[[#This Row],[Subscription_End_Date]], "m"))</f>
        <v>25</v>
      </c>
      <c r="S189" s="2">
        <f ca="1">Table1[[#This Row],[Monthly_Spend]] * Table1[[#This Row],[Customer Lifetime(Months)]]</f>
        <v>125000</v>
      </c>
    </row>
    <row r="190" spans="1:19" x14ac:dyDescent="0.35">
      <c r="A190" t="s">
        <v>208</v>
      </c>
      <c r="B190" t="s">
        <v>31</v>
      </c>
      <c r="C190" s="1">
        <v>45059</v>
      </c>
      <c r="E190" t="s">
        <v>11</v>
      </c>
      <c r="F190" s="2">
        <v>100000</v>
      </c>
      <c r="G190">
        <v>35</v>
      </c>
      <c r="H190">
        <v>86</v>
      </c>
      <c r="I190" t="s">
        <v>12</v>
      </c>
      <c r="J190">
        <f>IF(Table1[[#This Row],[Status]]="Churned",1,0)</f>
        <v>0</v>
      </c>
      <c r="K190">
        <f t="shared" si="10"/>
        <v>0.85858585858585856</v>
      </c>
      <c r="L190">
        <f t="shared" si="11"/>
        <v>0.30000000000000004</v>
      </c>
      <c r="M190" s="5">
        <f t="shared" si="12"/>
        <v>1</v>
      </c>
      <c r="N190" s="5">
        <f t="shared" si="13"/>
        <v>0.32171717171717173</v>
      </c>
      <c r="O190" s="5" t="str">
        <f t="shared" si="14"/>
        <v>Healthy</v>
      </c>
      <c r="P190" s="5">
        <f>IF(Table1[[#This Row],[Health Status]]="Churned",0,1)</f>
        <v>1</v>
      </c>
      <c r="Q190" s="5" t="str">
        <f>IF(Table1[[#This Row],[Subscription_End_Date]]="", "Active", "Churned")</f>
        <v>Active</v>
      </c>
      <c r="R190" s="5">
        <f ca="1">IF(Table1[[#This Row],[Subscription_End_Date]]="", DATEDIF(Table1[[#This Row],[Subscription_Start_Date]], TODAY(), "m"),
DATEDIF(Table1[[#This Row],[Subscription_Start_Date]], Table1[[#This Row],[Subscription_End_Date]], "m"))</f>
        <v>29</v>
      </c>
      <c r="S190" s="2">
        <f ca="1">Table1[[#This Row],[Monthly_Spend]] * Table1[[#This Row],[Customer Lifetime(Months)]]</f>
        <v>2900000</v>
      </c>
    </row>
    <row r="191" spans="1:19" x14ac:dyDescent="0.35">
      <c r="A191" t="s">
        <v>209</v>
      </c>
      <c r="B191" t="s">
        <v>19</v>
      </c>
      <c r="C191" s="1">
        <v>45333</v>
      </c>
      <c r="E191" t="s">
        <v>11</v>
      </c>
      <c r="F191" s="2">
        <v>50000</v>
      </c>
      <c r="G191">
        <v>1</v>
      </c>
      <c r="H191">
        <v>59</v>
      </c>
      <c r="I191" t="s">
        <v>12</v>
      </c>
      <c r="J191">
        <f>IF(Table1[[#This Row],[Status]]="Churned",1,0)</f>
        <v>0</v>
      </c>
      <c r="K191">
        <f t="shared" si="10"/>
        <v>0.58585858585858586</v>
      </c>
      <c r="L191">
        <f t="shared" si="11"/>
        <v>0.98</v>
      </c>
      <c r="M191" s="5">
        <f t="shared" si="12"/>
        <v>0.47368421052631576</v>
      </c>
      <c r="N191" s="5">
        <f t="shared" si="13"/>
        <v>0.60717171717171714</v>
      </c>
      <c r="O191" s="5" t="str">
        <f t="shared" si="14"/>
        <v>At-Risk</v>
      </c>
      <c r="P191" s="5">
        <f>IF(Table1[[#This Row],[Health Status]]="Churned",0,1)</f>
        <v>1</v>
      </c>
      <c r="Q191" s="5" t="str">
        <f>IF(Table1[[#This Row],[Subscription_End_Date]]="", "Active", "Churned")</f>
        <v>Active</v>
      </c>
      <c r="R191" s="5">
        <f ca="1">IF(Table1[[#This Row],[Subscription_End_Date]]="", DATEDIF(Table1[[#This Row],[Subscription_Start_Date]], TODAY(), "m"),
DATEDIF(Table1[[#This Row],[Subscription_Start_Date]], Table1[[#This Row],[Subscription_End_Date]], "m"))</f>
        <v>20</v>
      </c>
      <c r="S191" s="2">
        <f ca="1">Table1[[#This Row],[Monthly_Spend]] * Table1[[#This Row],[Customer Lifetime(Months)]]</f>
        <v>1000000</v>
      </c>
    </row>
    <row r="192" spans="1:19" x14ac:dyDescent="0.35">
      <c r="A192" t="s">
        <v>210</v>
      </c>
      <c r="B192" t="s">
        <v>10</v>
      </c>
      <c r="C192" s="1">
        <v>45516</v>
      </c>
      <c r="E192" t="s">
        <v>23</v>
      </c>
      <c r="F192" s="2">
        <v>50000</v>
      </c>
      <c r="G192">
        <v>18</v>
      </c>
      <c r="H192">
        <v>15</v>
      </c>
      <c r="I192" t="s">
        <v>17</v>
      </c>
      <c r="J192">
        <f>IF(Table1[[#This Row],[Status]]="Churned",1,0)</f>
        <v>0</v>
      </c>
      <c r="K192">
        <f t="shared" si="10"/>
        <v>0.14141414141414141</v>
      </c>
      <c r="L192">
        <f t="shared" si="11"/>
        <v>0.64</v>
      </c>
      <c r="M192" s="5">
        <f t="shared" si="12"/>
        <v>0.47368421052631576</v>
      </c>
      <c r="N192" s="5">
        <f t="shared" si="13"/>
        <v>0.34828282828282831</v>
      </c>
      <c r="O192" s="5" t="str">
        <f t="shared" si="14"/>
        <v>At-Risk</v>
      </c>
      <c r="P192" s="5">
        <f>IF(Table1[[#This Row],[Health Status]]="Churned",0,1)</f>
        <v>1</v>
      </c>
      <c r="Q192" s="5" t="str">
        <f>IF(Table1[[#This Row],[Subscription_End_Date]]="", "Active", "Churned")</f>
        <v>Active</v>
      </c>
      <c r="R192" s="5">
        <f ca="1">IF(Table1[[#This Row],[Subscription_End_Date]]="", DATEDIF(Table1[[#This Row],[Subscription_Start_Date]], TODAY(), "m"),
DATEDIF(Table1[[#This Row],[Subscription_Start_Date]], Table1[[#This Row],[Subscription_End_Date]], "m"))</f>
        <v>14</v>
      </c>
      <c r="S192" s="2">
        <f ca="1">Table1[[#This Row],[Monthly_Spend]] * Table1[[#This Row],[Customer Lifetime(Months)]]</f>
        <v>700000</v>
      </c>
    </row>
    <row r="193" spans="1:19" x14ac:dyDescent="0.35">
      <c r="A193" t="s">
        <v>211</v>
      </c>
      <c r="B193" t="s">
        <v>31</v>
      </c>
      <c r="C193" s="1">
        <v>45259</v>
      </c>
      <c r="E193" t="s">
        <v>11</v>
      </c>
      <c r="F193" s="2">
        <v>20000</v>
      </c>
      <c r="G193">
        <v>5</v>
      </c>
      <c r="H193">
        <v>56</v>
      </c>
      <c r="I193" t="s">
        <v>17</v>
      </c>
      <c r="J193">
        <f>IF(Table1[[#This Row],[Status]]="Churned",1,0)</f>
        <v>0</v>
      </c>
      <c r="K193">
        <f t="shared" si="10"/>
        <v>0.55555555555555558</v>
      </c>
      <c r="L193">
        <f t="shared" si="11"/>
        <v>0.9</v>
      </c>
      <c r="M193" s="5">
        <f t="shared" si="12"/>
        <v>0.15789473684210525</v>
      </c>
      <c r="N193" s="5">
        <f t="shared" si="13"/>
        <v>0.56111111111111112</v>
      </c>
      <c r="O193" s="5" t="str">
        <f t="shared" si="14"/>
        <v>At-Risk</v>
      </c>
      <c r="P193" s="5">
        <f>IF(Table1[[#This Row],[Health Status]]="Churned",0,1)</f>
        <v>1</v>
      </c>
      <c r="Q193" s="5" t="str">
        <f>IF(Table1[[#This Row],[Subscription_End_Date]]="", "Active", "Churned")</f>
        <v>Active</v>
      </c>
      <c r="R193" s="5">
        <f ca="1">IF(Table1[[#This Row],[Subscription_End_Date]]="", DATEDIF(Table1[[#This Row],[Subscription_Start_Date]], TODAY(), "m"),
DATEDIF(Table1[[#This Row],[Subscription_Start_Date]], Table1[[#This Row],[Subscription_End_Date]], "m"))</f>
        <v>23</v>
      </c>
      <c r="S193" s="2">
        <f ca="1">Table1[[#This Row],[Monthly_Spend]] * Table1[[#This Row],[Customer Lifetime(Months)]]</f>
        <v>460000</v>
      </c>
    </row>
    <row r="194" spans="1:19" x14ac:dyDescent="0.35">
      <c r="A194" t="s">
        <v>212</v>
      </c>
      <c r="B194" t="s">
        <v>10</v>
      </c>
      <c r="C194" s="1">
        <v>45373</v>
      </c>
      <c r="E194" t="s">
        <v>11</v>
      </c>
      <c r="F194" s="2">
        <v>50000</v>
      </c>
      <c r="G194">
        <v>19</v>
      </c>
      <c r="H194">
        <v>96</v>
      </c>
      <c r="I194" t="s">
        <v>12</v>
      </c>
      <c r="J194">
        <f>IF(Table1[[#This Row],[Status]]="Churned",1,0)</f>
        <v>0</v>
      </c>
      <c r="K194">
        <f t="shared" ref="K194:K257" si="15">(H194-MIN($H$2:$H$501))/(MAX($H$2:$H$501)-MIN($H$2:$H$501))</f>
        <v>0.95959595959595956</v>
      </c>
      <c r="L194">
        <f t="shared" ref="L194:L257" si="16">1 - ((G194-MIN($G$2:$G$501))/(MAX($G$2:$G$501)-MIN($G$2:$G$501)))</f>
        <v>0.62</v>
      </c>
      <c r="M194" s="5">
        <f t="shared" ref="M194:M257" si="17">(F194-MIN($F$2:$F$501))/(MAX($F$2:$F$501)-MIN($F$2:$F$501))</f>
        <v>0.47368421052631576</v>
      </c>
      <c r="N194" s="5">
        <f t="shared" ref="N194:N257" si="18">(J194*0.3) + (K194*0.2) + (L194*0.5)</f>
        <v>0.50191919191919188</v>
      </c>
      <c r="O194" s="5" t="str">
        <f t="shared" ref="O194:O257" si="19">IF(I194="Churned", "Churned", IF(M194&gt;=0.6, "Healthy", "At-Risk"))</f>
        <v>At-Risk</v>
      </c>
      <c r="P194" s="5">
        <f>IF(Table1[[#This Row],[Health Status]]="Churned",0,1)</f>
        <v>1</v>
      </c>
      <c r="Q194" s="5" t="str">
        <f>IF(Table1[[#This Row],[Subscription_End_Date]]="", "Active", "Churned")</f>
        <v>Active</v>
      </c>
      <c r="R194" s="5">
        <f ca="1">IF(Table1[[#This Row],[Subscription_End_Date]]="", DATEDIF(Table1[[#This Row],[Subscription_Start_Date]], TODAY(), "m"),
DATEDIF(Table1[[#This Row],[Subscription_Start_Date]], Table1[[#This Row],[Subscription_End_Date]], "m"))</f>
        <v>19</v>
      </c>
      <c r="S194" s="2">
        <f ca="1">Table1[[#This Row],[Monthly_Spend]] * Table1[[#This Row],[Customer Lifetime(Months)]]</f>
        <v>950000</v>
      </c>
    </row>
    <row r="195" spans="1:19" x14ac:dyDescent="0.35">
      <c r="A195" t="s">
        <v>213</v>
      </c>
      <c r="B195" t="s">
        <v>19</v>
      </c>
      <c r="C195" s="1">
        <v>45268</v>
      </c>
      <c r="E195" t="s">
        <v>11</v>
      </c>
      <c r="F195" s="2">
        <v>100000</v>
      </c>
      <c r="G195">
        <v>40</v>
      </c>
      <c r="H195">
        <v>15</v>
      </c>
      <c r="I195" t="s">
        <v>12</v>
      </c>
      <c r="J195">
        <f>IF(Table1[[#This Row],[Status]]="Churned",1,0)</f>
        <v>0</v>
      </c>
      <c r="K195">
        <f t="shared" si="15"/>
        <v>0.14141414141414141</v>
      </c>
      <c r="L195">
        <f t="shared" si="16"/>
        <v>0.19999999999999996</v>
      </c>
      <c r="M195" s="5">
        <f t="shared" si="17"/>
        <v>1</v>
      </c>
      <c r="N195" s="5">
        <f t="shared" si="18"/>
        <v>0.12828282828282828</v>
      </c>
      <c r="O195" s="5" t="str">
        <f t="shared" si="19"/>
        <v>Healthy</v>
      </c>
      <c r="P195" s="5">
        <f>IF(Table1[[#This Row],[Health Status]]="Churned",0,1)</f>
        <v>1</v>
      </c>
      <c r="Q195" s="5" t="str">
        <f>IF(Table1[[#This Row],[Subscription_End_Date]]="", "Active", "Churned")</f>
        <v>Active</v>
      </c>
      <c r="R195" s="5">
        <f ca="1">IF(Table1[[#This Row],[Subscription_End_Date]]="", DATEDIF(Table1[[#This Row],[Subscription_Start_Date]], TODAY(), "m"),
DATEDIF(Table1[[#This Row],[Subscription_Start_Date]], Table1[[#This Row],[Subscription_End_Date]], "m"))</f>
        <v>22</v>
      </c>
      <c r="S195" s="2">
        <f ca="1">Table1[[#This Row],[Monthly_Spend]] * Table1[[#This Row],[Customer Lifetime(Months)]]</f>
        <v>2200000</v>
      </c>
    </row>
    <row r="196" spans="1:19" x14ac:dyDescent="0.35">
      <c r="A196" t="s">
        <v>214</v>
      </c>
      <c r="B196" t="s">
        <v>14</v>
      </c>
      <c r="C196" s="1">
        <v>45125</v>
      </c>
      <c r="E196" t="s">
        <v>16</v>
      </c>
      <c r="F196" s="2">
        <v>20000</v>
      </c>
      <c r="G196">
        <v>46</v>
      </c>
      <c r="H196">
        <v>83</v>
      </c>
      <c r="I196" t="s">
        <v>17</v>
      </c>
      <c r="J196">
        <f>IF(Table1[[#This Row],[Status]]="Churned",1,0)</f>
        <v>0</v>
      </c>
      <c r="K196">
        <f t="shared" si="15"/>
        <v>0.82828282828282829</v>
      </c>
      <c r="L196">
        <f t="shared" si="16"/>
        <v>7.999999999999996E-2</v>
      </c>
      <c r="M196" s="5">
        <f t="shared" si="17"/>
        <v>0.15789473684210525</v>
      </c>
      <c r="N196" s="5">
        <f t="shared" si="18"/>
        <v>0.20565656565656565</v>
      </c>
      <c r="O196" s="5" t="str">
        <f t="shared" si="19"/>
        <v>At-Risk</v>
      </c>
      <c r="P196" s="5">
        <f>IF(Table1[[#This Row],[Health Status]]="Churned",0,1)</f>
        <v>1</v>
      </c>
      <c r="Q196" s="5" t="str">
        <f>IF(Table1[[#This Row],[Subscription_End_Date]]="", "Active", "Churned")</f>
        <v>Active</v>
      </c>
      <c r="R196" s="5">
        <f ca="1">IF(Table1[[#This Row],[Subscription_End_Date]]="", DATEDIF(Table1[[#This Row],[Subscription_Start_Date]], TODAY(), "m"),
DATEDIF(Table1[[#This Row],[Subscription_Start_Date]], Table1[[#This Row],[Subscription_End_Date]], "m"))</f>
        <v>27</v>
      </c>
      <c r="S196" s="2">
        <f ca="1">Table1[[#This Row],[Monthly_Spend]] * Table1[[#This Row],[Customer Lifetime(Months)]]</f>
        <v>540000</v>
      </c>
    </row>
    <row r="197" spans="1:19" x14ac:dyDescent="0.35">
      <c r="A197" t="s">
        <v>215</v>
      </c>
      <c r="B197" t="s">
        <v>27</v>
      </c>
      <c r="C197" s="1">
        <v>45032</v>
      </c>
      <c r="E197" t="s">
        <v>11</v>
      </c>
      <c r="F197" s="2">
        <v>10000</v>
      </c>
      <c r="G197">
        <v>38</v>
      </c>
      <c r="H197">
        <v>20</v>
      </c>
      <c r="I197" t="s">
        <v>12</v>
      </c>
      <c r="J197">
        <f>IF(Table1[[#This Row],[Status]]="Churned",1,0)</f>
        <v>0</v>
      </c>
      <c r="K197">
        <f t="shared" si="15"/>
        <v>0.19191919191919191</v>
      </c>
      <c r="L197">
        <f t="shared" si="16"/>
        <v>0.24</v>
      </c>
      <c r="M197" s="5">
        <f t="shared" si="17"/>
        <v>5.2631578947368418E-2</v>
      </c>
      <c r="N197" s="5">
        <f t="shared" si="18"/>
        <v>0.15838383838383838</v>
      </c>
      <c r="O197" s="5" t="str">
        <f t="shared" si="19"/>
        <v>At-Risk</v>
      </c>
      <c r="P197" s="5">
        <f>IF(Table1[[#This Row],[Health Status]]="Churned",0,1)</f>
        <v>1</v>
      </c>
      <c r="Q197" s="5" t="str">
        <f>IF(Table1[[#This Row],[Subscription_End_Date]]="", "Active", "Churned")</f>
        <v>Active</v>
      </c>
      <c r="R197" s="5">
        <f ca="1">IF(Table1[[#This Row],[Subscription_End_Date]]="", DATEDIF(Table1[[#This Row],[Subscription_Start_Date]], TODAY(), "m"),
DATEDIF(Table1[[#This Row],[Subscription_Start_Date]], Table1[[#This Row],[Subscription_End_Date]], "m"))</f>
        <v>30</v>
      </c>
      <c r="S197" s="2">
        <f ca="1">Table1[[#This Row],[Monthly_Spend]] * Table1[[#This Row],[Customer Lifetime(Months)]]</f>
        <v>300000</v>
      </c>
    </row>
    <row r="198" spans="1:19" x14ac:dyDescent="0.35">
      <c r="A198" t="s">
        <v>216</v>
      </c>
      <c r="B198" t="s">
        <v>10</v>
      </c>
      <c r="C198" s="1">
        <v>45570</v>
      </c>
      <c r="E198" t="s">
        <v>11</v>
      </c>
      <c r="F198" s="2">
        <v>100000</v>
      </c>
      <c r="G198">
        <v>41</v>
      </c>
      <c r="H198">
        <v>82</v>
      </c>
      <c r="I198" t="s">
        <v>17</v>
      </c>
      <c r="J198">
        <f>IF(Table1[[#This Row],[Status]]="Churned",1,0)</f>
        <v>0</v>
      </c>
      <c r="K198">
        <f t="shared" si="15"/>
        <v>0.81818181818181823</v>
      </c>
      <c r="L198">
        <f t="shared" si="16"/>
        <v>0.18000000000000005</v>
      </c>
      <c r="M198" s="5">
        <f t="shared" si="17"/>
        <v>1</v>
      </c>
      <c r="N198" s="5">
        <f t="shared" si="18"/>
        <v>0.25363636363636366</v>
      </c>
      <c r="O198" s="5" t="str">
        <f t="shared" si="19"/>
        <v>Healthy</v>
      </c>
      <c r="P198" s="5">
        <f>IF(Table1[[#This Row],[Health Status]]="Churned",0,1)</f>
        <v>1</v>
      </c>
      <c r="Q198" s="5" t="str">
        <f>IF(Table1[[#This Row],[Subscription_End_Date]]="", "Active", "Churned")</f>
        <v>Active</v>
      </c>
      <c r="R198" s="5">
        <f ca="1">IF(Table1[[#This Row],[Subscription_End_Date]]="", DATEDIF(Table1[[#This Row],[Subscription_Start_Date]], TODAY(), "m"),
DATEDIF(Table1[[#This Row],[Subscription_Start_Date]], Table1[[#This Row],[Subscription_End_Date]], "m"))</f>
        <v>12</v>
      </c>
      <c r="S198" s="2">
        <f ca="1">Table1[[#This Row],[Monthly_Spend]] * Table1[[#This Row],[Customer Lifetime(Months)]]</f>
        <v>1200000</v>
      </c>
    </row>
    <row r="199" spans="1:19" x14ac:dyDescent="0.35">
      <c r="A199" t="s">
        <v>217</v>
      </c>
      <c r="B199" t="s">
        <v>14</v>
      </c>
      <c r="C199" s="1">
        <v>45569</v>
      </c>
      <c r="E199" t="s">
        <v>23</v>
      </c>
      <c r="F199" s="2">
        <v>5000</v>
      </c>
      <c r="G199">
        <v>30</v>
      </c>
      <c r="H199">
        <v>57</v>
      </c>
      <c r="I199" t="s">
        <v>17</v>
      </c>
      <c r="J199">
        <f>IF(Table1[[#This Row],[Status]]="Churned",1,0)</f>
        <v>0</v>
      </c>
      <c r="K199">
        <f t="shared" si="15"/>
        <v>0.56565656565656564</v>
      </c>
      <c r="L199">
        <f t="shared" si="16"/>
        <v>0.4</v>
      </c>
      <c r="M199" s="5">
        <f t="shared" si="17"/>
        <v>0</v>
      </c>
      <c r="N199" s="5">
        <f t="shared" si="18"/>
        <v>0.31313131313131315</v>
      </c>
      <c r="O199" s="5" t="str">
        <f t="shared" si="19"/>
        <v>At-Risk</v>
      </c>
      <c r="P199" s="5">
        <f>IF(Table1[[#This Row],[Health Status]]="Churned",0,1)</f>
        <v>1</v>
      </c>
      <c r="Q199" s="5" t="str">
        <f>IF(Table1[[#This Row],[Subscription_End_Date]]="", "Active", "Churned")</f>
        <v>Active</v>
      </c>
      <c r="R199" s="5">
        <f ca="1">IF(Table1[[#This Row],[Subscription_End_Date]]="", DATEDIF(Table1[[#This Row],[Subscription_Start_Date]], TODAY(), "m"),
DATEDIF(Table1[[#This Row],[Subscription_Start_Date]], Table1[[#This Row],[Subscription_End_Date]], "m"))</f>
        <v>12</v>
      </c>
      <c r="S199" s="2">
        <f ca="1">Table1[[#This Row],[Monthly_Spend]] * Table1[[#This Row],[Customer Lifetime(Months)]]</f>
        <v>60000</v>
      </c>
    </row>
    <row r="200" spans="1:19" x14ac:dyDescent="0.35">
      <c r="A200" t="s">
        <v>218</v>
      </c>
      <c r="B200" t="s">
        <v>19</v>
      </c>
      <c r="C200" s="1">
        <v>45532</v>
      </c>
      <c r="D200" s="1">
        <v>46081</v>
      </c>
      <c r="E200" t="s">
        <v>23</v>
      </c>
      <c r="F200" s="2">
        <v>5000</v>
      </c>
      <c r="G200">
        <v>19</v>
      </c>
      <c r="H200">
        <v>60</v>
      </c>
      <c r="I200" t="s">
        <v>28</v>
      </c>
      <c r="J200">
        <f>IF(Table1[[#This Row],[Status]]="Churned",1,0)</f>
        <v>1</v>
      </c>
      <c r="K200">
        <f t="shared" si="15"/>
        <v>0.59595959595959591</v>
      </c>
      <c r="L200">
        <f t="shared" si="16"/>
        <v>0.62</v>
      </c>
      <c r="M200" s="5">
        <f t="shared" si="17"/>
        <v>0</v>
      </c>
      <c r="N200" s="5">
        <f t="shared" si="18"/>
        <v>0.72919191919191917</v>
      </c>
      <c r="O200" s="5" t="str">
        <f t="shared" si="19"/>
        <v>Churned</v>
      </c>
      <c r="P200" s="5">
        <f>IF(Table1[[#This Row],[Health Status]]="Churned",0,1)</f>
        <v>0</v>
      </c>
      <c r="Q200" s="5" t="str">
        <f>IF(Table1[[#This Row],[Subscription_End_Date]]="", "Active", "Churned")</f>
        <v>Churned</v>
      </c>
      <c r="R200" s="5">
        <f ca="1">IF(Table1[[#This Row],[Subscription_End_Date]]="", DATEDIF(Table1[[#This Row],[Subscription_Start_Date]], TODAY(), "m"),
DATEDIF(Table1[[#This Row],[Subscription_Start_Date]], Table1[[#This Row],[Subscription_End_Date]], "m"))</f>
        <v>18</v>
      </c>
      <c r="S200" s="2">
        <f ca="1">Table1[[#This Row],[Monthly_Spend]] * Table1[[#This Row],[Customer Lifetime(Months)]]</f>
        <v>90000</v>
      </c>
    </row>
    <row r="201" spans="1:19" x14ac:dyDescent="0.35">
      <c r="A201" t="s">
        <v>219</v>
      </c>
      <c r="B201" t="s">
        <v>31</v>
      </c>
      <c r="C201" s="1">
        <v>44985</v>
      </c>
      <c r="E201" t="s">
        <v>11</v>
      </c>
      <c r="F201" s="2">
        <v>5000</v>
      </c>
      <c r="G201">
        <v>41</v>
      </c>
      <c r="H201">
        <v>12</v>
      </c>
      <c r="I201" t="s">
        <v>17</v>
      </c>
      <c r="J201">
        <f>IF(Table1[[#This Row],[Status]]="Churned",1,0)</f>
        <v>0</v>
      </c>
      <c r="K201">
        <f t="shared" si="15"/>
        <v>0.1111111111111111</v>
      </c>
      <c r="L201">
        <f t="shared" si="16"/>
        <v>0.18000000000000005</v>
      </c>
      <c r="M201" s="5">
        <f t="shared" si="17"/>
        <v>0</v>
      </c>
      <c r="N201" s="5">
        <f t="shared" si="18"/>
        <v>0.11222222222222225</v>
      </c>
      <c r="O201" s="5" t="str">
        <f t="shared" si="19"/>
        <v>At-Risk</v>
      </c>
      <c r="P201" s="5">
        <f>IF(Table1[[#This Row],[Health Status]]="Churned",0,1)</f>
        <v>1</v>
      </c>
      <c r="Q201" s="5" t="str">
        <f>IF(Table1[[#This Row],[Subscription_End_Date]]="", "Active", "Churned")</f>
        <v>Active</v>
      </c>
      <c r="R201" s="5">
        <f ca="1">IF(Table1[[#This Row],[Subscription_End_Date]]="", DATEDIF(Table1[[#This Row],[Subscription_Start_Date]], TODAY(), "m"),
DATEDIF(Table1[[#This Row],[Subscription_Start_Date]], Table1[[#This Row],[Subscription_End_Date]], "m"))</f>
        <v>32</v>
      </c>
      <c r="S201" s="2">
        <f ca="1">Table1[[#This Row],[Monthly_Spend]] * Table1[[#This Row],[Customer Lifetime(Months)]]</f>
        <v>160000</v>
      </c>
    </row>
    <row r="202" spans="1:19" x14ac:dyDescent="0.35">
      <c r="A202" t="s">
        <v>220</v>
      </c>
      <c r="B202" t="s">
        <v>14</v>
      </c>
      <c r="C202" s="1">
        <v>45446</v>
      </c>
      <c r="E202" t="s">
        <v>16</v>
      </c>
      <c r="F202" s="2">
        <v>50000</v>
      </c>
      <c r="G202">
        <v>36</v>
      </c>
      <c r="H202">
        <v>84</v>
      </c>
      <c r="I202" t="s">
        <v>12</v>
      </c>
      <c r="J202">
        <f>IF(Table1[[#This Row],[Status]]="Churned",1,0)</f>
        <v>0</v>
      </c>
      <c r="K202">
        <f t="shared" si="15"/>
        <v>0.83838383838383834</v>
      </c>
      <c r="L202">
        <f t="shared" si="16"/>
        <v>0.28000000000000003</v>
      </c>
      <c r="M202" s="5">
        <f t="shared" si="17"/>
        <v>0.47368421052631576</v>
      </c>
      <c r="N202" s="5">
        <f t="shared" si="18"/>
        <v>0.30767676767676766</v>
      </c>
      <c r="O202" s="5" t="str">
        <f t="shared" si="19"/>
        <v>At-Risk</v>
      </c>
      <c r="P202" s="5">
        <f>IF(Table1[[#This Row],[Health Status]]="Churned",0,1)</f>
        <v>1</v>
      </c>
      <c r="Q202" s="5" t="str">
        <f>IF(Table1[[#This Row],[Subscription_End_Date]]="", "Active", "Churned")</f>
        <v>Active</v>
      </c>
      <c r="R202" s="5">
        <f ca="1">IF(Table1[[#This Row],[Subscription_End_Date]]="", DATEDIF(Table1[[#This Row],[Subscription_Start_Date]], TODAY(), "m"),
DATEDIF(Table1[[#This Row],[Subscription_Start_Date]], Table1[[#This Row],[Subscription_End_Date]], "m"))</f>
        <v>16</v>
      </c>
      <c r="S202" s="2">
        <f ca="1">Table1[[#This Row],[Monthly_Spend]] * Table1[[#This Row],[Customer Lifetime(Months)]]</f>
        <v>800000</v>
      </c>
    </row>
    <row r="203" spans="1:19" x14ac:dyDescent="0.35">
      <c r="A203" t="s">
        <v>221</v>
      </c>
      <c r="B203" t="s">
        <v>27</v>
      </c>
      <c r="C203" s="1">
        <v>45546</v>
      </c>
      <c r="E203" t="s">
        <v>23</v>
      </c>
      <c r="F203" s="2">
        <v>5000</v>
      </c>
      <c r="G203">
        <v>28</v>
      </c>
      <c r="H203">
        <v>14</v>
      </c>
      <c r="I203" t="s">
        <v>12</v>
      </c>
      <c r="J203">
        <f>IF(Table1[[#This Row],[Status]]="Churned",1,0)</f>
        <v>0</v>
      </c>
      <c r="K203">
        <f t="shared" si="15"/>
        <v>0.13131313131313133</v>
      </c>
      <c r="L203">
        <f t="shared" si="16"/>
        <v>0.43999999999999995</v>
      </c>
      <c r="M203" s="5">
        <f t="shared" si="17"/>
        <v>0</v>
      </c>
      <c r="N203" s="5">
        <f t="shared" si="18"/>
        <v>0.24626262626262624</v>
      </c>
      <c r="O203" s="5" t="str">
        <f t="shared" si="19"/>
        <v>At-Risk</v>
      </c>
      <c r="P203" s="5">
        <f>IF(Table1[[#This Row],[Health Status]]="Churned",0,1)</f>
        <v>1</v>
      </c>
      <c r="Q203" s="5" t="str">
        <f>IF(Table1[[#This Row],[Subscription_End_Date]]="", "Active", "Churned")</f>
        <v>Active</v>
      </c>
      <c r="R203" s="5">
        <f ca="1">IF(Table1[[#This Row],[Subscription_End_Date]]="", DATEDIF(Table1[[#This Row],[Subscription_Start_Date]], TODAY(), "m"),
DATEDIF(Table1[[#This Row],[Subscription_Start_Date]], Table1[[#This Row],[Subscription_End_Date]], "m"))</f>
        <v>13</v>
      </c>
      <c r="S203" s="2">
        <f ca="1">Table1[[#This Row],[Monthly_Spend]] * Table1[[#This Row],[Customer Lifetime(Months)]]</f>
        <v>65000</v>
      </c>
    </row>
    <row r="204" spans="1:19" x14ac:dyDescent="0.35">
      <c r="A204" t="s">
        <v>222</v>
      </c>
      <c r="B204" t="s">
        <v>19</v>
      </c>
      <c r="C204" s="1">
        <v>45013</v>
      </c>
      <c r="E204" t="s">
        <v>16</v>
      </c>
      <c r="F204" s="2">
        <v>5000</v>
      </c>
      <c r="G204">
        <v>15</v>
      </c>
      <c r="H204">
        <v>91</v>
      </c>
      <c r="I204" t="s">
        <v>12</v>
      </c>
      <c r="J204">
        <f>IF(Table1[[#This Row],[Status]]="Churned",1,0)</f>
        <v>0</v>
      </c>
      <c r="K204">
        <f t="shared" si="15"/>
        <v>0.90909090909090906</v>
      </c>
      <c r="L204">
        <f t="shared" si="16"/>
        <v>0.7</v>
      </c>
      <c r="M204" s="5">
        <f t="shared" si="17"/>
        <v>0</v>
      </c>
      <c r="N204" s="5">
        <f t="shared" si="18"/>
        <v>0.53181818181818175</v>
      </c>
      <c r="O204" s="5" t="str">
        <f t="shared" si="19"/>
        <v>At-Risk</v>
      </c>
      <c r="P204" s="5">
        <f>IF(Table1[[#This Row],[Health Status]]="Churned",0,1)</f>
        <v>1</v>
      </c>
      <c r="Q204" s="5" t="str">
        <f>IF(Table1[[#This Row],[Subscription_End_Date]]="", "Active", "Churned")</f>
        <v>Active</v>
      </c>
      <c r="R204" s="5">
        <f ca="1">IF(Table1[[#This Row],[Subscription_End_Date]]="", DATEDIF(Table1[[#This Row],[Subscription_Start_Date]], TODAY(), "m"),
DATEDIF(Table1[[#This Row],[Subscription_Start_Date]], Table1[[#This Row],[Subscription_End_Date]], "m"))</f>
        <v>31</v>
      </c>
      <c r="S204" s="2">
        <f ca="1">Table1[[#This Row],[Monthly_Spend]] * Table1[[#This Row],[Customer Lifetime(Months)]]</f>
        <v>155000</v>
      </c>
    </row>
    <row r="205" spans="1:19" x14ac:dyDescent="0.35">
      <c r="A205" t="s">
        <v>223</v>
      </c>
      <c r="B205" t="s">
        <v>31</v>
      </c>
      <c r="C205" s="1">
        <v>45463</v>
      </c>
      <c r="E205" t="s">
        <v>23</v>
      </c>
      <c r="F205" s="2">
        <v>20000</v>
      </c>
      <c r="G205">
        <v>23</v>
      </c>
      <c r="H205">
        <v>37</v>
      </c>
      <c r="I205" t="s">
        <v>12</v>
      </c>
      <c r="J205">
        <f>IF(Table1[[#This Row],[Status]]="Churned",1,0)</f>
        <v>0</v>
      </c>
      <c r="K205">
        <f t="shared" si="15"/>
        <v>0.36363636363636365</v>
      </c>
      <c r="L205">
        <f t="shared" si="16"/>
        <v>0.54</v>
      </c>
      <c r="M205" s="5">
        <f t="shared" si="17"/>
        <v>0.15789473684210525</v>
      </c>
      <c r="N205" s="5">
        <f t="shared" si="18"/>
        <v>0.34272727272727277</v>
      </c>
      <c r="O205" s="5" t="str">
        <f t="shared" si="19"/>
        <v>At-Risk</v>
      </c>
      <c r="P205" s="5">
        <f>IF(Table1[[#This Row],[Health Status]]="Churned",0,1)</f>
        <v>1</v>
      </c>
      <c r="Q205" s="5" t="str">
        <f>IF(Table1[[#This Row],[Subscription_End_Date]]="", "Active", "Churned")</f>
        <v>Active</v>
      </c>
      <c r="R205" s="5">
        <f ca="1">IF(Table1[[#This Row],[Subscription_End_Date]]="", DATEDIF(Table1[[#This Row],[Subscription_Start_Date]], TODAY(), "m"),
DATEDIF(Table1[[#This Row],[Subscription_Start_Date]], Table1[[#This Row],[Subscription_End_Date]], "m"))</f>
        <v>16</v>
      </c>
      <c r="S205" s="2">
        <f ca="1">Table1[[#This Row],[Monthly_Spend]] * Table1[[#This Row],[Customer Lifetime(Months)]]</f>
        <v>320000</v>
      </c>
    </row>
    <row r="206" spans="1:19" x14ac:dyDescent="0.35">
      <c r="A206" t="s">
        <v>224</v>
      </c>
      <c r="B206" t="s">
        <v>31</v>
      </c>
      <c r="C206" s="1">
        <v>45273</v>
      </c>
      <c r="E206" t="s">
        <v>23</v>
      </c>
      <c r="F206" s="2">
        <v>20000</v>
      </c>
      <c r="G206">
        <v>4</v>
      </c>
      <c r="H206">
        <v>43</v>
      </c>
      <c r="I206" t="s">
        <v>12</v>
      </c>
      <c r="J206">
        <f>IF(Table1[[#This Row],[Status]]="Churned",1,0)</f>
        <v>0</v>
      </c>
      <c r="K206">
        <f t="shared" si="15"/>
        <v>0.42424242424242425</v>
      </c>
      <c r="L206">
        <f t="shared" si="16"/>
        <v>0.92</v>
      </c>
      <c r="M206" s="5">
        <f t="shared" si="17"/>
        <v>0.15789473684210525</v>
      </c>
      <c r="N206" s="5">
        <f t="shared" si="18"/>
        <v>0.54484848484848492</v>
      </c>
      <c r="O206" s="5" t="str">
        <f t="shared" si="19"/>
        <v>At-Risk</v>
      </c>
      <c r="P206" s="5">
        <f>IF(Table1[[#This Row],[Health Status]]="Churned",0,1)</f>
        <v>1</v>
      </c>
      <c r="Q206" s="5" t="str">
        <f>IF(Table1[[#This Row],[Subscription_End_Date]]="", "Active", "Churned")</f>
        <v>Active</v>
      </c>
      <c r="R206" s="5">
        <f ca="1">IF(Table1[[#This Row],[Subscription_End_Date]]="", DATEDIF(Table1[[#This Row],[Subscription_Start_Date]], TODAY(), "m"),
DATEDIF(Table1[[#This Row],[Subscription_Start_Date]], Table1[[#This Row],[Subscription_End_Date]], "m"))</f>
        <v>22</v>
      </c>
      <c r="S206" s="2">
        <f ca="1">Table1[[#This Row],[Monthly_Spend]] * Table1[[#This Row],[Customer Lifetime(Months)]]</f>
        <v>440000</v>
      </c>
    </row>
    <row r="207" spans="1:19" x14ac:dyDescent="0.35">
      <c r="A207" t="s">
        <v>225</v>
      </c>
      <c r="B207" t="s">
        <v>10</v>
      </c>
      <c r="C207" s="1">
        <v>45621</v>
      </c>
      <c r="E207" t="s">
        <v>16</v>
      </c>
      <c r="F207" s="2">
        <v>100000</v>
      </c>
      <c r="G207">
        <v>9</v>
      </c>
      <c r="H207">
        <v>43</v>
      </c>
      <c r="I207" t="s">
        <v>17</v>
      </c>
      <c r="J207">
        <f>IF(Table1[[#This Row],[Status]]="Churned",1,0)</f>
        <v>0</v>
      </c>
      <c r="K207">
        <f t="shared" si="15"/>
        <v>0.42424242424242425</v>
      </c>
      <c r="L207">
        <f t="shared" si="16"/>
        <v>0.82000000000000006</v>
      </c>
      <c r="M207" s="5">
        <f t="shared" si="17"/>
        <v>1</v>
      </c>
      <c r="N207" s="5">
        <f t="shared" si="18"/>
        <v>0.49484848484848487</v>
      </c>
      <c r="O207" s="5" t="str">
        <f t="shared" si="19"/>
        <v>Healthy</v>
      </c>
      <c r="P207" s="5">
        <f>IF(Table1[[#This Row],[Health Status]]="Churned",0,1)</f>
        <v>1</v>
      </c>
      <c r="Q207" s="5" t="str">
        <f>IF(Table1[[#This Row],[Subscription_End_Date]]="", "Active", "Churned")</f>
        <v>Active</v>
      </c>
      <c r="R207" s="5">
        <f ca="1">IF(Table1[[#This Row],[Subscription_End_Date]]="", DATEDIF(Table1[[#This Row],[Subscription_Start_Date]], TODAY(), "m"),
DATEDIF(Table1[[#This Row],[Subscription_Start_Date]], Table1[[#This Row],[Subscription_End_Date]], "m"))</f>
        <v>11</v>
      </c>
      <c r="S207" s="2">
        <f ca="1">Table1[[#This Row],[Monthly_Spend]] * Table1[[#This Row],[Customer Lifetime(Months)]]</f>
        <v>1100000</v>
      </c>
    </row>
    <row r="208" spans="1:19" x14ac:dyDescent="0.35">
      <c r="A208" t="s">
        <v>226</v>
      </c>
      <c r="B208" t="s">
        <v>10</v>
      </c>
      <c r="C208" s="1">
        <v>45606</v>
      </c>
      <c r="D208" s="1">
        <v>45994</v>
      </c>
      <c r="E208" t="s">
        <v>16</v>
      </c>
      <c r="F208" s="2">
        <v>20000</v>
      </c>
      <c r="G208">
        <v>41</v>
      </c>
      <c r="H208">
        <v>90</v>
      </c>
      <c r="I208" t="s">
        <v>28</v>
      </c>
      <c r="J208">
        <f>IF(Table1[[#This Row],[Status]]="Churned",1,0)</f>
        <v>1</v>
      </c>
      <c r="K208">
        <f t="shared" si="15"/>
        <v>0.89898989898989901</v>
      </c>
      <c r="L208">
        <f t="shared" si="16"/>
        <v>0.18000000000000005</v>
      </c>
      <c r="M208" s="5">
        <f t="shared" si="17"/>
        <v>0.15789473684210525</v>
      </c>
      <c r="N208" s="5">
        <f t="shared" si="18"/>
        <v>0.56979797979797975</v>
      </c>
      <c r="O208" s="5" t="str">
        <f t="shared" si="19"/>
        <v>Churned</v>
      </c>
      <c r="P208" s="5">
        <f>IF(Table1[[#This Row],[Health Status]]="Churned",0,1)</f>
        <v>0</v>
      </c>
      <c r="Q208" s="5" t="str">
        <f>IF(Table1[[#This Row],[Subscription_End_Date]]="", "Active", "Churned")</f>
        <v>Churned</v>
      </c>
      <c r="R208" s="5">
        <f ca="1">IF(Table1[[#This Row],[Subscription_End_Date]]="", DATEDIF(Table1[[#This Row],[Subscription_Start_Date]], TODAY(), "m"),
DATEDIF(Table1[[#This Row],[Subscription_Start_Date]], Table1[[#This Row],[Subscription_End_Date]], "m"))</f>
        <v>12</v>
      </c>
      <c r="S208" s="2">
        <f ca="1">Table1[[#This Row],[Monthly_Spend]] * Table1[[#This Row],[Customer Lifetime(Months)]]</f>
        <v>240000</v>
      </c>
    </row>
    <row r="209" spans="1:19" x14ac:dyDescent="0.35">
      <c r="A209" t="s">
        <v>227</v>
      </c>
      <c r="B209" t="s">
        <v>31</v>
      </c>
      <c r="C209" s="1">
        <v>45536</v>
      </c>
      <c r="E209" t="s">
        <v>11</v>
      </c>
      <c r="F209" s="2">
        <v>20000</v>
      </c>
      <c r="G209">
        <v>35</v>
      </c>
      <c r="H209">
        <v>49</v>
      </c>
      <c r="I209" t="s">
        <v>12</v>
      </c>
      <c r="J209">
        <f>IF(Table1[[#This Row],[Status]]="Churned",1,0)</f>
        <v>0</v>
      </c>
      <c r="K209">
        <f t="shared" si="15"/>
        <v>0.48484848484848486</v>
      </c>
      <c r="L209">
        <f t="shared" si="16"/>
        <v>0.30000000000000004</v>
      </c>
      <c r="M209" s="5">
        <f t="shared" si="17"/>
        <v>0.15789473684210525</v>
      </c>
      <c r="N209" s="5">
        <f t="shared" si="18"/>
        <v>0.24696969696969701</v>
      </c>
      <c r="O209" s="5" t="str">
        <f t="shared" si="19"/>
        <v>At-Risk</v>
      </c>
      <c r="P209" s="5">
        <f>IF(Table1[[#This Row],[Health Status]]="Churned",0,1)</f>
        <v>1</v>
      </c>
      <c r="Q209" s="5" t="str">
        <f>IF(Table1[[#This Row],[Subscription_End_Date]]="", "Active", "Churned")</f>
        <v>Active</v>
      </c>
      <c r="R209" s="5">
        <f ca="1">IF(Table1[[#This Row],[Subscription_End_Date]]="", DATEDIF(Table1[[#This Row],[Subscription_Start_Date]], TODAY(), "m"),
DATEDIF(Table1[[#This Row],[Subscription_Start_Date]], Table1[[#This Row],[Subscription_End_Date]], "m"))</f>
        <v>13</v>
      </c>
      <c r="S209" s="2">
        <f ca="1">Table1[[#This Row],[Monthly_Spend]] * Table1[[#This Row],[Customer Lifetime(Months)]]</f>
        <v>260000</v>
      </c>
    </row>
    <row r="210" spans="1:19" x14ac:dyDescent="0.35">
      <c r="A210" t="s">
        <v>228</v>
      </c>
      <c r="B210" t="s">
        <v>19</v>
      </c>
      <c r="C210" s="1">
        <v>45613</v>
      </c>
      <c r="E210" t="s">
        <v>11</v>
      </c>
      <c r="F210" s="2">
        <v>50000</v>
      </c>
      <c r="G210">
        <v>32</v>
      </c>
      <c r="H210">
        <v>47</v>
      </c>
      <c r="I210" t="s">
        <v>12</v>
      </c>
      <c r="J210">
        <f>IF(Table1[[#This Row],[Status]]="Churned",1,0)</f>
        <v>0</v>
      </c>
      <c r="K210">
        <f t="shared" si="15"/>
        <v>0.46464646464646464</v>
      </c>
      <c r="L210">
        <f t="shared" si="16"/>
        <v>0.36</v>
      </c>
      <c r="M210" s="5">
        <f t="shared" si="17"/>
        <v>0.47368421052631576</v>
      </c>
      <c r="N210" s="5">
        <f t="shared" si="18"/>
        <v>0.27292929292929291</v>
      </c>
      <c r="O210" s="5" t="str">
        <f t="shared" si="19"/>
        <v>At-Risk</v>
      </c>
      <c r="P210" s="5">
        <f>IF(Table1[[#This Row],[Health Status]]="Churned",0,1)</f>
        <v>1</v>
      </c>
      <c r="Q210" s="5" t="str">
        <f>IF(Table1[[#This Row],[Subscription_End_Date]]="", "Active", "Churned")</f>
        <v>Active</v>
      </c>
      <c r="R210" s="5">
        <f ca="1">IF(Table1[[#This Row],[Subscription_End_Date]]="", DATEDIF(Table1[[#This Row],[Subscription_Start_Date]], TODAY(), "m"),
DATEDIF(Table1[[#This Row],[Subscription_Start_Date]], Table1[[#This Row],[Subscription_End_Date]], "m"))</f>
        <v>11</v>
      </c>
      <c r="S210" s="2">
        <f ca="1">Table1[[#This Row],[Monthly_Spend]] * Table1[[#This Row],[Customer Lifetime(Months)]]</f>
        <v>550000</v>
      </c>
    </row>
    <row r="211" spans="1:19" x14ac:dyDescent="0.35">
      <c r="A211" t="s">
        <v>229</v>
      </c>
      <c r="B211" t="s">
        <v>10</v>
      </c>
      <c r="C211" s="1">
        <v>45243</v>
      </c>
      <c r="E211" t="s">
        <v>23</v>
      </c>
      <c r="F211" s="2">
        <v>20000</v>
      </c>
      <c r="G211">
        <v>49</v>
      </c>
      <c r="H211">
        <v>63</v>
      </c>
      <c r="I211" t="s">
        <v>12</v>
      </c>
      <c r="J211">
        <f>IF(Table1[[#This Row],[Status]]="Churned",1,0)</f>
        <v>0</v>
      </c>
      <c r="K211">
        <f t="shared" si="15"/>
        <v>0.6262626262626263</v>
      </c>
      <c r="L211">
        <f t="shared" si="16"/>
        <v>2.0000000000000018E-2</v>
      </c>
      <c r="M211" s="5">
        <f t="shared" si="17"/>
        <v>0.15789473684210525</v>
      </c>
      <c r="N211" s="5">
        <f t="shared" si="18"/>
        <v>0.13525252525252526</v>
      </c>
      <c r="O211" s="5" t="str">
        <f t="shared" si="19"/>
        <v>At-Risk</v>
      </c>
      <c r="P211" s="5">
        <f>IF(Table1[[#This Row],[Health Status]]="Churned",0,1)</f>
        <v>1</v>
      </c>
      <c r="Q211" s="5" t="str">
        <f>IF(Table1[[#This Row],[Subscription_End_Date]]="", "Active", "Churned")</f>
        <v>Active</v>
      </c>
      <c r="R211" s="5">
        <f ca="1">IF(Table1[[#This Row],[Subscription_End_Date]]="", DATEDIF(Table1[[#This Row],[Subscription_Start_Date]], TODAY(), "m"),
DATEDIF(Table1[[#This Row],[Subscription_Start_Date]], Table1[[#This Row],[Subscription_End_Date]], "m"))</f>
        <v>23</v>
      </c>
      <c r="S211" s="2">
        <f ca="1">Table1[[#This Row],[Monthly_Spend]] * Table1[[#This Row],[Customer Lifetime(Months)]]</f>
        <v>460000</v>
      </c>
    </row>
    <row r="212" spans="1:19" x14ac:dyDescent="0.35">
      <c r="A212" t="s">
        <v>230</v>
      </c>
      <c r="B212" t="s">
        <v>27</v>
      </c>
      <c r="C212" s="1">
        <v>45067</v>
      </c>
      <c r="E212" t="s">
        <v>11</v>
      </c>
      <c r="F212" s="2">
        <v>5000</v>
      </c>
      <c r="G212">
        <v>32</v>
      </c>
      <c r="H212">
        <v>99</v>
      </c>
      <c r="I212" t="s">
        <v>17</v>
      </c>
      <c r="J212">
        <f>IF(Table1[[#This Row],[Status]]="Churned",1,0)</f>
        <v>0</v>
      </c>
      <c r="K212">
        <f t="shared" si="15"/>
        <v>0.98989898989898994</v>
      </c>
      <c r="L212">
        <f t="shared" si="16"/>
        <v>0.36</v>
      </c>
      <c r="M212" s="5">
        <f t="shared" si="17"/>
        <v>0</v>
      </c>
      <c r="N212" s="5">
        <f t="shared" si="18"/>
        <v>0.37797979797979797</v>
      </c>
      <c r="O212" s="5" t="str">
        <f t="shared" si="19"/>
        <v>At-Risk</v>
      </c>
      <c r="P212" s="5">
        <f>IF(Table1[[#This Row],[Health Status]]="Churned",0,1)</f>
        <v>1</v>
      </c>
      <c r="Q212" s="5" t="str">
        <f>IF(Table1[[#This Row],[Subscription_End_Date]]="", "Active", "Churned")</f>
        <v>Active</v>
      </c>
      <c r="R212" s="5">
        <f ca="1">IF(Table1[[#This Row],[Subscription_End_Date]]="", DATEDIF(Table1[[#This Row],[Subscription_Start_Date]], TODAY(), "m"),
DATEDIF(Table1[[#This Row],[Subscription_Start_Date]], Table1[[#This Row],[Subscription_End_Date]], "m"))</f>
        <v>29</v>
      </c>
      <c r="S212" s="2">
        <f ca="1">Table1[[#This Row],[Monthly_Spend]] * Table1[[#This Row],[Customer Lifetime(Months)]]</f>
        <v>145000</v>
      </c>
    </row>
    <row r="213" spans="1:19" x14ac:dyDescent="0.35">
      <c r="A213" t="s">
        <v>231</v>
      </c>
      <c r="B213" t="s">
        <v>14</v>
      </c>
      <c r="C213" s="1">
        <v>45466</v>
      </c>
      <c r="D213" s="1">
        <v>45840</v>
      </c>
      <c r="E213" t="s">
        <v>16</v>
      </c>
      <c r="F213" s="2">
        <v>100000</v>
      </c>
      <c r="G213">
        <v>8</v>
      </c>
      <c r="H213">
        <v>77</v>
      </c>
      <c r="I213" t="s">
        <v>28</v>
      </c>
      <c r="J213">
        <f>IF(Table1[[#This Row],[Status]]="Churned",1,0)</f>
        <v>1</v>
      </c>
      <c r="K213">
        <f t="shared" si="15"/>
        <v>0.76767676767676762</v>
      </c>
      <c r="L213">
        <f t="shared" si="16"/>
        <v>0.84</v>
      </c>
      <c r="M213" s="5">
        <f t="shared" si="17"/>
        <v>1</v>
      </c>
      <c r="N213" s="5">
        <f t="shared" si="18"/>
        <v>0.8735353535353535</v>
      </c>
      <c r="O213" s="5" t="str">
        <f t="shared" si="19"/>
        <v>Churned</v>
      </c>
      <c r="P213" s="5">
        <f>IF(Table1[[#This Row],[Health Status]]="Churned",0,1)</f>
        <v>0</v>
      </c>
      <c r="Q213" s="5" t="str">
        <f>IF(Table1[[#This Row],[Subscription_End_Date]]="", "Active", "Churned")</f>
        <v>Churned</v>
      </c>
      <c r="R213" s="5">
        <f ca="1">IF(Table1[[#This Row],[Subscription_End_Date]]="", DATEDIF(Table1[[#This Row],[Subscription_Start_Date]], TODAY(), "m"),
DATEDIF(Table1[[#This Row],[Subscription_Start_Date]], Table1[[#This Row],[Subscription_End_Date]], "m"))</f>
        <v>12</v>
      </c>
      <c r="S213" s="2">
        <f ca="1">Table1[[#This Row],[Monthly_Spend]] * Table1[[#This Row],[Customer Lifetime(Months)]]</f>
        <v>1200000</v>
      </c>
    </row>
    <row r="214" spans="1:19" x14ac:dyDescent="0.35">
      <c r="A214" t="s">
        <v>232</v>
      </c>
      <c r="B214" t="s">
        <v>31</v>
      </c>
      <c r="C214" s="1">
        <v>45093</v>
      </c>
      <c r="E214" t="s">
        <v>11</v>
      </c>
      <c r="F214" s="2">
        <v>50000</v>
      </c>
      <c r="G214">
        <v>2</v>
      </c>
      <c r="H214">
        <v>53</v>
      </c>
      <c r="I214" t="s">
        <v>12</v>
      </c>
      <c r="J214">
        <f>IF(Table1[[#This Row],[Status]]="Churned",1,0)</f>
        <v>0</v>
      </c>
      <c r="K214">
        <f t="shared" si="15"/>
        <v>0.5252525252525253</v>
      </c>
      <c r="L214">
        <f t="shared" si="16"/>
        <v>0.96</v>
      </c>
      <c r="M214" s="5">
        <f t="shared" si="17"/>
        <v>0.47368421052631576</v>
      </c>
      <c r="N214" s="5">
        <f t="shared" si="18"/>
        <v>0.58505050505050504</v>
      </c>
      <c r="O214" s="5" t="str">
        <f t="shared" si="19"/>
        <v>At-Risk</v>
      </c>
      <c r="P214" s="5">
        <f>IF(Table1[[#This Row],[Health Status]]="Churned",0,1)</f>
        <v>1</v>
      </c>
      <c r="Q214" s="5" t="str">
        <f>IF(Table1[[#This Row],[Subscription_End_Date]]="", "Active", "Churned")</f>
        <v>Active</v>
      </c>
      <c r="R214" s="5">
        <f ca="1">IF(Table1[[#This Row],[Subscription_End_Date]]="", DATEDIF(Table1[[#This Row],[Subscription_Start_Date]], TODAY(), "m"),
DATEDIF(Table1[[#This Row],[Subscription_Start_Date]], Table1[[#This Row],[Subscription_End_Date]], "m"))</f>
        <v>28</v>
      </c>
      <c r="S214" s="2">
        <f ca="1">Table1[[#This Row],[Monthly_Spend]] * Table1[[#This Row],[Customer Lifetime(Months)]]</f>
        <v>1400000</v>
      </c>
    </row>
    <row r="215" spans="1:19" x14ac:dyDescent="0.35">
      <c r="A215" t="s">
        <v>233</v>
      </c>
      <c r="B215" t="s">
        <v>19</v>
      </c>
      <c r="C215" s="1">
        <v>45170</v>
      </c>
      <c r="E215" t="s">
        <v>16</v>
      </c>
      <c r="F215" s="2">
        <v>50000</v>
      </c>
      <c r="G215">
        <v>14</v>
      </c>
      <c r="H215">
        <v>69</v>
      </c>
      <c r="I215" t="s">
        <v>17</v>
      </c>
      <c r="J215">
        <f>IF(Table1[[#This Row],[Status]]="Churned",1,0)</f>
        <v>0</v>
      </c>
      <c r="K215">
        <f t="shared" si="15"/>
        <v>0.68686868686868685</v>
      </c>
      <c r="L215">
        <f t="shared" si="16"/>
        <v>0.72</v>
      </c>
      <c r="M215" s="5">
        <f t="shared" si="17"/>
        <v>0.47368421052631576</v>
      </c>
      <c r="N215" s="5">
        <f t="shared" si="18"/>
        <v>0.49737373737373736</v>
      </c>
      <c r="O215" s="5" t="str">
        <f t="shared" si="19"/>
        <v>At-Risk</v>
      </c>
      <c r="P215" s="5">
        <f>IF(Table1[[#This Row],[Health Status]]="Churned",0,1)</f>
        <v>1</v>
      </c>
      <c r="Q215" s="5" t="str">
        <f>IF(Table1[[#This Row],[Subscription_End_Date]]="", "Active", "Churned")</f>
        <v>Active</v>
      </c>
      <c r="R215" s="5">
        <f ca="1">IF(Table1[[#This Row],[Subscription_End_Date]]="", DATEDIF(Table1[[#This Row],[Subscription_Start_Date]], TODAY(), "m"),
DATEDIF(Table1[[#This Row],[Subscription_Start_Date]], Table1[[#This Row],[Subscription_End_Date]], "m"))</f>
        <v>25</v>
      </c>
      <c r="S215" s="2">
        <f ca="1">Table1[[#This Row],[Monthly_Spend]] * Table1[[#This Row],[Customer Lifetime(Months)]]</f>
        <v>1250000</v>
      </c>
    </row>
    <row r="216" spans="1:19" x14ac:dyDescent="0.35">
      <c r="A216" t="s">
        <v>234</v>
      </c>
      <c r="B216" t="s">
        <v>27</v>
      </c>
      <c r="C216" s="1">
        <v>45407</v>
      </c>
      <c r="E216" t="s">
        <v>23</v>
      </c>
      <c r="F216" s="2">
        <v>20000</v>
      </c>
      <c r="G216">
        <v>43</v>
      </c>
      <c r="H216">
        <v>74</v>
      </c>
      <c r="I216" t="s">
        <v>12</v>
      </c>
      <c r="J216">
        <f>IF(Table1[[#This Row],[Status]]="Churned",1,0)</f>
        <v>0</v>
      </c>
      <c r="K216">
        <f t="shared" si="15"/>
        <v>0.73737373737373735</v>
      </c>
      <c r="L216">
        <f t="shared" si="16"/>
        <v>0.14000000000000001</v>
      </c>
      <c r="M216" s="5">
        <f t="shared" si="17"/>
        <v>0.15789473684210525</v>
      </c>
      <c r="N216" s="5">
        <f t="shared" si="18"/>
        <v>0.21747474747474749</v>
      </c>
      <c r="O216" s="5" t="str">
        <f t="shared" si="19"/>
        <v>At-Risk</v>
      </c>
      <c r="P216" s="5">
        <f>IF(Table1[[#This Row],[Health Status]]="Churned",0,1)</f>
        <v>1</v>
      </c>
      <c r="Q216" s="5" t="str">
        <f>IF(Table1[[#This Row],[Subscription_End_Date]]="", "Active", "Churned")</f>
        <v>Active</v>
      </c>
      <c r="R216" s="5">
        <f ca="1">IF(Table1[[#This Row],[Subscription_End_Date]]="", DATEDIF(Table1[[#This Row],[Subscription_Start_Date]], TODAY(), "m"),
DATEDIF(Table1[[#This Row],[Subscription_Start_Date]], Table1[[#This Row],[Subscription_End_Date]], "m"))</f>
        <v>18</v>
      </c>
      <c r="S216" s="2">
        <f ca="1">Table1[[#This Row],[Monthly_Spend]] * Table1[[#This Row],[Customer Lifetime(Months)]]</f>
        <v>360000</v>
      </c>
    </row>
    <row r="217" spans="1:19" x14ac:dyDescent="0.35">
      <c r="A217" t="s">
        <v>235</v>
      </c>
      <c r="B217" t="s">
        <v>31</v>
      </c>
      <c r="C217" s="1">
        <v>45215</v>
      </c>
      <c r="E217" t="s">
        <v>23</v>
      </c>
      <c r="F217" s="2">
        <v>10000</v>
      </c>
      <c r="G217">
        <v>12</v>
      </c>
      <c r="H217">
        <v>78</v>
      </c>
      <c r="I217" t="s">
        <v>17</v>
      </c>
      <c r="J217">
        <f>IF(Table1[[#This Row],[Status]]="Churned",1,0)</f>
        <v>0</v>
      </c>
      <c r="K217">
        <f t="shared" si="15"/>
        <v>0.77777777777777779</v>
      </c>
      <c r="L217">
        <f t="shared" si="16"/>
        <v>0.76</v>
      </c>
      <c r="M217" s="5">
        <f t="shared" si="17"/>
        <v>5.2631578947368418E-2</v>
      </c>
      <c r="N217" s="5">
        <f t="shared" si="18"/>
        <v>0.53555555555555556</v>
      </c>
      <c r="O217" s="5" t="str">
        <f t="shared" si="19"/>
        <v>At-Risk</v>
      </c>
      <c r="P217" s="5">
        <f>IF(Table1[[#This Row],[Health Status]]="Churned",0,1)</f>
        <v>1</v>
      </c>
      <c r="Q217" s="5" t="str">
        <f>IF(Table1[[#This Row],[Subscription_End_Date]]="", "Active", "Churned")</f>
        <v>Active</v>
      </c>
      <c r="R217" s="5">
        <f ca="1">IF(Table1[[#This Row],[Subscription_End_Date]]="", DATEDIF(Table1[[#This Row],[Subscription_Start_Date]], TODAY(), "m"),
DATEDIF(Table1[[#This Row],[Subscription_Start_Date]], Table1[[#This Row],[Subscription_End_Date]], "m"))</f>
        <v>24</v>
      </c>
      <c r="S217" s="2">
        <f ca="1">Table1[[#This Row],[Monthly_Spend]] * Table1[[#This Row],[Customer Lifetime(Months)]]</f>
        <v>240000</v>
      </c>
    </row>
    <row r="218" spans="1:19" x14ac:dyDescent="0.35">
      <c r="A218" t="s">
        <v>236</v>
      </c>
      <c r="B218" t="s">
        <v>27</v>
      </c>
      <c r="C218" s="1">
        <v>44980</v>
      </c>
      <c r="E218" t="s">
        <v>23</v>
      </c>
      <c r="F218" s="2">
        <v>100000</v>
      </c>
      <c r="G218">
        <v>6</v>
      </c>
      <c r="H218">
        <v>92</v>
      </c>
      <c r="I218" t="s">
        <v>17</v>
      </c>
      <c r="J218">
        <f>IF(Table1[[#This Row],[Status]]="Churned",1,0)</f>
        <v>0</v>
      </c>
      <c r="K218">
        <f t="shared" si="15"/>
        <v>0.91919191919191923</v>
      </c>
      <c r="L218">
        <f t="shared" si="16"/>
        <v>0.88</v>
      </c>
      <c r="M218" s="5">
        <f t="shared" si="17"/>
        <v>1</v>
      </c>
      <c r="N218" s="5">
        <f t="shared" si="18"/>
        <v>0.62383838383838386</v>
      </c>
      <c r="O218" s="5" t="str">
        <f t="shared" si="19"/>
        <v>Healthy</v>
      </c>
      <c r="P218" s="5">
        <f>IF(Table1[[#This Row],[Health Status]]="Churned",0,1)</f>
        <v>1</v>
      </c>
      <c r="Q218" s="5" t="str">
        <f>IF(Table1[[#This Row],[Subscription_End_Date]]="", "Active", "Churned")</f>
        <v>Active</v>
      </c>
      <c r="R218" s="5">
        <f ca="1">IF(Table1[[#This Row],[Subscription_End_Date]]="", DATEDIF(Table1[[#This Row],[Subscription_Start_Date]], TODAY(), "m"),
DATEDIF(Table1[[#This Row],[Subscription_Start_Date]], Table1[[#This Row],[Subscription_End_Date]], "m"))</f>
        <v>32</v>
      </c>
      <c r="S218" s="2">
        <f ca="1">Table1[[#This Row],[Monthly_Spend]] * Table1[[#This Row],[Customer Lifetime(Months)]]</f>
        <v>3200000</v>
      </c>
    </row>
    <row r="219" spans="1:19" x14ac:dyDescent="0.35">
      <c r="A219" t="s">
        <v>237</v>
      </c>
      <c r="B219" t="s">
        <v>14</v>
      </c>
      <c r="C219" s="1">
        <v>45218</v>
      </c>
      <c r="E219" t="s">
        <v>11</v>
      </c>
      <c r="F219" s="2">
        <v>20000</v>
      </c>
      <c r="G219">
        <v>28</v>
      </c>
      <c r="H219">
        <v>66</v>
      </c>
      <c r="I219" t="s">
        <v>12</v>
      </c>
      <c r="J219">
        <f>IF(Table1[[#This Row],[Status]]="Churned",1,0)</f>
        <v>0</v>
      </c>
      <c r="K219">
        <f t="shared" si="15"/>
        <v>0.65656565656565657</v>
      </c>
      <c r="L219">
        <f t="shared" si="16"/>
        <v>0.43999999999999995</v>
      </c>
      <c r="M219" s="5">
        <f t="shared" si="17"/>
        <v>0.15789473684210525</v>
      </c>
      <c r="N219" s="5">
        <f t="shared" si="18"/>
        <v>0.3513131313131313</v>
      </c>
      <c r="O219" s="5" t="str">
        <f t="shared" si="19"/>
        <v>At-Risk</v>
      </c>
      <c r="P219" s="5">
        <f>IF(Table1[[#This Row],[Health Status]]="Churned",0,1)</f>
        <v>1</v>
      </c>
      <c r="Q219" s="5" t="str">
        <f>IF(Table1[[#This Row],[Subscription_End_Date]]="", "Active", "Churned")</f>
        <v>Active</v>
      </c>
      <c r="R219" s="5">
        <f ca="1">IF(Table1[[#This Row],[Subscription_End_Date]]="", DATEDIF(Table1[[#This Row],[Subscription_Start_Date]], TODAY(), "m"),
DATEDIF(Table1[[#This Row],[Subscription_Start_Date]], Table1[[#This Row],[Subscription_End_Date]], "m"))</f>
        <v>24</v>
      </c>
      <c r="S219" s="2">
        <f ca="1">Table1[[#This Row],[Monthly_Spend]] * Table1[[#This Row],[Customer Lifetime(Months)]]</f>
        <v>480000</v>
      </c>
    </row>
    <row r="220" spans="1:19" x14ac:dyDescent="0.35">
      <c r="A220" t="s">
        <v>238</v>
      </c>
      <c r="B220" t="s">
        <v>27</v>
      </c>
      <c r="C220" s="1">
        <v>45020</v>
      </c>
      <c r="E220" t="s">
        <v>23</v>
      </c>
      <c r="F220" s="2">
        <v>50000</v>
      </c>
      <c r="G220">
        <v>22</v>
      </c>
      <c r="H220">
        <v>4</v>
      </c>
      <c r="I220" t="s">
        <v>12</v>
      </c>
      <c r="J220">
        <f>IF(Table1[[#This Row],[Status]]="Churned",1,0)</f>
        <v>0</v>
      </c>
      <c r="K220">
        <f t="shared" si="15"/>
        <v>3.0303030303030304E-2</v>
      </c>
      <c r="L220">
        <f t="shared" si="16"/>
        <v>0.56000000000000005</v>
      </c>
      <c r="M220" s="5">
        <f t="shared" si="17"/>
        <v>0.47368421052631576</v>
      </c>
      <c r="N220" s="5">
        <f t="shared" si="18"/>
        <v>0.28606060606060607</v>
      </c>
      <c r="O220" s="5" t="str">
        <f t="shared" si="19"/>
        <v>At-Risk</v>
      </c>
      <c r="P220" s="5">
        <f>IF(Table1[[#This Row],[Health Status]]="Churned",0,1)</f>
        <v>1</v>
      </c>
      <c r="Q220" s="5" t="str">
        <f>IF(Table1[[#This Row],[Subscription_End_Date]]="", "Active", "Churned")</f>
        <v>Active</v>
      </c>
      <c r="R220" s="5">
        <f ca="1">IF(Table1[[#This Row],[Subscription_End_Date]]="", DATEDIF(Table1[[#This Row],[Subscription_Start_Date]], TODAY(), "m"),
DATEDIF(Table1[[#This Row],[Subscription_Start_Date]], Table1[[#This Row],[Subscription_End_Date]], "m"))</f>
        <v>30</v>
      </c>
      <c r="S220" s="2">
        <f ca="1">Table1[[#This Row],[Monthly_Spend]] * Table1[[#This Row],[Customer Lifetime(Months)]]</f>
        <v>1500000</v>
      </c>
    </row>
    <row r="221" spans="1:19" x14ac:dyDescent="0.35">
      <c r="A221" t="s">
        <v>239</v>
      </c>
      <c r="B221" t="s">
        <v>31</v>
      </c>
      <c r="C221" s="1">
        <v>45332</v>
      </c>
      <c r="E221" t="s">
        <v>11</v>
      </c>
      <c r="F221" s="2">
        <v>50000</v>
      </c>
      <c r="G221">
        <v>5</v>
      </c>
      <c r="H221">
        <v>48</v>
      </c>
      <c r="I221" t="s">
        <v>12</v>
      </c>
      <c r="J221">
        <f>IF(Table1[[#This Row],[Status]]="Churned",1,0)</f>
        <v>0</v>
      </c>
      <c r="K221">
        <f t="shared" si="15"/>
        <v>0.47474747474747475</v>
      </c>
      <c r="L221">
        <f t="shared" si="16"/>
        <v>0.9</v>
      </c>
      <c r="M221" s="5">
        <f t="shared" si="17"/>
        <v>0.47368421052631576</v>
      </c>
      <c r="N221" s="5">
        <f t="shared" si="18"/>
        <v>0.54494949494949496</v>
      </c>
      <c r="O221" s="5" t="str">
        <f t="shared" si="19"/>
        <v>At-Risk</v>
      </c>
      <c r="P221" s="5">
        <f>IF(Table1[[#This Row],[Health Status]]="Churned",0,1)</f>
        <v>1</v>
      </c>
      <c r="Q221" s="5" t="str">
        <f>IF(Table1[[#This Row],[Subscription_End_Date]]="", "Active", "Churned")</f>
        <v>Active</v>
      </c>
      <c r="R221" s="5">
        <f ca="1">IF(Table1[[#This Row],[Subscription_End_Date]]="", DATEDIF(Table1[[#This Row],[Subscription_Start_Date]], TODAY(), "m"),
DATEDIF(Table1[[#This Row],[Subscription_Start_Date]], Table1[[#This Row],[Subscription_End_Date]], "m"))</f>
        <v>20</v>
      </c>
      <c r="S221" s="2">
        <f ca="1">Table1[[#This Row],[Monthly_Spend]] * Table1[[#This Row],[Customer Lifetime(Months)]]</f>
        <v>1000000</v>
      </c>
    </row>
    <row r="222" spans="1:19" x14ac:dyDescent="0.35">
      <c r="A222" t="s">
        <v>240</v>
      </c>
      <c r="B222" t="s">
        <v>27</v>
      </c>
      <c r="C222" s="1">
        <v>45253</v>
      </c>
      <c r="E222" t="s">
        <v>11</v>
      </c>
      <c r="F222" s="2">
        <v>10000</v>
      </c>
      <c r="G222">
        <v>8</v>
      </c>
      <c r="H222">
        <v>5</v>
      </c>
      <c r="I222" t="s">
        <v>17</v>
      </c>
      <c r="J222">
        <f>IF(Table1[[#This Row],[Status]]="Churned",1,0)</f>
        <v>0</v>
      </c>
      <c r="K222">
        <f t="shared" si="15"/>
        <v>4.0404040404040407E-2</v>
      </c>
      <c r="L222">
        <f t="shared" si="16"/>
        <v>0.84</v>
      </c>
      <c r="M222" s="5">
        <f t="shared" si="17"/>
        <v>5.2631578947368418E-2</v>
      </c>
      <c r="N222" s="5">
        <f t="shared" si="18"/>
        <v>0.42808080808080806</v>
      </c>
      <c r="O222" s="5" t="str">
        <f t="shared" si="19"/>
        <v>At-Risk</v>
      </c>
      <c r="P222" s="5">
        <f>IF(Table1[[#This Row],[Health Status]]="Churned",0,1)</f>
        <v>1</v>
      </c>
      <c r="Q222" s="5" t="str">
        <f>IF(Table1[[#This Row],[Subscription_End_Date]]="", "Active", "Churned")</f>
        <v>Active</v>
      </c>
      <c r="R222" s="5">
        <f ca="1">IF(Table1[[#This Row],[Subscription_End_Date]]="", DATEDIF(Table1[[#This Row],[Subscription_Start_Date]], TODAY(), "m"),
DATEDIF(Table1[[#This Row],[Subscription_Start_Date]], Table1[[#This Row],[Subscription_End_Date]], "m"))</f>
        <v>23</v>
      </c>
      <c r="S222" s="2">
        <f ca="1">Table1[[#This Row],[Monthly_Spend]] * Table1[[#This Row],[Customer Lifetime(Months)]]</f>
        <v>230000</v>
      </c>
    </row>
    <row r="223" spans="1:19" x14ac:dyDescent="0.35">
      <c r="A223" t="s">
        <v>241</v>
      </c>
      <c r="B223" t="s">
        <v>19</v>
      </c>
      <c r="C223" s="1">
        <v>45639</v>
      </c>
      <c r="E223" t="s">
        <v>23</v>
      </c>
      <c r="F223" s="2">
        <v>50000</v>
      </c>
      <c r="G223">
        <v>39</v>
      </c>
      <c r="H223">
        <v>1</v>
      </c>
      <c r="I223" t="s">
        <v>17</v>
      </c>
      <c r="J223">
        <f>IF(Table1[[#This Row],[Status]]="Churned",1,0)</f>
        <v>0</v>
      </c>
      <c r="K223">
        <f t="shared" si="15"/>
        <v>0</v>
      </c>
      <c r="L223">
        <f t="shared" si="16"/>
        <v>0.21999999999999997</v>
      </c>
      <c r="M223" s="5">
        <f t="shared" si="17"/>
        <v>0.47368421052631576</v>
      </c>
      <c r="N223" s="5">
        <f t="shared" si="18"/>
        <v>0.10999999999999999</v>
      </c>
      <c r="O223" s="5" t="str">
        <f t="shared" si="19"/>
        <v>At-Risk</v>
      </c>
      <c r="P223" s="5">
        <f>IF(Table1[[#This Row],[Health Status]]="Churned",0,1)</f>
        <v>1</v>
      </c>
      <c r="Q223" s="5" t="str">
        <f>IF(Table1[[#This Row],[Subscription_End_Date]]="", "Active", "Churned")</f>
        <v>Active</v>
      </c>
      <c r="R223" s="5">
        <f ca="1">IF(Table1[[#This Row],[Subscription_End_Date]]="", DATEDIF(Table1[[#This Row],[Subscription_Start_Date]], TODAY(), "m"),
DATEDIF(Table1[[#This Row],[Subscription_Start_Date]], Table1[[#This Row],[Subscription_End_Date]], "m"))</f>
        <v>10</v>
      </c>
      <c r="S223" s="2">
        <f ca="1">Table1[[#This Row],[Monthly_Spend]] * Table1[[#This Row],[Customer Lifetime(Months)]]</f>
        <v>500000</v>
      </c>
    </row>
    <row r="224" spans="1:19" x14ac:dyDescent="0.35">
      <c r="A224" t="s">
        <v>242</v>
      </c>
      <c r="B224" t="s">
        <v>10</v>
      </c>
      <c r="C224" s="1">
        <v>45189</v>
      </c>
      <c r="E224" t="s">
        <v>11</v>
      </c>
      <c r="F224" s="2">
        <v>100000</v>
      </c>
      <c r="G224">
        <v>46</v>
      </c>
      <c r="H224">
        <v>78</v>
      </c>
      <c r="I224" t="s">
        <v>12</v>
      </c>
      <c r="J224">
        <f>IF(Table1[[#This Row],[Status]]="Churned",1,0)</f>
        <v>0</v>
      </c>
      <c r="K224">
        <f t="shared" si="15"/>
        <v>0.77777777777777779</v>
      </c>
      <c r="L224">
        <f t="shared" si="16"/>
        <v>7.999999999999996E-2</v>
      </c>
      <c r="M224" s="5">
        <f t="shared" si="17"/>
        <v>1</v>
      </c>
      <c r="N224" s="5">
        <f t="shared" si="18"/>
        <v>0.19555555555555554</v>
      </c>
      <c r="O224" s="5" t="str">
        <f t="shared" si="19"/>
        <v>Healthy</v>
      </c>
      <c r="P224" s="5">
        <f>IF(Table1[[#This Row],[Health Status]]="Churned",0,1)</f>
        <v>1</v>
      </c>
      <c r="Q224" s="5" t="str">
        <f>IF(Table1[[#This Row],[Subscription_End_Date]]="", "Active", "Churned")</f>
        <v>Active</v>
      </c>
      <c r="R224" s="5">
        <f ca="1">IF(Table1[[#This Row],[Subscription_End_Date]]="", DATEDIF(Table1[[#This Row],[Subscription_Start_Date]], TODAY(), "m"),
DATEDIF(Table1[[#This Row],[Subscription_Start_Date]], Table1[[#This Row],[Subscription_End_Date]], "m"))</f>
        <v>25</v>
      </c>
      <c r="S224" s="2">
        <f ca="1">Table1[[#This Row],[Monthly_Spend]] * Table1[[#This Row],[Customer Lifetime(Months)]]</f>
        <v>2500000</v>
      </c>
    </row>
    <row r="225" spans="1:19" x14ac:dyDescent="0.35">
      <c r="A225" t="s">
        <v>243</v>
      </c>
      <c r="B225" t="s">
        <v>14</v>
      </c>
      <c r="C225" s="1">
        <v>45040</v>
      </c>
      <c r="E225" t="s">
        <v>23</v>
      </c>
      <c r="F225" s="2">
        <v>20000</v>
      </c>
      <c r="G225">
        <v>7</v>
      </c>
      <c r="H225">
        <v>7</v>
      </c>
      <c r="I225" t="s">
        <v>12</v>
      </c>
      <c r="J225">
        <f>IF(Table1[[#This Row],[Status]]="Churned",1,0)</f>
        <v>0</v>
      </c>
      <c r="K225">
        <f t="shared" si="15"/>
        <v>6.0606060606060608E-2</v>
      </c>
      <c r="L225">
        <f t="shared" si="16"/>
        <v>0.86</v>
      </c>
      <c r="M225" s="5">
        <f t="shared" si="17"/>
        <v>0.15789473684210525</v>
      </c>
      <c r="N225" s="5">
        <f t="shared" si="18"/>
        <v>0.44212121212121214</v>
      </c>
      <c r="O225" s="5" t="str">
        <f t="shared" si="19"/>
        <v>At-Risk</v>
      </c>
      <c r="P225" s="5">
        <f>IF(Table1[[#This Row],[Health Status]]="Churned",0,1)</f>
        <v>1</v>
      </c>
      <c r="Q225" s="5" t="str">
        <f>IF(Table1[[#This Row],[Subscription_End_Date]]="", "Active", "Churned")</f>
        <v>Active</v>
      </c>
      <c r="R225" s="5">
        <f ca="1">IF(Table1[[#This Row],[Subscription_End_Date]]="", DATEDIF(Table1[[#This Row],[Subscription_Start_Date]], TODAY(), "m"),
DATEDIF(Table1[[#This Row],[Subscription_Start_Date]], Table1[[#This Row],[Subscription_End_Date]], "m"))</f>
        <v>30</v>
      </c>
      <c r="S225" s="2">
        <f ca="1">Table1[[#This Row],[Monthly_Spend]] * Table1[[#This Row],[Customer Lifetime(Months)]]</f>
        <v>600000</v>
      </c>
    </row>
    <row r="226" spans="1:19" x14ac:dyDescent="0.35">
      <c r="A226" t="s">
        <v>244</v>
      </c>
      <c r="B226" t="s">
        <v>27</v>
      </c>
      <c r="C226" s="1">
        <v>45581</v>
      </c>
      <c r="E226" t="s">
        <v>23</v>
      </c>
      <c r="F226" s="2">
        <v>5000</v>
      </c>
      <c r="G226">
        <v>7</v>
      </c>
      <c r="H226">
        <v>64</v>
      </c>
      <c r="I226" t="s">
        <v>17</v>
      </c>
      <c r="J226">
        <f>IF(Table1[[#This Row],[Status]]="Churned",1,0)</f>
        <v>0</v>
      </c>
      <c r="K226">
        <f t="shared" si="15"/>
        <v>0.63636363636363635</v>
      </c>
      <c r="L226">
        <f t="shared" si="16"/>
        <v>0.86</v>
      </c>
      <c r="M226" s="5">
        <f t="shared" si="17"/>
        <v>0</v>
      </c>
      <c r="N226" s="5">
        <f t="shared" si="18"/>
        <v>0.55727272727272725</v>
      </c>
      <c r="O226" s="5" t="str">
        <f t="shared" si="19"/>
        <v>At-Risk</v>
      </c>
      <c r="P226" s="5">
        <f>IF(Table1[[#This Row],[Health Status]]="Churned",0,1)</f>
        <v>1</v>
      </c>
      <c r="Q226" s="5" t="str">
        <f>IF(Table1[[#This Row],[Subscription_End_Date]]="", "Active", "Churned")</f>
        <v>Active</v>
      </c>
      <c r="R226" s="5">
        <f ca="1">IF(Table1[[#This Row],[Subscription_End_Date]]="", DATEDIF(Table1[[#This Row],[Subscription_Start_Date]], TODAY(), "m"),
DATEDIF(Table1[[#This Row],[Subscription_Start_Date]], Table1[[#This Row],[Subscription_End_Date]], "m"))</f>
        <v>12</v>
      </c>
      <c r="S226" s="2">
        <f ca="1">Table1[[#This Row],[Monthly_Spend]] * Table1[[#This Row],[Customer Lifetime(Months)]]</f>
        <v>60000</v>
      </c>
    </row>
    <row r="227" spans="1:19" x14ac:dyDescent="0.35">
      <c r="A227" t="s">
        <v>245</v>
      </c>
      <c r="B227" t="s">
        <v>14</v>
      </c>
      <c r="C227" s="1">
        <v>44943</v>
      </c>
      <c r="E227" t="s">
        <v>16</v>
      </c>
      <c r="F227" s="2">
        <v>10000</v>
      </c>
      <c r="G227">
        <v>18</v>
      </c>
      <c r="H227">
        <v>55</v>
      </c>
      <c r="I227" t="s">
        <v>12</v>
      </c>
      <c r="J227">
        <f>IF(Table1[[#This Row],[Status]]="Churned",1,0)</f>
        <v>0</v>
      </c>
      <c r="K227">
        <f t="shared" si="15"/>
        <v>0.54545454545454541</v>
      </c>
      <c r="L227">
        <f t="shared" si="16"/>
        <v>0.64</v>
      </c>
      <c r="M227" s="5">
        <f t="shared" si="17"/>
        <v>5.2631578947368418E-2</v>
      </c>
      <c r="N227" s="5">
        <f t="shared" si="18"/>
        <v>0.42909090909090908</v>
      </c>
      <c r="O227" s="5" t="str">
        <f t="shared" si="19"/>
        <v>At-Risk</v>
      </c>
      <c r="P227" s="5">
        <f>IF(Table1[[#This Row],[Health Status]]="Churned",0,1)</f>
        <v>1</v>
      </c>
      <c r="Q227" s="5" t="str">
        <f>IF(Table1[[#This Row],[Subscription_End_Date]]="", "Active", "Churned")</f>
        <v>Active</v>
      </c>
      <c r="R227" s="5">
        <f ca="1">IF(Table1[[#This Row],[Subscription_End_Date]]="", DATEDIF(Table1[[#This Row],[Subscription_Start_Date]], TODAY(), "m"),
DATEDIF(Table1[[#This Row],[Subscription_Start_Date]], Table1[[#This Row],[Subscription_End_Date]], "m"))</f>
        <v>33</v>
      </c>
      <c r="S227" s="2">
        <f ca="1">Table1[[#This Row],[Monthly_Spend]] * Table1[[#This Row],[Customer Lifetime(Months)]]</f>
        <v>330000</v>
      </c>
    </row>
    <row r="228" spans="1:19" x14ac:dyDescent="0.35">
      <c r="A228" t="s">
        <v>246</v>
      </c>
      <c r="B228" t="s">
        <v>10</v>
      </c>
      <c r="C228" s="1">
        <v>45288</v>
      </c>
      <c r="E228" t="s">
        <v>16</v>
      </c>
      <c r="F228" s="2">
        <v>10000</v>
      </c>
      <c r="G228">
        <v>42</v>
      </c>
      <c r="H228">
        <v>86</v>
      </c>
      <c r="I228" t="s">
        <v>17</v>
      </c>
      <c r="J228">
        <f>IF(Table1[[#This Row],[Status]]="Churned",1,0)</f>
        <v>0</v>
      </c>
      <c r="K228">
        <f t="shared" si="15"/>
        <v>0.85858585858585856</v>
      </c>
      <c r="L228">
        <f t="shared" si="16"/>
        <v>0.16000000000000003</v>
      </c>
      <c r="M228" s="5">
        <f t="shared" si="17"/>
        <v>5.2631578947368418E-2</v>
      </c>
      <c r="N228" s="5">
        <f t="shared" si="18"/>
        <v>0.25171717171717173</v>
      </c>
      <c r="O228" s="5" t="str">
        <f t="shared" si="19"/>
        <v>At-Risk</v>
      </c>
      <c r="P228" s="5">
        <f>IF(Table1[[#This Row],[Health Status]]="Churned",0,1)</f>
        <v>1</v>
      </c>
      <c r="Q228" s="5" t="str">
        <f>IF(Table1[[#This Row],[Subscription_End_Date]]="", "Active", "Churned")</f>
        <v>Active</v>
      </c>
      <c r="R228" s="5">
        <f ca="1">IF(Table1[[#This Row],[Subscription_End_Date]]="", DATEDIF(Table1[[#This Row],[Subscription_Start_Date]], TODAY(), "m"),
DATEDIF(Table1[[#This Row],[Subscription_Start_Date]], Table1[[#This Row],[Subscription_End_Date]], "m"))</f>
        <v>22</v>
      </c>
      <c r="S228" s="2">
        <f ca="1">Table1[[#This Row],[Monthly_Spend]] * Table1[[#This Row],[Customer Lifetime(Months)]]</f>
        <v>220000</v>
      </c>
    </row>
    <row r="229" spans="1:19" x14ac:dyDescent="0.35">
      <c r="A229" t="s">
        <v>247</v>
      </c>
      <c r="B229" t="s">
        <v>10</v>
      </c>
      <c r="C229" s="1">
        <v>45296</v>
      </c>
      <c r="D229" s="1">
        <v>45864</v>
      </c>
      <c r="E229" t="s">
        <v>16</v>
      </c>
      <c r="F229" s="2">
        <v>100000</v>
      </c>
      <c r="G229">
        <v>32</v>
      </c>
      <c r="H229">
        <v>65</v>
      </c>
      <c r="I229" t="s">
        <v>28</v>
      </c>
      <c r="J229">
        <f>IF(Table1[[#This Row],[Status]]="Churned",1,0)</f>
        <v>1</v>
      </c>
      <c r="K229">
        <f t="shared" si="15"/>
        <v>0.64646464646464652</v>
      </c>
      <c r="L229">
        <f t="shared" si="16"/>
        <v>0.36</v>
      </c>
      <c r="M229" s="5">
        <f t="shared" si="17"/>
        <v>1</v>
      </c>
      <c r="N229" s="5">
        <f t="shared" si="18"/>
        <v>0.60929292929292922</v>
      </c>
      <c r="O229" s="5" t="str">
        <f t="shared" si="19"/>
        <v>Churned</v>
      </c>
      <c r="P229" s="5">
        <f>IF(Table1[[#This Row],[Health Status]]="Churned",0,1)</f>
        <v>0</v>
      </c>
      <c r="Q229" s="5" t="str">
        <f>IF(Table1[[#This Row],[Subscription_End_Date]]="", "Active", "Churned")</f>
        <v>Churned</v>
      </c>
      <c r="R229" s="5">
        <f ca="1">IF(Table1[[#This Row],[Subscription_End_Date]]="", DATEDIF(Table1[[#This Row],[Subscription_Start_Date]], TODAY(), "m"),
DATEDIF(Table1[[#This Row],[Subscription_Start_Date]], Table1[[#This Row],[Subscription_End_Date]], "m"))</f>
        <v>18</v>
      </c>
      <c r="S229" s="2">
        <f ca="1">Table1[[#This Row],[Monthly_Spend]] * Table1[[#This Row],[Customer Lifetime(Months)]]</f>
        <v>1800000</v>
      </c>
    </row>
    <row r="230" spans="1:19" x14ac:dyDescent="0.35">
      <c r="A230" t="s">
        <v>248</v>
      </c>
      <c r="B230" t="s">
        <v>14</v>
      </c>
      <c r="C230" s="1">
        <v>45326</v>
      </c>
      <c r="E230" t="s">
        <v>11</v>
      </c>
      <c r="F230" s="2">
        <v>50000</v>
      </c>
      <c r="G230">
        <v>23</v>
      </c>
      <c r="H230">
        <v>33</v>
      </c>
      <c r="I230" t="s">
        <v>12</v>
      </c>
      <c r="J230">
        <f>IF(Table1[[#This Row],[Status]]="Churned",1,0)</f>
        <v>0</v>
      </c>
      <c r="K230">
        <f t="shared" si="15"/>
        <v>0.32323232323232326</v>
      </c>
      <c r="L230">
        <f t="shared" si="16"/>
        <v>0.54</v>
      </c>
      <c r="M230" s="5">
        <f t="shared" si="17"/>
        <v>0.47368421052631576</v>
      </c>
      <c r="N230" s="5">
        <f t="shared" si="18"/>
        <v>0.33464646464646469</v>
      </c>
      <c r="O230" s="5" t="str">
        <f t="shared" si="19"/>
        <v>At-Risk</v>
      </c>
      <c r="P230" s="5">
        <f>IF(Table1[[#This Row],[Health Status]]="Churned",0,1)</f>
        <v>1</v>
      </c>
      <c r="Q230" s="5" t="str">
        <f>IF(Table1[[#This Row],[Subscription_End_Date]]="", "Active", "Churned")</f>
        <v>Active</v>
      </c>
      <c r="R230" s="5">
        <f ca="1">IF(Table1[[#This Row],[Subscription_End_Date]]="", DATEDIF(Table1[[#This Row],[Subscription_Start_Date]], TODAY(), "m"),
DATEDIF(Table1[[#This Row],[Subscription_Start_Date]], Table1[[#This Row],[Subscription_End_Date]], "m"))</f>
        <v>20</v>
      </c>
      <c r="S230" s="2">
        <f ca="1">Table1[[#This Row],[Monthly_Spend]] * Table1[[#This Row],[Customer Lifetime(Months)]]</f>
        <v>1000000</v>
      </c>
    </row>
    <row r="231" spans="1:19" x14ac:dyDescent="0.35">
      <c r="A231" t="s">
        <v>249</v>
      </c>
      <c r="B231" t="s">
        <v>10</v>
      </c>
      <c r="C231" s="1">
        <v>44996</v>
      </c>
      <c r="E231" t="s">
        <v>23</v>
      </c>
      <c r="F231" s="2">
        <v>100000</v>
      </c>
      <c r="G231">
        <v>47</v>
      </c>
      <c r="H231">
        <v>97</v>
      </c>
      <c r="I231" t="s">
        <v>12</v>
      </c>
      <c r="J231">
        <f>IF(Table1[[#This Row],[Status]]="Churned",1,0)</f>
        <v>0</v>
      </c>
      <c r="K231">
        <f t="shared" si="15"/>
        <v>0.96969696969696972</v>
      </c>
      <c r="L231">
        <f t="shared" si="16"/>
        <v>6.0000000000000053E-2</v>
      </c>
      <c r="M231" s="5">
        <f t="shared" si="17"/>
        <v>1</v>
      </c>
      <c r="N231" s="5">
        <f t="shared" si="18"/>
        <v>0.22393939393939399</v>
      </c>
      <c r="O231" s="5" t="str">
        <f t="shared" si="19"/>
        <v>Healthy</v>
      </c>
      <c r="P231" s="5">
        <f>IF(Table1[[#This Row],[Health Status]]="Churned",0,1)</f>
        <v>1</v>
      </c>
      <c r="Q231" s="5" t="str">
        <f>IF(Table1[[#This Row],[Subscription_End_Date]]="", "Active", "Churned")</f>
        <v>Active</v>
      </c>
      <c r="R231" s="5">
        <f ca="1">IF(Table1[[#This Row],[Subscription_End_Date]]="", DATEDIF(Table1[[#This Row],[Subscription_Start_Date]], TODAY(), "m"),
DATEDIF(Table1[[#This Row],[Subscription_Start_Date]], Table1[[#This Row],[Subscription_End_Date]], "m"))</f>
        <v>31</v>
      </c>
      <c r="S231" s="2">
        <f ca="1">Table1[[#This Row],[Monthly_Spend]] * Table1[[#This Row],[Customer Lifetime(Months)]]</f>
        <v>3100000</v>
      </c>
    </row>
    <row r="232" spans="1:19" x14ac:dyDescent="0.35">
      <c r="A232" t="s">
        <v>250</v>
      </c>
      <c r="B232" t="s">
        <v>19</v>
      </c>
      <c r="C232" s="1">
        <v>44972</v>
      </c>
      <c r="E232" t="s">
        <v>11</v>
      </c>
      <c r="F232" s="2">
        <v>10000</v>
      </c>
      <c r="G232">
        <v>49</v>
      </c>
      <c r="H232">
        <v>88</v>
      </c>
      <c r="I232" t="s">
        <v>17</v>
      </c>
      <c r="J232">
        <f>IF(Table1[[#This Row],[Status]]="Churned",1,0)</f>
        <v>0</v>
      </c>
      <c r="K232">
        <f t="shared" si="15"/>
        <v>0.87878787878787878</v>
      </c>
      <c r="L232">
        <f t="shared" si="16"/>
        <v>2.0000000000000018E-2</v>
      </c>
      <c r="M232" s="5">
        <f t="shared" si="17"/>
        <v>5.2631578947368418E-2</v>
      </c>
      <c r="N232" s="5">
        <f t="shared" si="18"/>
        <v>0.18575757575757579</v>
      </c>
      <c r="O232" s="5" t="str">
        <f t="shared" si="19"/>
        <v>At-Risk</v>
      </c>
      <c r="P232" s="5">
        <f>IF(Table1[[#This Row],[Health Status]]="Churned",0,1)</f>
        <v>1</v>
      </c>
      <c r="Q232" s="5" t="str">
        <f>IF(Table1[[#This Row],[Subscription_End_Date]]="", "Active", "Churned")</f>
        <v>Active</v>
      </c>
      <c r="R232" s="5">
        <f ca="1">IF(Table1[[#This Row],[Subscription_End_Date]]="", DATEDIF(Table1[[#This Row],[Subscription_Start_Date]], TODAY(), "m"),
DATEDIF(Table1[[#This Row],[Subscription_Start_Date]], Table1[[#This Row],[Subscription_End_Date]], "m"))</f>
        <v>32</v>
      </c>
      <c r="S232" s="2">
        <f ca="1">Table1[[#This Row],[Monthly_Spend]] * Table1[[#This Row],[Customer Lifetime(Months)]]</f>
        <v>320000</v>
      </c>
    </row>
    <row r="233" spans="1:19" x14ac:dyDescent="0.35">
      <c r="A233" t="s">
        <v>251</v>
      </c>
      <c r="B233" t="s">
        <v>31</v>
      </c>
      <c r="C233" s="1">
        <v>45417</v>
      </c>
      <c r="E233" t="s">
        <v>16</v>
      </c>
      <c r="F233" s="2">
        <v>5000</v>
      </c>
      <c r="G233">
        <v>45</v>
      </c>
      <c r="H233">
        <v>100</v>
      </c>
      <c r="I233" t="s">
        <v>12</v>
      </c>
      <c r="J233">
        <f>IF(Table1[[#This Row],[Status]]="Churned",1,0)</f>
        <v>0</v>
      </c>
      <c r="K233">
        <f t="shared" si="15"/>
        <v>1</v>
      </c>
      <c r="L233">
        <f t="shared" si="16"/>
        <v>9.9999999999999978E-2</v>
      </c>
      <c r="M233" s="5">
        <f t="shared" si="17"/>
        <v>0</v>
      </c>
      <c r="N233" s="5">
        <f t="shared" si="18"/>
        <v>0.25</v>
      </c>
      <c r="O233" s="5" t="str">
        <f t="shared" si="19"/>
        <v>At-Risk</v>
      </c>
      <c r="P233" s="5">
        <f>IF(Table1[[#This Row],[Health Status]]="Churned",0,1)</f>
        <v>1</v>
      </c>
      <c r="Q233" s="5" t="str">
        <f>IF(Table1[[#This Row],[Subscription_End_Date]]="", "Active", "Churned")</f>
        <v>Active</v>
      </c>
      <c r="R233" s="5">
        <f ca="1">IF(Table1[[#This Row],[Subscription_End_Date]]="", DATEDIF(Table1[[#This Row],[Subscription_Start_Date]], TODAY(), "m"),
DATEDIF(Table1[[#This Row],[Subscription_Start_Date]], Table1[[#This Row],[Subscription_End_Date]], "m"))</f>
        <v>17</v>
      </c>
      <c r="S233" s="2">
        <f ca="1">Table1[[#This Row],[Monthly_Spend]] * Table1[[#This Row],[Customer Lifetime(Months)]]</f>
        <v>85000</v>
      </c>
    </row>
    <row r="234" spans="1:19" x14ac:dyDescent="0.35">
      <c r="A234" t="s">
        <v>252</v>
      </c>
      <c r="B234" t="s">
        <v>31</v>
      </c>
      <c r="C234" s="1">
        <v>45227</v>
      </c>
      <c r="E234" t="s">
        <v>11</v>
      </c>
      <c r="F234" s="2">
        <v>5000</v>
      </c>
      <c r="G234">
        <v>20</v>
      </c>
      <c r="H234">
        <v>40</v>
      </c>
      <c r="I234" t="s">
        <v>12</v>
      </c>
      <c r="J234">
        <f>IF(Table1[[#This Row],[Status]]="Churned",1,0)</f>
        <v>0</v>
      </c>
      <c r="K234">
        <f t="shared" si="15"/>
        <v>0.39393939393939392</v>
      </c>
      <c r="L234">
        <f t="shared" si="16"/>
        <v>0.6</v>
      </c>
      <c r="M234" s="5">
        <f t="shared" si="17"/>
        <v>0</v>
      </c>
      <c r="N234" s="5">
        <f t="shared" si="18"/>
        <v>0.37878787878787878</v>
      </c>
      <c r="O234" s="5" t="str">
        <f t="shared" si="19"/>
        <v>At-Risk</v>
      </c>
      <c r="P234" s="5">
        <f>IF(Table1[[#This Row],[Health Status]]="Churned",0,1)</f>
        <v>1</v>
      </c>
      <c r="Q234" s="5" t="str">
        <f>IF(Table1[[#This Row],[Subscription_End_Date]]="", "Active", "Churned")</f>
        <v>Active</v>
      </c>
      <c r="R234" s="5">
        <f ca="1">IF(Table1[[#This Row],[Subscription_End_Date]]="", DATEDIF(Table1[[#This Row],[Subscription_Start_Date]], TODAY(), "m"),
DATEDIF(Table1[[#This Row],[Subscription_Start_Date]], Table1[[#This Row],[Subscription_End_Date]], "m"))</f>
        <v>24</v>
      </c>
      <c r="S234" s="2">
        <f ca="1">Table1[[#This Row],[Monthly_Spend]] * Table1[[#This Row],[Customer Lifetime(Months)]]</f>
        <v>120000</v>
      </c>
    </row>
    <row r="235" spans="1:19" x14ac:dyDescent="0.35">
      <c r="A235" t="s">
        <v>253</v>
      </c>
      <c r="B235" t="s">
        <v>14</v>
      </c>
      <c r="C235" s="1">
        <v>45483</v>
      </c>
      <c r="E235" t="s">
        <v>23</v>
      </c>
      <c r="F235" s="2">
        <v>10000</v>
      </c>
      <c r="G235">
        <v>18</v>
      </c>
      <c r="H235">
        <v>46</v>
      </c>
      <c r="I235" t="s">
        <v>12</v>
      </c>
      <c r="J235">
        <f>IF(Table1[[#This Row],[Status]]="Churned",1,0)</f>
        <v>0</v>
      </c>
      <c r="K235">
        <f t="shared" si="15"/>
        <v>0.45454545454545453</v>
      </c>
      <c r="L235">
        <f t="shared" si="16"/>
        <v>0.64</v>
      </c>
      <c r="M235" s="5">
        <f t="shared" si="17"/>
        <v>5.2631578947368418E-2</v>
      </c>
      <c r="N235" s="5">
        <f t="shared" si="18"/>
        <v>0.41090909090909089</v>
      </c>
      <c r="O235" s="5" t="str">
        <f t="shared" si="19"/>
        <v>At-Risk</v>
      </c>
      <c r="P235" s="5">
        <f>IF(Table1[[#This Row],[Health Status]]="Churned",0,1)</f>
        <v>1</v>
      </c>
      <c r="Q235" s="5" t="str">
        <f>IF(Table1[[#This Row],[Subscription_End_Date]]="", "Active", "Churned")</f>
        <v>Active</v>
      </c>
      <c r="R235" s="5">
        <f ca="1">IF(Table1[[#This Row],[Subscription_End_Date]]="", DATEDIF(Table1[[#This Row],[Subscription_Start_Date]], TODAY(), "m"),
DATEDIF(Table1[[#This Row],[Subscription_Start_Date]], Table1[[#This Row],[Subscription_End_Date]], "m"))</f>
        <v>15</v>
      </c>
      <c r="S235" s="2">
        <f ca="1">Table1[[#This Row],[Monthly_Spend]] * Table1[[#This Row],[Customer Lifetime(Months)]]</f>
        <v>150000</v>
      </c>
    </row>
    <row r="236" spans="1:19" x14ac:dyDescent="0.35">
      <c r="A236" t="s">
        <v>254</v>
      </c>
      <c r="B236" t="s">
        <v>10</v>
      </c>
      <c r="C236" s="1">
        <v>45266</v>
      </c>
      <c r="E236" t="s">
        <v>16</v>
      </c>
      <c r="F236" s="2">
        <v>50000</v>
      </c>
      <c r="G236">
        <v>25</v>
      </c>
      <c r="H236">
        <v>96</v>
      </c>
      <c r="I236" t="s">
        <v>17</v>
      </c>
      <c r="J236">
        <f>IF(Table1[[#This Row],[Status]]="Churned",1,0)</f>
        <v>0</v>
      </c>
      <c r="K236">
        <f t="shared" si="15"/>
        <v>0.95959595959595956</v>
      </c>
      <c r="L236">
        <f t="shared" si="16"/>
        <v>0.5</v>
      </c>
      <c r="M236" s="5">
        <f t="shared" si="17"/>
        <v>0.47368421052631576</v>
      </c>
      <c r="N236" s="5">
        <f t="shared" si="18"/>
        <v>0.44191919191919193</v>
      </c>
      <c r="O236" s="5" t="str">
        <f t="shared" si="19"/>
        <v>At-Risk</v>
      </c>
      <c r="P236" s="5">
        <f>IF(Table1[[#This Row],[Health Status]]="Churned",0,1)</f>
        <v>1</v>
      </c>
      <c r="Q236" s="5" t="str">
        <f>IF(Table1[[#This Row],[Subscription_End_Date]]="", "Active", "Churned")</f>
        <v>Active</v>
      </c>
      <c r="R236" s="5">
        <f ca="1">IF(Table1[[#This Row],[Subscription_End_Date]]="", DATEDIF(Table1[[#This Row],[Subscription_Start_Date]], TODAY(), "m"),
DATEDIF(Table1[[#This Row],[Subscription_Start_Date]], Table1[[#This Row],[Subscription_End_Date]], "m"))</f>
        <v>22</v>
      </c>
      <c r="S236" s="2">
        <f ca="1">Table1[[#This Row],[Monthly_Spend]] * Table1[[#This Row],[Customer Lifetime(Months)]]</f>
        <v>1100000</v>
      </c>
    </row>
    <row r="237" spans="1:19" x14ac:dyDescent="0.35">
      <c r="A237" t="s">
        <v>255</v>
      </c>
      <c r="B237" t="s">
        <v>31</v>
      </c>
      <c r="C237" s="1">
        <v>45274</v>
      </c>
      <c r="E237" t="s">
        <v>23</v>
      </c>
      <c r="F237" s="2">
        <v>50000</v>
      </c>
      <c r="G237">
        <v>23</v>
      </c>
      <c r="H237">
        <v>67</v>
      </c>
      <c r="I237" t="s">
        <v>17</v>
      </c>
      <c r="J237">
        <f>IF(Table1[[#This Row],[Status]]="Churned",1,0)</f>
        <v>0</v>
      </c>
      <c r="K237">
        <f t="shared" si="15"/>
        <v>0.66666666666666663</v>
      </c>
      <c r="L237">
        <f t="shared" si="16"/>
        <v>0.54</v>
      </c>
      <c r="M237" s="5">
        <f t="shared" si="17"/>
        <v>0.47368421052631576</v>
      </c>
      <c r="N237" s="5">
        <f t="shared" si="18"/>
        <v>0.40333333333333332</v>
      </c>
      <c r="O237" s="5" t="str">
        <f t="shared" si="19"/>
        <v>At-Risk</v>
      </c>
      <c r="P237" s="5">
        <f>IF(Table1[[#This Row],[Health Status]]="Churned",0,1)</f>
        <v>1</v>
      </c>
      <c r="Q237" s="5" t="str">
        <f>IF(Table1[[#This Row],[Subscription_End_Date]]="", "Active", "Churned")</f>
        <v>Active</v>
      </c>
      <c r="R237" s="5">
        <f ca="1">IF(Table1[[#This Row],[Subscription_End_Date]]="", DATEDIF(Table1[[#This Row],[Subscription_Start_Date]], TODAY(), "m"),
DATEDIF(Table1[[#This Row],[Subscription_Start_Date]], Table1[[#This Row],[Subscription_End_Date]], "m"))</f>
        <v>22</v>
      </c>
      <c r="S237" s="2">
        <f ca="1">Table1[[#This Row],[Monthly_Spend]] * Table1[[#This Row],[Customer Lifetime(Months)]]</f>
        <v>1100000</v>
      </c>
    </row>
    <row r="238" spans="1:19" x14ac:dyDescent="0.35">
      <c r="A238" t="s">
        <v>256</v>
      </c>
      <c r="B238" t="s">
        <v>19</v>
      </c>
      <c r="C238" s="1">
        <v>45361</v>
      </c>
      <c r="E238" t="s">
        <v>11</v>
      </c>
      <c r="F238" s="2">
        <v>100000</v>
      </c>
      <c r="G238">
        <v>18</v>
      </c>
      <c r="H238">
        <v>42</v>
      </c>
      <c r="I238" t="s">
        <v>12</v>
      </c>
      <c r="J238">
        <f>IF(Table1[[#This Row],[Status]]="Churned",1,0)</f>
        <v>0</v>
      </c>
      <c r="K238">
        <f t="shared" si="15"/>
        <v>0.41414141414141414</v>
      </c>
      <c r="L238">
        <f t="shared" si="16"/>
        <v>0.64</v>
      </c>
      <c r="M238" s="5">
        <f t="shared" si="17"/>
        <v>1</v>
      </c>
      <c r="N238" s="5">
        <f t="shared" si="18"/>
        <v>0.40282828282828287</v>
      </c>
      <c r="O238" s="5" t="str">
        <f t="shared" si="19"/>
        <v>Healthy</v>
      </c>
      <c r="P238" s="5">
        <f>IF(Table1[[#This Row],[Health Status]]="Churned",0,1)</f>
        <v>1</v>
      </c>
      <c r="Q238" s="5" t="str">
        <f>IF(Table1[[#This Row],[Subscription_End_Date]]="", "Active", "Churned")</f>
        <v>Active</v>
      </c>
      <c r="R238" s="5">
        <f ca="1">IF(Table1[[#This Row],[Subscription_End_Date]]="", DATEDIF(Table1[[#This Row],[Subscription_Start_Date]], TODAY(), "m"),
DATEDIF(Table1[[#This Row],[Subscription_Start_Date]], Table1[[#This Row],[Subscription_End_Date]], "m"))</f>
        <v>19</v>
      </c>
      <c r="S238" s="2">
        <f ca="1">Table1[[#This Row],[Monthly_Spend]] * Table1[[#This Row],[Customer Lifetime(Months)]]</f>
        <v>1900000</v>
      </c>
    </row>
    <row r="239" spans="1:19" x14ac:dyDescent="0.35">
      <c r="A239" t="s">
        <v>257</v>
      </c>
      <c r="B239" t="s">
        <v>10</v>
      </c>
      <c r="C239" s="1">
        <v>45262</v>
      </c>
      <c r="E239" t="s">
        <v>11</v>
      </c>
      <c r="F239" s="2">
        <v>50000</v>
      </c>
      <c r="G239">
        <v>38</v>
      </c>
      <c r="H239">
        <v>92</v>
      </c>
      <c r="I239" t="s">
        <v>17</v>
      </c>
      <c r="J239">
        <f>IF(Table1[[#This Row],[Status]]="Churned",1,0)</f>
        <v>0</v>
      </c>
      <c r="K239">
        <f t="shared" si="15"/>
        <v>0.91919191919191923</v>
      </c>
      <c r="L239">
        <f t="shared" si="16"/>
        <v>0.24</v>
      </c>
      <c r="M239" s="5">
        <f t="shared" si="17"/>
        <v>0.47368421052631576</v>
      </c>
      <c r="N239" s="5">
        <f t="shared" si="18"/>
        <v>0.30383838383838385</v>
      </c>
      <c r="O239" s="5" t="str">
        <f t="shared" si="19"/>
        <v>At-Risk</v>
      </c>
      <c r="P239" s="5">
        <f>IF(Table1[[#This Row],[Health Status]]="Churned",0,1)</f>
        <v>1</v>
      </c>
      <c r="Q239" s="5" t="str">
        <f>IF(Table1[[#This Row],[Subscription_End_Date]]="", "Active", "Churned")</f>
        <v>Active</v>
      </c>
      <c r="R239" s="5">
        <f ca="1">IF(Table1[[#This Row],[Subscription_End_Date]]="", DATEDIF(Table1[[#This Row],[Subscription_Start_Date]], TODAY(), "m"),
DATEDIF(Table1[[#This Row],[Subscription_Start_Date]], Table1[[#This Row],[Subscription_End_Date]], "m"))</f>
        <v>22</v>
      </c>
      <c r="S239" s="2">
        <f ca="1">Table1[[#This Row],[Monthly_Spend]] * Table1[[#This Row],[Customer Lifetime(Months)]]</f>
        <v>1100000</v>
      </c>
    </row>
    <row r="240" spans="1:19" x14ac:dyDescent="0.35">
      <c r="A240" t="s">
        <v>258</v>
      </c>
      <c r="B240" t="s">
        <v>31</v>
      </c>
      <c r="C240" s="1">
        <v>45633</v>
      </c>
      <c r="E240" t="s">
        <v>11</v>
      </c>
      <c r="F240" s="2">
        <v>5000</v>
      </c>
      <c r="G240">
        <v>46</v>
      </c>
      <c r="H240">
        <v>46</v>
      </c>
      <c r="I240" t="s">
        <v>17</v>
      </c>
      <c r="J240">
        <f>IF(Table1[[#This Row],[Status]]="Churned",1,0)</f>
        <v>0</v>
      </c>
      <c r="K240">
        <f t="shared" si="15"/>
        <v>0.45454545454545453</v>
      </c>
      <c r="L240">
        <f t="shared" si="16"/>
        <v>7.999999999999996E-2</v>
      </c>
      <c r="M240" s="5">
        <f t="shared" si="17"/>
        <v>0</v>
      </c>
      <c r="N240" s="5">
        <f t="shared" si="18"/>
        <v>0.13090909090909089</v>
      </c>
      <c r="O240" s="5" t="str">
        <f t="shared" si="19"/>
        <v>At-Risk</v>
      </c>
      <c r="P240" s="5">
        <f>IF(Table1[[#This Row],[Health Status]]="Churned",0,1)</f>
        <v>1</v>
      </c>
      <c r="Q240" s="5" t="str">
        <f>IF(Table1[[#This Row],[Subscription_End_Date]]="", "Active", "Churned")</f>
        <v>Active</v>
      </c>
      <c r="R240" s="5">
        <f ca="1">IF(Table1[[#This Row],[Subscription_End_Date]]="", DATEDIF(Table1[[#This Row],[Subscription_Start_Date]], TODAY(), "m"),
DATEDIF(Table1[[#This Row],[Subscription_Start_Date]], Table1[[#This Row],[Subscription_End_Date]], "m"))</f>
        <v>10</v>
      </c>
      <c r="S240" s="2">
        <f ca="1">Table1[[#This Row],[Monthly_Spend]] * Table1[[#This Row],[Customer Lifetime(Months)]]</f>
        <v>50000</v>
      </c>
    </row>
    <row r="241" spans="1:19" x14ac:dyDescent="0.35">
      <c r="A241" t="s">
        <v>259</v>
      </c>
      <c r="B241" t="s">
        <v>14</v>
      </c>
      <c r="C241" s="1">
        <v>45208</v>
      </c>
      <c r="E241" t="s">
        <v>23</v>
      </c>
      <c r="F241" s="2">
        <v>5000</v>
      </c>
      <c r="G241">
        <v>42</v>
      </c>
      <c r="H241">
        <v>82</v>
      </c>
      <c r="I241" t="s">
        <v>12</v>
      </c>
      <c r="J241">
        <f>IF(Table1[[#This Row],[Status]]="Churned",1,0)</f>
        <v>0</v>
      </c>
      <c r="K241">
        <f t="shared" si="15"/>
        <v>0.81818181818181823</v>
      </c>
      <c r="L241">
        <f t="shared" si="16"/>
        <v>0.16000000000000003</v>
      </c>
      <c r="M241" s="5">
        <f t="shared" si="17"/>
        <v>0</v>
      </c>
      <c r="N241" s="5">
        <f t="shared" si="18"/>
        <v>0.24363636363636368</v>
      </c>
      <c r="O241" s="5" t="str">
        <f t="shared" si="19"/>
        <v>At-Risk</v>
      </c>
      <c r="P241" s="5">
        <f>IF(Table1[[#This Row],[Health Status]]="Churned",0,1)</f>
        <v>1</v>
      </c>
      <c r="Q241" s="5" t="str">
        <f>IF(Table1[[#This Row],[Subscription_End_Date]]="", "Active", "Churned")</f>
        <v>Active</v>
      </c>
      <c r="R241" s="5">
        <f ca="1">IF(Table1[[#This Row],[Subscription_End_Date]]="", DATEDIF(Table1[[#This Row],[Subscription_Start_Date]], TODAY(), "m"),
DATEDIF(Table1[[#This Row],[Subscription_Start_Date]], Table1[[#This Row],[Subscription_End_Date]], "m"))</f>
        <v>24</v>
      </c>
      <c r="S241" s="2">
        <f ca="1">Table1[[#This Row],[Monthly_Spend]] * Table1[[#This Row],[Customer Lifetime(Months)]]</f>
        <v>120000</v>
      </c>
    </row>
    <row r="242" spans="1:19" x14ac:dyDescent="0.35">
      <c r="A242" t="s">
        <v>260</v>
      </c>
      <c r="B242" t="s">
        <v>31</v>
      </c>
      <c r="C242" s="1">
        <v>45452</v>
      </c>
      <c r="E242" t="s">
        <v>23</v>
      </c>
      <c r="F242" s="2">
        <v>5000</v>
      </c>
      <c r="G242">
        <v>9</v>
      </c>
      <c r="H242">
        <v>78</v>
      </c>
      <c r="I242" t="s">
        <v>12</v>
      </c>
      <c r="J242">
        <f>IF(Table1[[#This Row],[Status]]="Churned",1,0)</f>
        <v>0</v>
      </c>
      <c r="K242">
        <f t="shared" si="15"/>
        <v>0.77777777777777779</v>
      </c>
      <c r="L242">
        <f t="shared" si="16"/>
        <v>0.82000000000000006</v>
      </c>
      <c r="M242" s="5">
        <f t="shared" si="17"/>
        <v>0</v>
      </c>
      <c r="N242" s="5">
        <f t="shared" si="18"/>
        <v>0.56555555555555559</v>
      </c>
      <c r="O242" s="5" t="str">
        <f t="shared" si="19"/>
        <v>At-Risk</v>
      </c>
      <c r="P242" s="5">
        <f>IF(Table1[[#This Row],[Health Status]]="Churned",0,1)</f>
        <v>1</v>
      </c>
      <c r="Q242" s="5" t="str">
        <f>IF(Table1[[#This Row],[Subscription_End_Date]]="", "Active", "Churned")</f>
        <v>Active</v>
      </c>
      <c r="R242" s="5">
        <f ca="1">IF(Table1[[#This Row],[Subscription_End_Date]]="", DATEDIF(Table1[[#This Row],[Subscription_Start_Date]], TODAY(), "m"),
DATEDIF(Table1[[#This Row],[Subscription_Start_Date]], Table1[[#This Row],[Subscription_End_Date]], "m"))</f>
        <v>16</v>
      </c>
      <c r="S242" s="2">
        <f ca="1">Table1[[#This Row],[Monthly_Spend]] * Table1[[#This Row],[Customer Lifetime(Months)]]</f>
        <v>80000</v>
      </c>
    </row>
    <row r="243" spans="1:19" x14ac:dyDescent="0.35">
      <c r="A243" t="s">
        <v>261</v>
      </c>
      <c r="B243" t="s">
        <v>31</v>
      </c>
      <c r="C243" s="1">
        <v>45056</v>
      </c>
      <c r="E243" t="s">
        <v>11</v>
      </c>
      <c r="F243" s="2">
        <v>20000</v>
      </c>
      <c r="G243">
        <v>24</v>
      </c>
      <c r="H243">
        <v>73</v>
      </c>
      <c r="I243" t="s">
        <v>17</v>
      </c>
      <c r="J243">
        <f>IF(Table1[[#This Row],[Status]]="Churned",1,0)</f>
        <v>0</v>
      </c>
      <c r="K243">
        <f t="shared" si="15"/>
        <v>0.72727272727272729</v>
      </c>
      <c r="L243">
        <f t="shared" si="16"/>
        <v>0.52</v>
      </c>
      <c r="M243" s="5">
        <f t="shared" si="17"/>
        <v>0.15789473684210525</v>
      </c>
      <c r="N243" s="5">
        <f t="shared" si="18"/>
        <v>0.40545454545454551</v>
      </c>
      <c r="O243" s="5" t="str">
        <f t="shared" si="19"/>
        <v>At-Risk</v>
      </c>
      <c r="P243" s="5">
        <f>IF(Table1[[#This Row],[Health Status]]="Churned",0,1)</f>
        <v>1</v>
      </c>
      <c r="Q243" s="5" t="str">
        <f>IF(Table1[[#This Row],[Subscription_End_Date]]="", "Active", "Churned")</f>
        <v>Active</v>
      </c>
      <c r="R243" s="5">
        <f ca="1">IF(Table1[[#This Row],[Subscription_End_Date]]="", DATEDIF(Table1[[#This Row],[Subscription_Start_Date]], TODAY(), "m"),
DATEDIF(Table1[[#This Row],[Subscription_Start_Date]], Table1[[#This Row],[Subscription_End_Date]], "m"))</f>
        <v>29</v>
      </c>
      <c r="S243" s="2">
        <f ca="1">Table1[[#This Row],[Monthly_Spend]] * Table1[[#This Row],[Customer Lifetime(Months)]]</f>
        <v>580000</v>
      </c>
    </row>
    <row r="244" spans="1:19" x14ac:dyDescent="0.35">
      <c r="A244" t="s">
        <v>262</v>
      </c>
      <c r="B244" t="s">
        <v>10</v>
      </c>
      <c r="C244" s="1">
        <v>45084</v>
      </c>
      <c r="E244" t="s">
        <v>16</v>
      </c>
      <c r="F244" s="2">
        <v>20000</v>
      </c>
      <c r="G244">
        <v>28</v>
      </c>
      <c r="H244">
        <v>98</v>
      </c>
      <c r="I244" t="s">
        <v>17</v>
      </c>
      <c r="J244">
        <f>IF(Table1[[#This Row],[Status]]="Churned",1,0)</f>
        <v>0</v>
      </c>
      <c r="K244">
        <f t="shared" si="15"/>
        <v>0.97979797979797978</v>
      </c>
      <c r="L244">
        <f t="shared" si="16"/>
        <v>0.43999999999999995</v>
      </c>
      <c r="M244" s="5">
        <f t="shared" si="17"/>
        <v>0.15789473684210525</v>
      </c>
      <c r="N244" s="5">
        <f t="shared" si="18"/>
        <v>0.41595959595959597</v>
      </c>
      <c r="O244" s="5" t="str">
        <f t="shared" si="19"/>
        <v>At-Risk</v>
      </c>
      <c r="P244" s="5">
        <f>IF(Table1[[#This Row],[Health Status]]="Churned",0,1)</f>
        <v>1</v>
      </c>
      <c r="Q244" s="5" t="str">
        <f>IF(Table1[[#This Row],[Subscription_End_Date]]="", "Active", "Churned")</f>
        <v>Active</v>
      </c>
      <c r="R244" s="5">
        <f ca="1">IF(Table1[[#This Row],[Subscription_End_Date]]="", DATEDIF(Table1[[#This Row],[Subscription_Start_Date]], TODAY(), "m"),
DATEDIF(Table1[[#This Row],[Subscription_Start_Date]], Table1[[#This Row],[Subscription_End_Date]], "m"))</f>
        <v>28</v>
      </c>
      <c r="S244" s="2">
        <f ca="1">Table1[[#This Row],[Monthly_Spend]] * Table1[[#This Row],[Customer Lifetime(Months)]]</f>
        <v>560000</v>
      </c>
    </row>
    <row r="245" spans="1:19" x14ac:dyDescent="0.35">
      <c r="A245" t="s">
        <v>263</v>
      </c>
      <c r="B245" t="s">
        <v>10</v>
      </c>
      <c r="C245" s="1">
        <v>45067</v>
      </c>
      <c r="E245" t="s">
        <v>16</v>
      </c>
      <c r="F245" s="2">
        <v>20000</v>
      </c>
      <c r="G245">
        <v>41</v>
      </c>
      <c r="H245">
        <v>36</v>
      </c>
      <c r="I245" t="s">
        <v>17</v>
      </c>
      <c r="J245">
        <f>IF(Table1[[#This Row],[Status]]="Churned",1,0)</f>
        <v>0</v>
      </c>
      <c r="K245">
        <f t="shared" si="15"/>
        <v>0.35353535353535354</v>
      </c>
      <c r="L245">
        <f t="shared" si="16"/>
        <v>0.18000000000000005</v>
      </c>
      <c r="M245" s="5">
        <f t="shared" si="17"/>
        <v>0.15789473684210525</v>
      </c>
      <c r="N245" s="5">
        <f t="shared" si="18"/>
        <v>0.16070707070707074</v>
      </c>
      <c r="O245" s="5" t="str">
        <f t="shared" si="19"/>
        <v>At-Risk</v>
      </c>
      <c r="P245" s="5">
        <f>IF(Table1[[#This Row],[Health Status]]="Churned",0,1)</f>
        <v>1</v>
      </c>
      <c r="Q245" s="5" t="str">
        <f>IF(Table1[[#This Row],[Subscription_End_Date]]="", "Active", "Churned")</f>
        <v>Active</v>
      </c>
      <c r="R245" s="5">
        <f ca="1">IF(Table1[[#This Row],[Subscription_End_Date]]="", DATEDIF(Table1[[#This Row],[Subscription_Start_Date]], TODAY(), "m"),
DATEDIF(Table1[[#This Row],[Subscription_Start_Date]], Table1[[#This Row],[Subscription_End_Date]], "m"))</f>
        <v>29</v>
      </c>
      <c r="S245" s="2">
        <f ca="1">Table1[[#This Row],[Monthly_Spend]] * Table1[[#This Row],[Customer Lifetime(Months)]]</f>
        <v>580000</v>
      </c>
    </row>
    <row r="246" spans="1:19" x14ac:dyDescent="0.35">
      <c r="A246" t="s">
        <v>264</v>
      </c>
      <c r="B246" t="s">
        <v>27</v>
      </c>
      <c r="C246" s="1">
        <v>44953</v>
      </c>
      <c r="E246" t="s">
        <v>11</v>
      </c>
      <c r="F246" s="2">
        <v>100000</v>
      </c>
      <c r="G246">
        <v>24</v>
      </c>
      <c r="H246">
        <v>72</v>
      </c>
      <c r="I246" t="s">
        <v>17</v>
      </c>
      <c r="J246">
        <f>IF(Table1[[#This Row],[Status]]="Churned",1,0)</f>
        <v>0</v>
      </c>
      <c r="K246">
        <f t="shared" si="15"/>
        <v>0.71717171717171713</v>
      </c>
      <c r="L246">
        <f t="shared" si="16"/>
        <v>0.52</v>
      </c>
      <c r="M246" s="5">
        <f t="shared" si="17"/>
        <v>1</v>
      </c>
      <c r="N246" s="5">
        <f t="shared" si="18"/>
        <v>0.40343434343434348</v>
      </c>
      <c r="O246" s="5" t="str">
        <f t="shared" si="19"/>
        <v>Healthy</v>
      </c>
      <c r="P246" s="5">
        <f>IF(Table1[[#This Row],[Health Status]]="Churned",0,1)</f>
        <v>1</v>
      </c>
      <c r="Q246" s="5" t="str">
        <f>IF(Table1[[#This Row],[Subscription_End_Date]]="", "Active", "Churned")</f>
        <v>Active</v>
      </c>
      <c r="R246" s="5">
        <f ca="1">IF(Table1[[#This Row],[Subscription_End_Date]]="", DATEDIF(Table1[[#This Row],[Subscription_Start_Date]], TODAY(), "m"),
DATEDIF(Table1[[#This Row],[Subscription_Start_Date]], Table1[[#This Row],[Subscription_End_Date]], "m"))</f>
        <v>33</v>
      </c>
      <c r="S246" s="2">
        <f ca="1">Table1[[#This Row],[Monthly_Spend]] * Table1[[#This Row],[Customer Lifetime(Months)]]</f>
        <v>3300000</v>
      </c>
    </row>
    <row r="247" spans="1:19" x14ac:dyDescent="0.35">
      <c r="A247" t="s">
        <v>265</v>
      </c>
      <c r="B247" t="s">
        <v>10</v>
      </c>
      <c r="C247" s="1">
        <v>45193</v>
      </c>
      <c r="E247" t="s">
        <v>23</v>
      </c>
      <c r="F247" s="2">
        <v>100000</v>
      </c>
      <c r="G247">
        <v>18</v>
      </c>
      <c r="H247">
        <v>89</v>
      </c>
      <c r="I247" t="s">
        <v>12</v>
      </c>
      <c r="J247">
        <f>IF(Table1[[#This Row],[Status]]="Churned",1,0)</f>
        <v>0</v>
      </c>
      <c r="K247">
        <f t="shared" si="15"/>
        <v>0.88888888888888884</v>
      </c>
      <c r="L247">
        <f t="shared" si="16"/>
        <v>0.64</v>
      </c>
      <c r="M247" s="5">
        <f t="shared" si="17"/>
        <v>1</v>
      </c>
      <c r="N247" s="5">
        <f t="shared" si="18"/>
        <v>0.49777777777777776</v>
      </c>
      <c r="O247" s="5" t="str">
        <f t="shared" si="19"/>
        <v>Healthy</v>
      </c>
      <c r="P247" s="5">
        <f>IF(Table1[[#This Row],[Health Status]]="Churned",0,1)</f>
        <v>1</v>
      </c>
      <c r="Q247" s="5" t="str">
        <f>IF(Table1[[#This Row],[Subscription_End_Date]]="", "Active", "Churned")</f>
        <v>Active</v>
      </c>
      <c r="R247" s="5">
        <f ca="1">IF(Table1[[#This Row],[Subscription_End_Date]]="", DATEDIF(Table1[[#This Row],[Subscription_Start_Date]], TODAY(), "m"),
DATEDIF(Table1[[#This Row],[Subscription_Start_Date]], Table1[[#This Row],[Subscription_End_Date]], "m"))</f>
        <v>25</v>
      </c>
      <c r="S247" s="2">
        <f ca="1">Table1[[#This Row],[Monthly_Spend]] * Table1[[#This Row],[Customer Lifetime(Months)]]</f>
        <v>2500000</v>
      </c>
    </row>
    <row r="248" spans="1:19" x14ac:dyDescent="0.35">
      <c r="A248" t="s">
        <v>266</v>
      </c>
      <c r="B248" t="s">
        <v>31</v>
      </c>
      <c r="C248" s="1">
        <v>45052</v>
      </c>
      <c r="E248" t="s">
        <v>11</v>
      </c>
      <c r="F248" s="2">
        <v>50000</v>
      </c>
      <c r="G248">
        <v>11</v>
      </c>
      <c r="H248">
        <v>92</v>
      </c>
      <c r="I248" t="s">
        <v>12</v>
      </c>
      <c r="J248">
        <f>IF(Table1[[#This Row],[Status]]="Churned",1,0)</f>
        <v>0</v>
      </c>
      <c r="K248">
        <f t="shared" si="15"/>
        <v>0.91919191919191923</v>
      </c>
      <c r="L248">
        <f t="shared" si="16"/>
        <v>0.78</v>
      </c>
      <c r="M248" s="5">
        <f t="shared" si="17"/>
        <v>0.47368421052631576</v>
      </c>
      <c r="N248" s="5">
        <f t="shared" si="18"/>
        <v>0.57383838383838381</v>
      </c>
      <c r="O248" s="5" t="str">
        <f t="shared" si="19"/>
        <v>At-Risk</v>
      </c>
      <c r="P248" s="5">
        <f>IF(Table1[[#This Row],[Health Status]]="Churned",0,1)</f>
        <v>1</v>
      </c>
      <c r="Q248" s="5" t="str">
        <f>IF(Table1[[#This Row],[Subscription_End_Date]]="", "Active", "Churned")</f>
        <v>Active</v>
      </c>
      <c r="R248" s="5">
        <f ca="1">IF(Table1[[#This Row],[Subscription_End_Date]]="", DATEDIF(Table1[[#This Row],[Subscription_Start_Date]], TODAY(), "m"),
DATEDIF(Table1[[#This Row],[Subscription_Start_Date]], Table1[[#This Row],[Subscription_End_Date]], "m"))</f>
        <v>29</v>
      </c>
      <c r="S248" s="2">
        <f ca="1">Table1[[#This Row],[Monthly_Spend]] * Table1[[#This Row],[Customer Lifetime(Months)]]</f>
        <v>1450000</v>
      </c>
    </row>
    <row r="249" spans="1:19" x14ac:dyDescent="0.35">
      <c r="A249" t="s">
        <v>267</v>
      </c>
      <c r="B249" t="s">
        <v>31</v>
      </c>
      <c r="C249" s="1">
        <v>45625</v>
      </c>
      <c r="E249" t="s">
        <v>11</v>
      </c>
      <c r="F249" s="2">
        <v>20000</v>
      </c>
      <c r="G249">
        <v>45</v>
      </c>
      <c r="H249">
        <v>9</v>
      </c>
      <c r="I249" t="s">
        <v>17</v>
      </c>
      <c r="J249">
        <f>IF(Table1[[#This Row],[Status]]="Churned",1,0)</f>
        <v>0</v>
      </c>
      <c r="K249">
        <f t="shared" si="15"/>
        <v>8.0808080808080815E-2</v>
      </c>
      <c r="L249">
        <f t="shared" si="16"/>
        <v>9.9999999999999978E-2</v>
      </c>
      <c r="M249" s="5">
        <f t="shared" si="17"/>
        <v>0.15789473684210525</v>
      </c>
      <c r="N249" s="5">
        <f t="shared" si="18"/>
        <v>6.6161616161616157E-2</v>
      </c>
      <c r="O249" s="5" t="str">
        <f t="shared" si="19"/>
        <v>At-Risk</v>
      </c>
      <c r="P249" s="5">
        <f>IF(Table1[[#This Row],[Health Status]]="Churned",0,1)</f>
        <v>1</v>
      </c>
      <c r="Q249" s="5" t="str">
        <f>IF(Table1[[#This Row],[Subscription_End_Date]]="", "Active", "Churned")</f>
        <v>Active</v>
      </c>
      <c r="R249" s="5">
        <f ca="1">IF(Table1[[#This Row],[Subscription_End_Date]]="", DATEDIF(Table1[[#This Row],[Subscription_Start_Date]], TODAY(), "m"),
DATEDIF(Table1[[#This Row],[Subscription_Start_Date]], Table1[[#This Row],[Subscription_End_Date]], "m"))</f>
        <v>11</v>
      </c>
      <c r="S249" s="2">
        <f ca="1">Table1[[#This Row],[Monthly_Spend]] * Table1[[#This Row],[Customer Lifetime(Months)]]</f>
        <v>220000</v>
      </c>
    </row>
    <row r="250" spans="1:19" x14ac:dyDescent="0.35">
      <c r="A250" t="s">
        <v>268</v>
      </c>
      <c r="B250" t="s">
        <v>14</v>
      </c>
      <c r="C250" s="1">
        <v>45224</v>
      </c>
      <c r="E250" t="s">
        <v>16</v>
      </c>
      <c r="F250" s="2">
        <v>10000</v>
      </c>
      <c r="G250">
        <v>50</v>
      </c>
      <c r="H250">
        <v>47</v>
      </c>
      <c r="I250" t="s">
        <v>12</v>
      </c>
      <c r="J250">
        <f>IF(Table1[[#This Row],[Status]]="Churned",1,0)</f>
        <v>0</v>
      </c>
      <c r="K250">
        <f t="shared" si="15"/>
        <v>0.46464646464646464</v>
      </c>
      <c r="L250">
        <f t="shared" si="16"/>
        <v>0</v>
      </c>
      <c r="M250" s="5">
        <f t="shared" si="17"/>
        <v>5.2631578947368418E-2</v>
      </c>
      <c r="N250" s="5">
        <f t="shared" si="18"/>
        <v>9.2929292929292931E-2</v>
      </c>
      <c r="O250" s="5" t="str">
        <f t="shared" si="19"/>
        <v>At-Risk</v>
      </c>
      <c r="P250" s="5">
        <f>IF(Table1[[#This Row],[Health Status]]="Churned",0,1)</f>
        <v>1</v>
      </c>
      <c r="Q250" s="5" t="str">
        <f>IF(Table1[[#This Row],[Subscription_End_Date]]="", "Active", "Churned")</f>
        <v>Active</v>
      </c>
      <c r="R250" s="5">
        <f ca="1">IF(Table1[[#This Row],[Subscription_End_Date]]="", DATEDIF(Table1[[#This Row],[Subscription_Start_Date]], TODAY(), "m"),
DATEDIF(Table1[[#This Row],[Subscription_Start_Date]], Table1[[#This Row],[Subscription_End_Date]], "m"))</f>
        <v>24</v>
      </c>
      <c r="S250" s="2">
        <f ca="1">Table1[[#This Row],[Monthly_Spend]] * Table1[[#This Row],[Customer Lifetime(Months)]]</f>
        <v>240000</v>
      </c>
    </row>
    <row r="251" spans="1:19" x14ac:dyDescent="0.35">
      <c r="A251" t="s">
        <v>269</v>
      </c>
      <c r="B251" t="s">
        <v>14</v>
      </c>
      <c r="C251" s="1">
        <v>45051</v>
      </c>
      <c r="E251" t="s">
        <v>11</v>
      </c>
      <c r="F251" s="2">
        <v>10000</v>
      </c>
      <c r="G251">
        <v>50</v>
      </c>
      <c r="H251">
        <v>64</v>
      </c>
      <c r="I251" t="s">
        <v>12</v>
      </c>
      <c r="J251">
        <f>IF(Table1[[#This Row],[Status]]="Churned",1,0)</f>
        <v>0</v>
      </c>
      <c r="K251">
        <f t="shared" si="15"/>
        <v>0.63636363636363635</v>
      </c>
      <c r="L251">
        <f t="shared" si="16"/>
        <v>0</v>
      </c>
      <c r="M251" s="5">
        <f t="shared" si="17"/>
        <v>5.2631578947368418E-2</v>
      </c>
      <c r="N251" s="5">
        <f t="shared" si="18"/>
        <v>0.12727272727272729</v>
      </c>
      <c r="O251" s="5" t="str">
        <f t="shared" si="19"/>
        <v>At-Risk</v>
      </c>
      <c r="P251" s="5">
        <f>IF(Table1[[#This Row],[Health Status]]="Churned",0,1)</f>
        <v>1</v>
      </c>
      <c r="Q251" s="5" t="str">
        <f>IF(Table1[[#This Row],[Subscription_End_Date]]="", "Active", "Churned")</f>
        <v>Active</v>
      </c>
      <c r="R251" s="5">
        <f ca="1">IF(Table1[[#This Row],[Subscription_End_Date]]="", DATEDIF(Table1[[#This Row],[Subscription_Start_Date]], TODAY(), "m"),
DATEDIF(Table1[[#This Row],[Subscription_Start_Date]], Table1[[#This Row],[Subscription_End_Date]], "m"))</f>
        <v>29</v>
      </c>
      <c r="S251" s="2">
        <f ca="1">Table1[[#This Row],[Monthly_Spend]] * Table1[[#This Row],[Customer Lifetime(Months)]]</f>
        <v>290000</v>
      </c>
    </row>
    <row r="252" spans="1:19" x14ac:dyDescent="0.35">
      <c r="A252" t="s">
        <v>270</v>
      </c>
      <c r="B252" t="s">
        <v>10</v>
      </c>
      <c r="C252" s="1">
        <v>45494</v>
      </c>
      <c r="E252" t="s">
        <v>23</v>
      </c>
      <c r="F252" s="2">
        <v>100000</v>
      </c>
      <c r="G252">
        <v>8</v>
      </c>
      <c r="H252">
        <v>79</v>
      </c>
      <c r="I252" t="s">
        <v>17</v>
      </c>
      <c r="J252">
        <f>IF(Table1[[#This Row],[Status]]="Churned",1,0)</f>
        <v>0</v>
      </c>
      <c r="K252">
        <f t="shared" si="15"/>
        <v>0.78787878787878785</v>
      </c>
      <c r="L252">
        <f t="shared" si="16"/>
        <v>0.84</v>
      </c>
      <c r="M252" s="5">
        <f t="shared" si="17"/>
        <v>1</v>
      </c>
      <c r="N252" s="5">
        <f t="shared" si="18"/>
        <v>0.57757575757575763</v>
      </c>
      <c r="O252" s="5" t="str">
        <f t="shared" si="19"/>
        <v>Healthy</v>
      </c>
      <c r="P252" s="5">
        <f>IF(Table1[[#This Row],[Health Status]]="Churned",0,1)</f>
        <v>1</v>
      </c>
      <c r="Q252" s="5" t="str">
        <f>IF(Table1[[#This Row],[Subscription_End_Date]]="", "Active", "Churned")</f>
        <v>Active</v>
      </c>
      <c r="R252" s="5">
        <f ca="1">IF(Table1[[#This Row],[Subscription_End_Date]]="", DATEDIF(Table1[[#This Row],[Subscription_Start_Date]], TODAY(), "m"),
DATEDIF(Table1[[#This Row],[Subscription_Start_Date]], Table1[[#This Row],[Subscription_End_Date]], "m"))</f>
        <v>15</v>
      </c>
      <c r="S252" s="2">
        <f ca="1">Table1[[#This Row],[Monthly_Spend]] * Table1[[#This Row],[Customer Lifetime(Months)]]</f>
        <v>1500000</v>
      </c>
    </row>
    <row r="253" spans="1:19" x14ac:dyDescent="0.35">
      <c r="A253" t="s">
        <v>271</v>
      </c>
      <c r="B253" t="s">
        <v>10</v>
      </c>
      <c r="C253" s="1">
        <v>45243</v>
      </c>
      <c r="E253" t="s">
        <v>11</v>
      </c>
      <c r="F253" s="2">
        <v>100000</v>
      </c>
      <c r="G253">
        <v>26</v>
      </c>
      <c r="H253">
        <v>99</v>
      </c>
      <c r="I253" t="s">
        <v>17</v>
      </c>
      <c r="J253">
        <f>IF(Table1[[#This Row],[Status]]="Churned",1,0)</f>
        <v>0</v>
      </c>
      <c r="K253">
        <f t="shared" si="15"/>
        <v>0.98989898989898994</v>
      </c>
      <c r="L253">
        <f t="shared" si="16"/>
        <v>0.48</v>
      </c>
      <c r="M253" s="5">
        <f t="shared" si="17"/>
        <v>1</v>
      </c>
      <c r="N253" s="5">
        <f t="shared" si="18"/>
        <v>0.43797979797979802</v>
      </c>
      <c r="O253" s="5" t="str">
        <f t="shared" si="19"/>
        <v>Healthy</v>
      </c>
      <c r="P253" s="5">
        <f>IF(Table1[[#This Row],[Health Status]]="Churned",0,1)</f>
        <v>1</v>
      </c>
      <c r="Q253" s="5" t="str">
        <f>IF(Table1[[#This Row],[Subscription_End_Date]]="", "Active", "Churned")</f>
        <v>Active</v>
      </c>
      <c r="R253" s="5">
        <f ca="1">IF(Table1[[#This Row],[Subscription_End_Date]]="", DATEDIF(Table1[[#This Row],[Subscription_Start_Date]], TODAY(), "m"),
DATEDIF(Table1[[#This Row],[Subscription_Start_Date]], Table1[[#This Row],[Subscription_End_Date]], "m"))</f>
        <v>23</v>
      </c>
      <c r="S253" s="2">
        <f ca="1">Table1[[#This Row],[Monthly_Spend]] * Table1[[#This Row],[Customer Lifetime(Months)]]</f>
        <v>2300000</v>
      </c>
    </row>
    <row r="254" spans="1:19" x14ac:dyDescent="0.35">
      <c r="A254" t="s">
        <v>272</v>
      </c>
      <c r="B254" t="s">
        <v>31</v>
      </c>
      <c r="C254" s="1">
        <v>45002</v>
      </c>
      <c r="D254" s="1">
        <v>45356</v>
      </c>
      <c r="E254" t="s">
        <v>16</v>
      </c>
      <c r="F254" s="2">
        <v>5000</v>
      </c>
      <c r="G254">
        <v>28</v>
      </c>
      <c r="H254">
        <v>60</v>
      </c>
      <c r="I254" t="s">
        <v>28</v>
      </c>
      <c r="J254">
        <f>IF(Table1[[#This Row],[Status]]="Churned",1,0)</f>
        <v>1</v>
      </c>
      <c r="K254">
        <f t="shared" si="15"/>
        <v>0.59595959595959591</v>
      </c>
      <c r="L254">
        <f t="shared" si="16"/>
        <v>0.43999999999999995</v>
      </c>
      <c r="M254" s="5">
        <f t="shared" si="17"/>
        <v>0</v>
      </c>
      <c r="N254" s="5">
        <f t="shared" si="18"/>
        <v>0.63919191919191909</v>
      </c>
      <c r="O254" s="5" t="str">
        <f t="shared" si="19"/>
        <v>Churned</v>
      </c>
      <c r="P254" s="5">
        <f>IF(Table1[[#This Row],[Health Status]]="Churned",0,1)</f>
        <v>0</v>
      </c>
      <c r="Q254" s="5" t="str">
        <f>IF(Table1[[#This Row],[Subscription_End_Date]]="", "Active", "Churned")</f>
        <v>Churned</v>
      </c>
      <c r="R254" s="5">
        <f ca="1">IF(Table1[[#This Row],[Subscription_End_Date]]="", DATEDIF(Table1[[#This Row],[Subscription_Start_Date]], TODAY(), "m"),
DATEDIF(Table1[[#This Row],[Subscription_Start_Date]], Table1[[#This Row],[Subscription_End_Date]], "m"))</f>
        <v>11</v>
      </c>
      <c r="S254" s="2">
        <f ca="1">Table1[[#This Row],[Monthly_Spend]] * Table1[[#This Row],[Customer Lifetime(Months)]]</f>
        <v>55000</v>
      </c>
    </row>
    <row r="255" spans="1:19" x14ac:dyDescent="0.35">
      <c r="A255" t="s">
        <v>273</v>
      </c>
      <c r="B255" t="s">
        <v>14</v>
      </c>
      <c r="C255" s="1">
        <v>45058</v>
      </c>
      <c r="E255" t="s">
        <v>23</v>
      </c>
      <c r="F255" s="2">
        <v>10000</v>
      </c>
      <c r="G255">
        <v>27</v>
      </c>
      <c r="H255">
        <v>65</v>
      </c>
      <c r="I255" t="s">
        <v>12</v>
      </c>
      <c r="J255">
        <f>IF(Table1[[#This Row],[Status]]="Churned",1,0)</f>
        <v>0</v>
      </c>
      <c r="K255">
        <f t="shared" si="15"/>
        <v>0.64646464646464652</v>
      </c>
      <c r="L255">
        <f t="shared" si="16"/>
        <v>0.45999999999999996</v>
      </c>
      <c r="M255" s="5">
        <f t="shared" si="17"/>
        <v>5.2631578947368418E-2</v>
      </c>
      <c r="N255" s="5">
        <f t="shared" si="18"/>
        <v>0.35929292929292933</v>
      </c>
      <c r="O255" s="5" t="str">
        <f t="shared" si="19"/>
        <v>At-Risk</v>
      </c>
      <c r="P255" s="5">
        <f>IF(Table1[[#This Row],[Health Status]]="Churned",0,1)</f>
        <v>1</v>
      </c>
      <c r="Q255" s="5" t="str">
        <f>IF(Table1[[#This Row],[Subscription_End_Date]]="", "Active", "Churned")</f>
        <v>Active</v>
      </c>
      <c r="R255" s="5">
        <f ca="1">IF(Table1[[#This Row],[Subscription_End_Date]]="", DATEDIF(Table1[[#This Row],[Subscription_Start_Date]], TODAY(), "m"),
DATEDIF(Table1[[#This Row],[Subscription_Start_Date]], Table1[[#This Row],[Subscription_End_Date]], "m"))</f>
        <v>29</v>
      </c>
      <c r="S255" s="2">
        <f ca="1">Table1[[#This Row],[Monthly_Spend]] * Table1[[#This Row],[Customer Lifetime(Months)]]</f>
        <v>290000</v>
      </c>
    </row>
    <row r="256" spans="1:19" x14ac:dyDescent="0.35">
      <c r="A256" t="s">
        <v>274</v>
      </c>
      <c r="B256" t="s">
        <v>10</v>
      </c>
      <c r="C256" s="1">
        <v>45457</v>
      </c>
      <c r="E256" t="s">
        <v>11</v>
      </c>
      <c r="F256" s="2">
        <v>10000</v>
      </c>
      <c r="G256">
        <v>20</v>
      </c>
      <c r="H256">
        <v>91</v>
      </c>
      <c r="I256" t="s">
        <v>12</v>
      </c>
      <c r="J256">
        <f>IF(Table1[[#This Row],[Status]]="Churned",1,0)</f>
        <v>0</v>
      </c>
      <c r="K256">
        <f t="shared" si="15"/>
        <v>0.90909090909090906</v>
      </c>
      <c r="L256">
        <f t="shared" si="16"/>
        <v>0.6</v>
      </c>
      <c r="M256" s="5">
        <f t="shared" si="17"/>
        <v>5.2631578947368418E-2</v>
      </c>
      <c r="N256" s="5">
        <f t="shared" si="18"/>
        <v>0.48181818181818181</v>
      </c>
      <c r="O256" s="5" t="str">
        <f t="shared" si="19"/>
        <v>At-Risk</v>
      </c>
      <c r="P256" s="5">
        <f>IF(Table1[[#This Row],[Health Status]]="Churned",0,1)</f>
        <v>1</v>
      </c>
      <c r="Q256" s="5" t="str">
        <f>IF(Table1[[#This Row],[Subscription_End_Date]]="", "Active", "Churned")</f>
        <v>Active</v>
      </c>
      <c r="R256" s="5">
        <f ca="1">IF(Table1[[#This Row],[Subscription_End_Date]]="", DATEDIF(Table1[[#This Row],[Subscription_Start_Date]], TODAY(), "m"),
DATEDIF(Table1[[#This Row],[Subscription_Start_Date]], Table1[[#This Row],[Subscription_End_Date]], "m"))</f>
        <v>16</v>
      </c>
      <c r="S256" s="2">
        <f ca="1">Table1[[#This Row],[Monthly_Spend]] * Table1[[#This Row],[Customer Lifetime(Months)]]</f>
        <v>160000</v>
      </c>
    </row>
    <row r="257" spans="1:19" x14ac:dyDescent="0.35">
      <c r="A257" t="s">
        <v>275</v>
      </c>
      <c r="B257" t="s">
        <v>27</v>
      </c>
      <c r="C257" s="1">
        <v>45458</v>
      </c>
      <c r="E257" t="s">
        <v>23</v>
      </c>
      <c r="F257" s="2">
        <v>20000</v>
      </c>
      <c r="G257">
        <v>12</v>
      </c>
      <c r="H257">
        <v>82</v>
      </c>
      <c r="I257" t="s">
        <v>12</v>
      </c>
      <c r="J257">
        <f>IF(Table1[[#This Row],[Status]]="Churned",1,0)</f>
        <v>0</v>
      </c>
      <c r="K257">
        <f t="shared" si="15"/>
        <v>0.81818181818181823</v>
      </c>
      <c r="L257">
        <f t="shared" si="16"/>
        <v>0.76</v>
      </c>
      <c r="M257" s="5">
        <f t="shared" si="17"/>
        <v>0.15789473684210525</v>
      </c>
      <c r="N257" s="5">
        <f t="shared" si="18"/>
        <v>0.5436363636363637</v>
      </c>
      <c r="O257" s="5" t="str">
        <f t="shared" si="19"/>
        <v>At-Risk</v>
      </c>
      <c r="P257" s="5">
        <f>IF(Table1[[#This Row],[Health Status]]="Churned",0,1)</f>
        <v>1</v>
      </c>
      <c r="Q257" s="5" t="str">
        <f>IF(Table1[[#This Row],[Subscription_End_Date]]="", "Active", "Churned")</f>
        <v>Active</v>
      </c>
      <c r="R257" s="5">
        <f ca="1">IF(Table1[[#This Row],[Subscription_End_Date]]="", DATEDIF(Table1[[#This Row],[Subscription_Start_Date]], TODAY(), "m"),
DATEDIF(Table1[[#This Row],[Subscription_Start_Date]], Table1[[#This Row],[Subscription_End_Date]], "m"))</f>
        <v>16</v>
      </c>
      <c r="S257" s="2">
        <f ca="1">Table1[[#This Row],[Monthly_Spend]] * Table1[[#This Row],[Customer Lifetime(Months)]]</f>
        <v>320000</v>
      </c>
    </row>
    <row r="258" spans="1:19" x14ac:dyDescent="0.35">
      <c r="A258" t="s">
        <v>276</v>
      </c>
      <c r="B258" t="s">
        <v>14</v>
      </c>
      <c r="C258" s="1">
        <v>45055</v>
      </c>
      <c r="E258" t="s">
        <v>23</v>
      </c>
      <c r="F258" s="2">
        <v>100000</v>
      </c>
      <c r="G258">
        <v>41</v>
      </c>
      <c r="H258">
        <v>22</v>
      </c>
      <c r="I258" t="s">
        <v>12</v>
      </c>
      <c r="J258">
        <f>IF(Table1[[#This Row],[Status]]="Churned",1,0)</f>
        <v>0</v>
      </c>
      <c r="K258">
        <f t="shared" ref="K258:K321" si="20">(H258-MIN($H$2:$H$501))/(MAX($H$2:$H$501)-MIN($H$2:$H$501))</f>
        <v>0.21212121212121213</v>
      </c>
      <c r="L258">
        <f t="shared" ref="L258:L321" si="21">1 - ((G258-MIN($G$2:$G$501))/(MAX($G$2:$G$501)-MIN($G$2:$G$501)))</f>
        <v>0.18000000000000005</v>
      </c>
      <c r="M258" s="5">
        <f t="shared" ref="M258:M321" si="22">(F258-MIN($F$2:$F$501))/(MAX($F$2:$F$501)-MIN($F$2:$F$501))</f>
        <v>1</v>
      </c>
      <c r="N258" s="5">
        <f t="shared" ref="N258:N321" si="23">(J258*0.3) + (K258*0.2) + (L258*0.5)</f>
        <v>0.13242424242424244</v>
      </c>
      <c r="O258" s="5" t="str">
        <f t="shared" ref="O258:O321" si="24">IF(I258="Churned", "Churned", IF(M258&gt;=0.6, "Healthy", "At-Risk"))</f>
        <v>Healthy</v>
      </c>
      <c r="P258" s="5">
        <f>IF(Table1[[#This Row],[Health Status]]="Churned",0,1)</f>
        <v>1</v>
      </c>
      <c r="Q258" s="5" t="str">
        <f>IF(Table1[[#This Row],[Subscription_End_Date]]="", "Active", "Churned")</f>
        <v>Active</v>
      </c>
      <c r="R258" s="5">
        <f ca="1">IF(Table1[[#This Row],[Subscription_End_Date]]="", DATEDIF(Table1[[#This Row],[Subscription_Start_Date]], TODAY(), "m"),
DATEDIF(Table1[[#This Row],[Subscription_Start_Date]], Table1[[#This Row],[Subscription_End_Date]], "m"))</f>
        <v>29</v>
      </c>
      <c r="S258" s="2">
        <f ca="1">Table1[[#This Row],[Monthly_Spend]] * Table1[[#This Row],[Customer Lifetime(Months)]]</f>
        <v>2900000</v>
      </c>
    </row>
    <row r="259" spans="1:19" x14ac:dyDescent="0.35">
      <c r="A259" t="s">
        <v>277</v>
      </c>
      <c r="B259" t="s">
        <v>14</v>
      </c>
      <c r="C259" s="1">
        <v>45084</v>
      </c>
      <c r="D259" s="1">
        <v>45753</v>
      </c>
      <c r="E259" t="s">
        <v>16</v>
      </c>
      <c r="F259" s="2">
        <v>100000</v>
      </c>
      <c r="G259">
        <v>21</v>
      </c>
      <c r="H259">
        <v>73</v>
      </c>
      <c r="I259" t="s">
        <v>28</v>
      </c>
      <c r="J259">
        <f>IF(Table1[[#This Row],[Status]]="Churned",1,0)</f>
        <v>1</v>
      </c>
      <c r="K259">
        <f t="shared" si="20"/>
        <v>0.72727272727272729</v>
      </c>
      <c r="L259">
        <f t="shared" si="21"/>
        <v>0.58000000000000007</v>
      </c>
      <c r="M259" s="5">
        <f t="shared" si="22"/>
        <v>1</v>
      </c>
      <c r="N259" s="5">
        <f t="shared" si="23"/>
        <v>0.73545454545454547</v>
      </c>
      <c r="O259" s="5" t="str">
        <f t="shared" si="24"/>
        <v>Churned</v>
      </c>
      <c r="P259" s="5">
        <f>IF(Table1[[#This Row],[Health Status]]="Churned",0,1)</f>
        <v>0</v>
      </c>
      <c r="Q259" s="5" t="str">
        <f>IF(Table1[[#This Row],[Subscription_End_Date]]="", "Active", "Churned")</f>
        <v>Churned</v>
      </c>
      <c r="R259" s="5">
        <f ca="1">IF(Table1[[#This Row],[Subscription_End_Date]]="", DATEDIF(Table1[[#This Row],[Subscription_Start_Date]], TODAY(), "m"),
DATEDIF(Table1[[#This Row],[Subscription_Start_Date]], Table1[[#This Row],[Subscription_End_Date]], "m"))</f>
        <v>21</v>
      </c>
      <c r="S259" s="2">
        <f ca="1">Table1[[#This Row],[Monthly_Spend]] * Table1[[#This Row],[Customer Lifetime(Months)]]</f>
        <v>2100000</v>
      </c>
    </row>
    <row r="260" spans="1:19" x14ac:dyDescent="0.35">
      <c r="A260" t="s">
        <v>278</v>
      </c>
      <c r="B260" t="s">
        <v>10</v>
      </c>
      <c r="C260" s="1">
        <v>45010</v>
      </c>
      <c r="D260" s="1">
        <v>45696</v>
      </c>
      <c r="E260" t="s">
        <v>11</v>
      </c>
      <c r="F260" s="2">
        <v>100000</v>
      </c>
      <c r="G260">
        <v>16</v>
      </c>
      <c r="H260">
        <v>84</v>
      </c>
      <c r="I260" t="s">
        <v>28</v>
      </c>
      <c r="J260">
        <f>IF(Table1[[#This Row],[Status]]="Churned",1,0)</f>
        <v>1</v>
      </c>
      <c r="K260">
        <f t="shared" si="20"/>
        <v>0.83838383838383834</v>
      </c>
      <c r="L260">
        <f t="shared" si="21"/>
        <v>0.67999999999999994</v>
      </c>
      <c r="M260" s="5">
        <f t="shared" si="22"/>
        <v>1</v>
      </c>
      <c r="N260" s="5">
        <f t="shared" si="23"/>
        <v>0.80767676767676766</v>
      </c>
      <c r="O260" s="5" t="str">
        <f t="shared" si="24"/>
        <v>Churned</v>
      </c>
      <c r="P260" s="5">
        <f>IF(Table1[[#This Row],[Health Status]]="Churned",0,1)</f>
        <v>0</v>
      </c>
      <c r="Q260" s="5" t="str">
        <f>IF(Table1[[#This Row],[Subscription_End_Date]]="", "Active", "Churned")</f>
        <v>Churned</v>
      </c>
      <c r="R260" s="5">
        <f ca="1">IF(Table1[[#This Row],[Subscription_End_Date]]="", DATEDIF(Table1[[#This Row],[Subscription_Start_Date]], TODAY(), "m"),
DATEDIF(Table1[[#This Row],[Subscription_Start_Date]], Table1[[#This Row],[Subscription_End_Date]], "m"))</f>
        <v>22</v>
      </c>
      <c r="S260" s="2">
        <f ca="1">Table1[[#This Row],[Monthly_Spend]] * Table1[[#This Row],[Customer Lifetime(Months)]]</f>
        <v>2200000</v>
      </c>
    </row>
    <row r="261" spans="1:19" x14ac:dyDescent="0.35">
      <c r="A261" t="s">
        <v>279</v>
      </c>
      <c r="B261" t="s">
        <v>27</v>
      </c>
      <c r="C261" s="1">
        <v>45353</v>
      </c>
      <c r="E261" t="s">
        <v>16</v>
      </c>
      <c r="F261" s="2">
        <v>50000</v>
      </c>
      <c r="G261">
        <v>40</v>
      </c>
      <c r="H261">
        <v>70</v>
      </c>
      <c r="I261" t="s">
        <v>12</v>
      </c>
      <c r="J261">
        <f>IF(Table1[[#This Row],[Status]]="Churned",1,0)</f>
        <v>0</v>
      </c>
      <c r="K261">
        <f t="shared" si="20"/>
        <v>0.69696969696969702</v>
      </c>
      <c r="L261">
        <f t="shared" si="21"/>
        <v>0.19999999999999996</v>
      </c>
      <c r="M261" s="5">
        <f t="shared" si="22"/>
        <v>0.47368421052631576</v>
      </c>
      <c r="N261" s="5">
        <f t="shared" si="23"/>
        <v>0.23939393939393938</v>
      </c>
      <c r="O261" s="5" t="str">
        <f t="shared" si="24"/>
        <v>At-Risk</v>
      </c>
      <c r="P261" s="5">
        <f>IF(Table1[[#This Row],[Health Status]]="Churned",0,1)</f>
        <v>1</v>
      </c>
      <c r="Q261" s="5" t="str">
        <f>IF(Table1[[#This Row],[Subscription_End_Date]]="", "Active", "Churned")</f>
        <v>Active</v>
      </c>
      <c r="R261" s="5">
        <f ca="1">IF(Table1[[#This Row],[Subscription_End_Date]]="", DATEDIF(Table1[[#This Row],[Subscription_Start_Date]], TODAY(), "m"),
DATEDIF(Table1[[#This Row],[Subscription_Start_Date]], Table1[[#This Row],[Subscription_End_Date]], "m"))</f>
        <v>19</v>
      </c>
      <c r="S261" s="2">
        <f ca="1">Table1[[#This Row],[Monthly_Spend]] * Table1[[#This Row],[Customer Lifetime(Months)]]</f>
        <v>950000</v>
      </c>
    </row>
    <row r="262" spans="1:19" x14ac:dyDescent="0.35">
      <c r="A262" t="s">
        <v>280</v>
      </c>
      <c r="B262" t="s">
        <v>19</v>
      </c>
      <c r="C262" s="1">
        <v>45236</v>
      </c>
      <c r="E262" t="s">
        <v>16</v>
      </c>
      <c r="F262" s="2">
        <v>20000</v>
      </c>
      <c r="G262">
        <v>29</v>
      </c>
      <c r="H262">
        <v>10</v>
      </c>
      <c r="I262" t="s">
        <v>17</v>
      </c>
      <c r="J262">
        <f>IF(Table1[[#This Row],[Status]]="Churned",1,0)</f>
        <v>0</v>
      </c>
      <c r="K262">
        <f t="shared" si="20"/>
        <v>9.0909090909090912E-2</v>
      </c>
      <c r="L262">
        <f t="shared" si="21"/>
        <v>0.42000000000000004</v>
      </c>
      <c r="M262" s="5">
        <f t="shared" si="22"/>
        <v>0.15789473684210525</v>
      </c>
      <c r="N262" s="5">
        <f t="shared" si="23"/>
        <v>0.22818181818181821</v>
      </c>
      <c r="O262" s="5" t="str">
        <f t="shared" si="24"/>
        <v>At-Risk</v>
      </c>
      <c r="P262" s="5">
        <f>IF(Table1[[#This Row],[Health Status]]="Churned",0,1)</f>
        <v>1</v>
      </c>
      <c r="Q262" s="5" t="str">
        <f>IF(Table1[[#This Row],[Subscription_End_Date]]="", "Active", "Churned")</f>
        <v>Active</v>
      </c>
      <c r="R262" s="5">
        <f ca="1">IF(Table1[[#This Row],[Subscription_End_Date]]="", DATEDIF(Table1[[#This Row],[Subscription_Start_Date]], TODAY(), "m"),
DATEDIF(Table1[[#This Row],[Subscription_Start_Date]], Table1[[#This Row],[Subscription_End_Date]], "m"))</f>
        <v>23</v>
      </c>
      <c r="S262" s="2">
        <f ca="1">Table1[[#This Row],[Monthly_Spend]] * Table1[[#This Row],[Customer Lifetime(Months)]]</f>
        <v>460000</v>
      </c>
    </row>
    <row r="263" spans="1:19" x14ac:dyDescent="0.35">
      <c r="A263" t="s">
        <v>281</v>
      </c>
      <c r="B263" t="s">
        <v>10</v>
      </c>
      <c r="C263" s="1">
        <v>45377</v>
      </c>
      <c r="E263" t="s">
        <v>11</v>
      </c>
      <c r="F263" s="2">
        <v>10000</v>
      </c>
      <c r="G263">
        <v>21</v>
      </c>
      <c r="H263">
        <v>78</v>
      </c>
      <c r="I263" t="s">
        <v>17</v>
      </c>
      <c r="J263">
        <f>IF(Table1[[#This Row],[Status]]="Churned",1,0)</f>
        <v>0</v>
      </c>
      <c r="K263">
        <f t="shared" si="20"/>
        <v>0.77777777777777779</v>
      </c>
      <c r="L263">
        <f t="shared" si="21"/>
        <v>0.58000000000000007</v>
      </c>
      <c r="M263" s="5">
        <f t="shared" si="22"/>
        <v>5.2631578947368418E-2</v>
      </c>
      <c r="N263" s="5">
        <f t="shared" si="23"/>
        <v>0.44555555555555559</v>
      </c>
      <c r="O263" s="5" t="str">
        <f t="shared" si="24"/>
        <v>At-Risk</v>
      </c>
      <c r="P263" s="5">
        <f>IF(Table1[[#This Row],[Health Status]]="Churned",0,1)</f>
        <v>1</v>
      </c>
      <c r="Q263" s="5" t="str">
        <f>IF(Table1[[#This Row],[Subscription_End_Date]]="", "Active", "Churned")</f>
        <v>Active</v>
      </c>
      <c r="R263" s="5">
        <f ca="1">IF(Table1[[#This Row],[Subscription_End_Date]]="", DATEDIF(Table1[[#This Row],[Subscription_Start_Date]], TODAY(), "m"),
DATEDIF(Table1[[#This Row],[Subscription_Start_Date]], Table1[[#This Row],[Subscription_End_Date]], "m"))</f>
        <v>19</v>
      </c>
      <c r="S263" s="2">
        <f ca="1">Table1[[#This Row],[Monthly_Spend]] * Table1[[#This Row],[Customer Lifetime(Months)]]</f>
        <v>190000</v>
      </c>
    </row>
    <row r="264" spans="1:19" x14ac:dyDescent="0.35">
      <c r="A264" t="s">
        <v>282</v>
      </c>
      <c r="B264" t="s">
        <v>27</v>
      </c>
      <c r="C264" s="1">
        <v>45253</v>
      </c>
      <c r="E264" t="s">
        <v>23</v>
      </c>
      <c r="F264" s="2">
        <v>50000</v>
      </c>
      <c r="G264">
        <v>8</v>
      </c>
      <c r="H264">
        <v>98</v>
      </c>
      <c r="I264" t="s">
        <v>17</v>
      </c>
      <c r="J264">
        <f>IF(Table1[[#This Row],[Status]]="Churned",1,0)</f>
        <v>0</v>
      </c>
      <c r="K264">
        <f t="shared" si="20"/>
        <v>0.97979797979797978</v>
      </c>
      <c r="L264">
        <f t="shared" si="21"/>
        <v>0.84</v>
      </c>
      <c r="M264" s="5">
        <f t="shared" si="22"/>
        <v>0.47368421052631576</v>
      </c>
      <c r="N264" s="5">
        <f t="shared" si="23"/>
        <v>0.61595959595959593</v>
      </c>
      <c r="O264" s="5" t="str">
        <f t="shared" si="24"/>
        <v>At-Risk</v>
      </c>
      <c r="P264" s="5">
        <f>IF(Table1[[#This Row],[Health Status]]="Churned",0,1)</f>
        <v>1</v>
      </c>
      <c r="Q264" s="5" t="str">
        <f>IF(Table1[[#This Row],[Subscription_End_Date]]="", "Active", "Churned")</f>
        <v>Active</v>
      </c>
      <c r="R264" s="5">
        <f ca="1">IF(Table1[[#This Row],[Subscription_End_Date]]="", DATEDIF(Table1[[#This Row],[Subscription_Start_Date]], TODAY(), "m"),
DATEDIF(Table1[[#This Row],[Subscription_Start_Date]], Table1[[#This Row],[Subscription_End_Date]], "m"))</f>
        <v>23</v>
      </c>
      <c r="S264" s="2">
        <f ca="1">Table1[[#This Row],[Monthly_Spend]] * Table1[[#This Row],[Customer Lifetime(Months)]]</f>
        <v>1150000</v>
      </c>
    </row>
    <row r="265" spans="1:19" x14ac:dyDescent="0.35">
      <c r="A265" t="s">
        <v>283</v>
      </c>
      <c r="B265" t="s">
        <v>19</v>
      </c>
      <c r="C265" s="1">
        <v>45502</v>
      </c>
      <c r="D265" s="1">
        <v>45779</v>
      </c>
      <c r="E265" t="s">
        <v>16</v>
      </c>
      <c r="F265" s="2">
        <v>50000</v>
      </c>
      <c r="G265">
        <v>7</v>
      </c>
      <c r="H265">
        <v>35</v>
      </c>
      <c r="I265" t="s">
        <v>28</v>
      </c>
      <c r="J265">
        <f>IF(Table1[[#This Row],[Status]]="Churned",1,0)</f>
        <v>1</v>
      </c>
      <c r="K265">
        <f t="shared" si="20"/>
        <v>0.34343434343434343</v>
      </c>
      <c r="L265">
        <f t="shared" si="21"/>
        <v>0.86</v>
      </c>
      <c r="M265" s="5">
        <f t="shared" si="22"/>
        <v>0.47368421052631576</v>
      </c>
      <c r="N265" s="5">
        <f t="shared" si="23"/>
        <v>0.79868686868686867</v>
      </c>
      <c r="O265" s="5" t="str">
        <f t="shared" si="24"/>
        <v>Churned</v>
      </c>
      <c r="P265" s="5">
        <f>IF(Table1[[#This Row],[Health Status]]="Churned",0,1)</f>
        <v>0</v>
      </c>
      <c r="Q265" s="5" t="str">
        <f>IF(Table1[[#This Row],[Subscription_End_Date]]="", "Active", "Churned")</f>
        <v>Churned</v>
      </c>
      <c r="R265" s="5">
        <f ca="1">IF(Table1[[#This Row],[Subscription_End_Date]]="", DATEDIF(Table1[[#This Row],[Subscription_Start_Date]], TODAY(), "m"),
DATEDIF(Table1[[#This Row],[Subscription_Start_Date]], Table1[[#This Row],[Subscription_End_Date]], "m"))</f>
        <v>9</v>
      </c>
      <c r="S265" s="2">
        <f ca="1">Table1[[#This Row],[Monthly_Spend]] * Table1[[#This Row],[Customer Lifetime(Months)]]</f>
        <v>450000</v>
      </c>
    </row>
    <row r="266" spans="1:19" x14ac:dyDescent="0.35">
      <c r="A266" t="s">
        <v>284</v>
      </c>
      <c r="B266" t="s">
        <v>31</v>
      </c>
      <c r="C266" s="1">
        <v>45071</v>
      </c>
      <c r="E266" t="s">
        <v>11</v>
      </c>
      <c r="F266" s="2">
        <v>50000</v>
      </c>
      <c r="G266">
        <v>39</v>
      </c>
      <c r="H266">
        <v>54</v>
      </c>
      <c r="I266" t="s">
        <v>17</v>
      </c>
      <c r="J266">
        <f>IF(Table1[[#This Row],[Status]]="Churned",1,0)</f>
        <v>0</v>
      </c>
      <c r="K266">
        <f t="shared" si="20"/>
        <v>0.53535353535353536</v>
      </c>
      <c r="L266">
        <f t="shared" si="21"/>
        <v>0.21999999999999997</v>
      </c>
      <c r="M266" s="5">
        <f t="shared" si="22"/>
        <v>0.47368421052631576</v>
      </c>
      <c r="N266" s="5">
        <f t="shared" si="23"/>
        <v>0.21707070707070708</v>
      </c>
      <c r="O266" s="5" t="str">
        <f t="shared" si="24"/>
        <v>At-Risk</v>
      </c>
      <c r="P266" s="5">
        <f>IF(Table1[[#This Row],[Health Status]]="Churned",0,1)</f>
        <v>1</v>
      </c>
      <c r="Q266" s="5" t="str">
        <f>IF(Table1[[#This Row],[Subscription_End_Date]]="", "Active", "Churned")</f>
        <v>Active</v>
      </c>
      <c r="R266" s="5">
        <f ca="1">IF(Table1[[#This Row],[Subscription_End_Date]]="", DATEDIF(Table1[[#This Row],[Subscription_Start_Date]], TODAY(), "m"),
DATEDIF(Table1[[#This Row],[Subscription_Start_Date]], Table1[[#This Row],[Subscription_End_Date]], "m"))</f>
        <v>29</v>
      </c>
      <c r="S266" s="2">
        <f ca="1">Table1[[#This Row],[Monthly_Spend]] * Table1[[#This Row],[Customer Lifetime(Months)]]</f>
        <v>1450000</v>
      </c>
    </row>
    <row r="267" spans="1:19" x14ac:dyDescent="0.35">
      <c r="A267" t="s">
        <v>285</v>
      </c>
      <c r="B267" t="s">
        <v>27</v>
      </c>
      <c r="C267" s="1">
        <v>45262</v>
      </c>
      <c r="E267" t="s">
        <v>11</v>
      </c>
      <c r="F267" s="2">
        <v>10000</v>
      </c>
      <c r="G267">
        <v>48</v>
      </c>
      <c r="H267">
        <v>21</v>
      </c>
      <c r="I267" t="s">
        <v>17</v>
      </c>
      <c r="J267">
        <f>IF(Table1[[#This Row],[Status]]="Churned",1,0)</f>
        <v>0</v>
      </c>
      <c r="K267">
        <f t="shared" si="20"/>
        <v>0.20202020202020202</v>
      </c>
      <c r="L267">
        <f t="shared" si="21"/>
        <v>4.0000000000000036E-2</v>
      </c>
      <c r="M267" s="5">
        <f t="shared" si="22"/>
        <v>5.2631578947368418E-2</v>
      </c>
      <c r="N267" s="5">
        <f t="shared" si="23"/>
        <v>6.0404040404040425E-2</v>
      </c>
      <c r="O267" s="5" t="str">
        <f t="shared" si="24"/>
        <v>At-Risk</v>
      </c>
      <c r="P267" s="5">
        <f>IF(Table1[[#This Row],[Health Status]]="Churned",0,1)</f>
        <v>1</v>
      </c>
      <c r="Q267" s="5" t="str">
        <f>IF(Table1[[#This Row],[Subscription_End_Date]]="", "Active", "Churned")</f>
        <v>Active</v>
      </c>
      <c r="R267" s="5">
        <f ca="1">IF(Table1[[#This Row],[Subscription_End_Date]]="", DATEDIF(Table1[[#This Row],[Subscription_Start_Date]], TODAY(), "m"),
DATEDIF(Table1[[#This Row],[Subscription_Start_Date]], Table1[[#This Row],[Subscription_End_Date]], "m"))</f>
        <v>22</v>
      </c>
      <c r="S267" s="2">
        <f ca="1">Table1[[#This Row],[Monthly_Spend]] * Table1[[#This Row],[Customer Lifetime(Months)]]</f>
        <v>220000</v>
      </c>
    </row>
    <row r="268" spans="1:19" x14ac:dyDescent="0.35">
      <c r="A268" t="s">
        <v>286</v>
      </c>
      <c r="B268" t="s">
        <v>31</v>
      </c>
      <c r="C268" s="1">
        <v>45405</v>
      </c>
      <c r="E268" t="s">
        <v>16</v>
      </c>
      <c r="F268" s="2">
        <v>50000</v>
      </c>
      <c r="G268">
        <v>1</v>
      </c>
      <c r="H268">
        <v>12</v>
      </c>
      <c r="I268" t="s">
        <v>17</v>
      </c>
      <c r="J268">
        <f>IF(Table1[[#This Row],[Status]]="Churned",1,0)</f>
        <v>0</v>
      </c>
      <c r="K268">
        <f t="shared" si="20"/>
        <v>0.1111111111111111</v>
      </c>
      <c r="L268">
        <f t="shared" si="21"/>
        <v>0.98</v>
      </c>
      <c r="M268" s="5">
        <f t="shared" si="22"/>
        <v>0.47368421052631576</v>
      </c>
      <c r="N268" s="5">
        <f t="shared" si="23"/>
        <v>0.51222222222222225</v>
      </c>
      <c r="O268" s="5" t="str">
        <f t="shared" si="24"/>
        <v>At-Risk</v>
      </c>
      <c r="P268" s="5">
        <f>IF(Table1[[#This Row],[Health Status]]="Churned",0,1)</f>
        <v>1</v>
      </c>
      <c r="Q268" s="5" t="str">
        <f>IF(Table1[[#This Row],[Subscription_End_Date]]="", "Active", "Churned")</f>
        <v>Active</v>
      </c>
      <c r="R268" s="5">
        <f ca="1">IF(Table1[[#This Row],[Subscription_End_Date]]="", DATEDIF(Table1[[#This Row],[Subscription_Start_Date]], TODAY(), "m"),
DATEDIF(Table1[[#This Row],[Subscription_Start_Date]], Table1[[#This Row],[Subscription_End_Date]], "m"))</f>
        <v>18</v>
      </c>
      <c r="S268" s="2">
        <f ca="1">Table1[[#This Row],[Monthly_Spend]] * Table1[[#This Row],[Customer Lifetime(Months)]]</f>
        <v>900000</v>
      </c>
    </row>
    <row r="269" spans="1:19" x14ac:dyDescent="0.35">
      <c r="A269" t="s">
        <v>287</v>
      </c>
      <c r="B269" t="s">
        <v>31</v>
      </c>
      <c r="C269" s="1">
        <v>45395</v>
      </c>
      <c r="E269" t="s">
        <v>16</v>
      </c>
      <c r="F269" s="2">
        <v>100000</v>
      </c>
      <c r="G269">
        <v>22</v>
      </c>
      <c r="H269">
        <v>7</v>
      </c>
      <c r="I269" t="s">
        <v>12</v>
      </c>
      <c r="J269">
        <f>IF(Table1[[#This Row],[Status]]="Churned",1,0)</f>
        <v>0</v>
      </c>
      <c r="K269">
        <f t="shared" si="20"/>
        <v>6.0606060606060608E-2</v>
      </c>
      <c r="L269">
        <f t="shared" si="21"/>
        <v>0.56000000000000005</v>
      </c>
      <c r="M269" s="5">
        <f t="shared" si="22"/>
        <v>1</v>
      </c>
      <c r="N269" s="5">
        <f t="shared" si="23"/>
        <v>0.29212121212121217</v>
      </c>
      <c r="O269" s="5" t="str">
        <f t="shared" si="24"/>
        <v>Healthy</v>
      </c>
      <c r="P269" s="5">
        <f>IF(Table1[[#This Row],[Health Status]]="Churned",0,1)</f>
        <v>1</v>
      </c>
      <c r="Q269" s="5" t="str">
        <f>IF(Table1[[#This Row],[Subscription_End_Date]]="", "Active", "Churned")</f>
        <v>Active</v>
      </c>
      <c r="R269" s="5">
        <f ca="1">IF(Table1[[#This Row],[Subscription_End_Date]]="", DATEDIF(Table1[[#This Row],[Subscription_Start_Date]], TODAY(), "m"),
DATEDIF(Table1[[#This Row],[Subscription_Start_Date]], Table1[[#This Row],[Subscription_End_Date]], "m"))</f>
        <v>18</v>
      </c>
      <c r="S269" s="2">
        <f ca="1">Table1[[#This Row],[Monthly_Spend]] * Table1[[#This Row],[Customer Lifetime(Months)]]</f>
        <v>1800000</v>
      </c>
    </row>
    <row r="270" spans="1:19" x14ac:dyDescent="0.35">
      <c r="A270" t="s">
        <v>288</v>
      </c>
      <c r="B270" t="s">
        <v>10</v>
      </c>
      <c r="C270" s="1">
        <v>45433</v>
      </c>
      <c r="E270" t="s">
        <v>23</v>
      </c>
      <c r="F270" s="2">
        <v>20000</v>
      </c>
      <c r="G270">
        <v>34</v>
      </c>
      <c r="H270">
        <v>2</v>
      </c>
      <c r="I270" t="s">
        <v>17</v>
      </c>
      <c r="J270">
        <f>IF(Table1[[#This Row],[Status]]="Churned",1,0)</f>
        <v>0</v>
      </c>
      <c r="K270">
        <f t="shared" si="20"/>
        <v>1.0101010101010102E-2</v>
      </c>
      <c r="L270">
        <f t="shared" si="21"/>
        <v>0.31999999999999995</v>
      </c>
      <c r="M270" s="5">
        <f t="shared" si="22"/>
        <v>0.15789473684210525</v>
      </c>
      <c r="N270" s="5">
        <f t="shared" si="23"/>
        <v>0.16202020202020201</v>
      </c>
      <c r="O270" s="5" t="str">
        <f t="shared" si="24"/>
        <v>At-Risk</v>
      </c>
      <c r="P270" s="5">
        <f>IF(Table1[[#This Row],[Health Status]]="Churned",0,1)</f>
        <v>1</v>
      </c>
      <c r="Q270" s="5" t="str">
        <f>IF(Table1[[#This Row],[Subscription_End_Date]]="", "Active", "Churned")</f>
        <v>Active</v>
      </c>
      <c r="R270" s="5">
        <f ca="1">IF(Table1[[#This Row],[Subscription_End_Date]]="", DATEDIF(Table1[[#This Row],[Subscription_Start_Date]], TODAY(), "m"),
DATEDIF(Table1[[#This Row],[Subscription_Start_Date]], Table1[[#This Row],[Subscription_End_Date]], "m"))</f>
        <v>17</v>
      </c>
      <c r="S270" s="2">
        <f ca="1">Table1[[#This Row],[Monthly_Spend]] * Table1[[#This Row],[Customer Lifetime(Months)]]</f>
        <v>340000</v>
      </c>
    </row>
    <row r="271" spans="1:19" x14ac:dyDescent="0.35">
      <c r="A271" t="s">
        <v>289</v>
      </c>
      <c r="B271" t="s">
        <v>10</v>
      </c>
      <c r="C271" s="1">
        <v>45064</v>
      </c>
      <c r="E271" t="s">
        <v>23</v>
      </c>
      <c r="F271" s="2">
        <v>50000</v>
      </c>
      <c r="G271">
        <v>23</v>
      </c>
      <c r="H271">
        <v>6</v>
      </c>
      <c r="I271" t="s">
        <v>17</v>
      </c>
      <c r="J271">
        <f>IF(Table1[[#This Row],[Status]]="Churned",1,0)</f>
        <v>0</v>
      </c>
      <c r="K271">
        <f t="shared" si="20"/>
        <v>5.0505050505050504E-2</v>
      </c>
      <c r="L271">
        <f t="shared" si="21"/>
        <v>0.54</v>
      </c>
      <c r="M271" s="5">
        <f t="shared" si="22"/>
        <v>0.47368421052631576</v>
      </c>
      <c r="N271" s="5">
        <f t="shared" si="23"/>
        <v>0.28010101010101013</v>
      </c>
      <c r="O271" s="5" t="str">
        <f t="shared" si="24"/>
        <v>At-Risk</v>
      </c>
      <c r="P271" s="5">
        <f>IF(Table1[[#This Row],[Health Status]]="Churned",0,1)</f>
        <v>1</v>
      </c>
      <c r="Q271" s="5" t="str">
        <f>IF(Table1[[#This Row],[Subscription_End_Date]]="", "Active", "Churned")</f>
        <v>Active</v>
      </c>
      <c r="R271" s="5">
        <f ca="1">IF(Table1[[#This Row],[Subscription_End_Date]]="", DATEDIF(Table1[[#This Row],[Subscription_Start_Date]], TODAY(), "m"),
DATEDIF(Table1[[#This Row],[Subscription_Start_Date]], Table1[[#This Row],[Subscription_End_Date]], "m"))</f>
        <v>29</v>
      </c>
      <c r="S271" s="2">
        <f ca="1">Table1[[#This Row],[Monthly_Spend]] * Table1[[#This Row],[Customer Lifetime(Months)]]</f>
        <v>1450000</v>
      </c>
    </row>
    <row r="272" spans="1:19" x14ac:dyDescent="0.35">
      <c r="A272" t="s">
        <v>290</v>
      </c>
      <c r="B272" t="s">
        <v>31</v>
      </c>
      <c r="C272" s="1">
        <v>45510</v>
      </c>
      <c r="E272" t="s">
        <v>11</v>
      </c>
      <c r="F272" s="2">
        <v>100000</v>
      </c>
      <c r="G272">
        <v>18</v>
      </c>
      <c r="H272">
        <v>10</v>
      </c>
      <c r="I272" t="s">
        <v>17</v>
      </c>
      <c r="J272">
        <f>IF(Table1[[#This Row],[Status]]="Churned",1,0)</f>
        <v>0</v>
      </c>
      <c r="K272">
        <f t="shared" si="20"/>
        <v>9.0909090909090912E-2</v>
      </c>
      <c r="L272">
        <f t="shared" si="21"/>
        <v>0.64</v>
      </c>
      <c r="M272" s="5">
        <f t="shared" si="22"/>
        <v>1</v>
      </c>
      <c r="N272" s="5">
        <f t="shared" si="23"/>
        <v>0.33818181818181819</v>
      </c>
      <c r="O272" s="5" t="str">
        <f t="shared" si="24"/>
        <v>Healthy</v>
      </c>
      <c r="P272" s="5">
        <f>IF(Table1[[#This Row],[Health Status]]="Churned",0,1)</f>
        <v>1</v>
      </c>
      <c r="Q272" s="5" t="str">
        <f>IF(Table1[[#This Row],[Subscription_End_Date]]="", "Active", "Churned")</f>
        <v>Active</v>
      </c>
      <c r="R272" s="5">
        <f ca="1">IF(Table1[[#This Row],[Subscription_End_Date]]="", DATEDIF(Table1[[#This Row],[Subscription_Start_Date]], TODAY(), "m"),
DATEDIF(Table1[[#This Row],[Subscription_Start_Date]], Table1[[#This Row],[Subscription_End_Date]], "m"))</f>
        <v>14</v>
      </c>
      <c r="S272" s="2">
        <f ca="1">Table1[[#This Row],[Monthly_Spend]] * Table1[[#This Row],[Customer Lifetime(Months)]]</f>
        <v>1400000</v>
      </c>
    </row>
    <row r="273" spans="1:19" x14ac:dyDescent="0.35">
      <c r="A273" t="s">
        <v>291</v>
      </c>
      <c r="B273" t="s">
        <v>31</v>
      </c>
      <c r="C273" s="1">
        <v>45388</v>
      </c>
      <c r="E273" t="s">
        <v>16</v>
      </c>
      <c r="F273" s="2">
        <v>100000</v>
      </c>
      <c r="G273">
        <v>43</v>
      </c>
      <c r="H273">
        <v>79</v>
      </c>
      <c r="I273" t="s">
        <v>17</v>
      </c>
      <c r="J273">
        <f>IF(Table1[[#This Row],[Status]]="Churned",1,0)</f>
        <v>0</v>
      </c>
      <c r="K273">
        <f t="shared" si="20"/>
        <v>0.78787878787878785</v>
      </c>
      <c r="L273">
        <f t="shared" si="21"/>
        <v>0.14000000000000001</v>
      </c>
      <c r="M273" s="5">
        <f t="shared" si="22"/>
        <v>1</v>
      </c>
      <c r="N273" s="5">
        <f t="shared" si="23"/>
        <v>0.2275757575757576</v>
      </c>
      <c r="O273" s="5" t="str">
        <f t="shared" si="24"/>
        <v>Healthy</v>
      </c>
      <c r="P273" s="5">
        <f>IF(Table1[[#This Row],[Health Status]]="Churned",0,1)</f>
        <v>1</v>
      </c>
      <c r="Q273" s="5" t="str">
        <f>IF(Table1[[#This Row],[Subscription_End_Date]]="", "Active", "Churned")</f>
        <v>Active</v>
      </c>
      <c r="R273" s="5">
        <f ca="1">IF(Table1[[#This Row],[Subscription_End_Date]]="", DATEDIF(Table1[[#This Row],[Subscription_Start_Date]], TODAY(), "m"),
DATEDIF(Table1[[#This Row],[Subscription_Start_Date]], Table1[[#This Row],[Subscription_End_Date]], "m"))</f>
        <v>18</v>
      </c>
      <c r="S273" s="2">
        <f ca="1">Table1[[#This Row],[Monthly_Spend]] * Table1[[#This Row],[Customer Lifetime(Months)]]</f>
        <v>1800000</v>
      </c>
    </row>
    <row r="274" spans="1:19" x14ac:dyDescent="0.35">
      <c r="A274" t="s">
        <v>292</v>
      </c>
      <c r="B274" t="s">
        <v>10</v>
      </c>
      <c r="C274" s="1">
        <v>45026</v>
      </c>
      <c r="E274" t="s">
        <v>11</v>
      </c>
      <c r="F274" s="2">
        <v>100000</v>
      </c>
      <c r="G274">
        <v>23</v>
      </c>
      <c r="H274">
        <v>97</v>
      </c>
      <c r="I274" t="s">
        <v>17</v>
      </c>
      <c r="J274">
        <f>IF(Table1[[#This Row],[Status]]="Churned",1,0)</f>
        <v>0</v>
      </c>
      <c r="K274">
        <f t="shared" si="20"/>
        <v>0.96969696969696972</v>
      </c>
      <c r="L274">
        <f t="shared" si="21"/>
        <v>0.54</v>
      </c>
      <c r="M274" s="5">
        <f t="shared" si="22"/>
        <v>1</v>
      </c>
      <c r="N274" s="5">
        <f t="shared" si="23"/>
        <v>0.46393939393939398</v>
      </c>
      <c r="O274" s="5" t="str">
        <f t="shared" si="24"/>
        <v>Healthy</v>
      </c>
      <c r="P274" s="5">
        <f>IF(Table1[[#This Row],[Health Status]]="Churned",0,1)</f>
        <v>1</v>
      </c>
      <c r="Q274" s="5" t="str">
        <f>IF(Table1[[#This Row],[Subscription_End_Date]]="", "Active", "Churned")</f>
        <v>Active</v>
      </c>
      <c r="R274" s="5">
        <f ca="1">IF(Table1[[#This Row],[Subscription_End_Date]]="", DATEDIF(Table1[[#This Row],[Subscription_Start_Date]], TODAY(), "m"),
DATEDIF(Table1[[#This Row],[Subscription_Start_Date]], Table1[[#This Row],[Subscription_End_Date]], "m"))</f>
        <v>30</v>
      </c>
      <c r="S274" s="2">
        <f ca="1">Table1[[#This Row],[Monthly_Spend]] * Table1[[#This Row],[Customer Lifetime(Months)]]</f>
        <v>3000000</v>
      </c>
    </row>
    <row r="275" spans="1:19" x14ac:dyDescent="0.35">
      <c r="A275" t="s">
        <v>293</v>
      </c>
      <c r="B275" t="s">
        <v>27</v>
      </c>
      <c r="C275" s="1">
        <v>45543</v>
      </c>
      <c r="E275" t="s">
        <v>11</v>
      </c>
      <c r="F275" s="2">
        <v>5000</v>
      </c>
      <c r="G275">
        <v>2</v>
      </c>
      <c r="H275">
        <v>18</v>
      </c>
      <c r="I275" t="s">
        <v>12</v>
      </c>
      <c r="J275">
        <f>IF(Table1[[#This Row],[Status]]="Churned",1,0)</f>
        <v>0</v>
      </c>
      <c r="K275">
        <f t="shared" si="20"/>
        <v>0.17171717171717171</v>
      </c>
      <c r="L275">
        <f t="shared" si="21"/>
        <v>0.96</v>
      </c>
      <c r="M275" s="5">
        <f t="shared" si="22"/>
        <v>0</v>
      </c>
      <c r="N275" s="5">
        <f t="shared" si="23"/>
        <v>0.51434343434343432</v>
      </c>
      <c r="O275" s="5" t="str">
        <f t="shared" si="24"/>
        <v>At-Risk</v>
      </c>
      <c r="P275" s="5">
        <f>IF(Table1[[#This Row],[Health Status]]="Churned",0,1)</f>
        <v>1</v>
      </c>
      <c r="Q275" s="5" t="str">
        <f>IF(Table1[[#This Row],[Subscription_End_Date]]="", "Active", "Churned")</f>
        <v>Active</v>
      </c>
      <c r="R275" s="5">
        <f ca="1">IF(Table1[[#This Row],[Subscription_End_Date]]="", DATEDIF(Table1[[#This Row],[Subscription_Start_Date]], TODAY(), "m"),
DATEDIF(Table1[[#This Row],[Subscription_Start_Date]], Table1[[#This Row],[Subscription_End_Date]], "m"))</f>
        <v>13</v>
      </c>
      <c r="S275" s="2">
        <f ca="1">Table1[[#This Row],[Monthly_Spend]] * Table1[[#This Row],[Customer Lifetime(Months)]]</f>
        <v>65000</v>
      </c>
    </row>
    <row r="276" spans="1:19" x14ac:dyDescent="0.35">
      <c r="A276" t="s">
        <v>294</v>
      </c>
      <c r="B276" t="s">
        <v>19</v>
      </c>
      <c r="C276" s="1">
        <v>45458</v>
      </c>
      <c r="E276" t="s">
        <v>23</v>
      </c>
      <c r="F276" s="2">
        <v>20000</v>
      </c>
      <c r="G276">
        <v>39</v>
      </c>
      <c r="H276">
        <v>41</v>
      </c>
      <c r="I276" t="s">
        <v>12</v>
      </c>
      <c r="J276">
        <f>IF(Table1[[#This Row],[Status]]="Churned",1,0)</f>
        <v>0</v>
      </c>
      <c r="K276">
        <f t="shared" si="20"/>
        <v>0.40404040404040403</v>
      </c>
      <c r="L276">
        <f t="shared" si="21"/>
        <v>0.21999999999999997</v>
      </c>
      <c r="M276" s="5">
        <f t="shared" si="22"/>
        <v>0.15789473684210525</v>
      </c>
      <c r="N276" s="5">
        <f t="shared" si="23"/>
        <v>0.19080808080808082</v>
      </c>
      <c r="O276" s="5" t="str">
        <f t="shared" si="24"/>
        <v>At-Risk</v>
      </c>
      <c r="P276" s="5">
        <f>IF(Table1[[#This Row],[Health Status]]="Churned",0,1)</f>
        <v>1</v>
      </c>
      <c r="Q276" s="5" t="str">
        <f>IF(Table1[[#This Row],[Subscription_End_Date]]="", "Active", "Churned")</f>
        <v>Active</v>
      </c>
      <c r="R276" s="5">
        <f ca="1">IF(Table1[[#This Row],[Subscription_End_Date]]="", DATEDIF(Table1[[#This Row],[Subscription_Start_Date]], TODAY(), "m"),
DATEDIF(Table1[[#This Row],[Subscription_Start_Date]], Table1[[#This Row],[Subscription_End_Date]], "m"))</f>
        <v>16</v>
      </c>
      <c r="S276" s="2">
        <f ca="1">Table1[[#This Row],[Monthly_Spend]] * Table1[[#This Row],[Customer Lifetime(Months)]]</f>
        <v>320000</v>
      </c>
    </row>
    <row r="277" spans="1:19" x14ac:dyDescent="0.35">
      <c r="A277" t="s">
        <v>295</v>
      </c>
      <c r="B277" t="s">
        <v>27</v>
      </c>
      <c r="C277" s="1">
        <v>45558</v>
      </c>
      <c r="E277" t="s">
        <v>23</v>
      </c>
      <c r="F277" s="2">
        <v>100000</v>
      </c>
      <c r="G277">
        <v>21</v>
      </c>
      <c r="H277">
        <v>65</v>
      </c>
      <c r="I277" t="s">
        <v>17</v>
      </c>
      <c r="J277">
        <f>IF(Table1[[#This Row],[Status]]="Churned",1,0)</f>
        <v>0</v>
      </c>
      <c r="K277">
        <f t="shared" si="20"/>
        <v>0.64646464646464652</v>
      </c>
      <c r="L277">
        <f t="shared" si="21"/>
        <v>0.58000000000000007</v>
      </c>
      <c r="M277" s="5">
        <f t="shared" si="22"/>
        <v>1</v>
      </c>
      <c r="N277" s="5">
        <f t="shared" si="23"/>
        <v>0.41929292929292938</v>
      </c>
      <c r="O277" s="5" t="str">
        <f t="shared" si="24"/>
        <v>Healthy</v>
      </c>
      <c r="P277" s="5">
        <f>IF(Table1[[#This Row],[Health Status]]="Churned",0,1)</f>
        <v>1</v>
      </c>
      <c r="Q277" s="5" t="str">
        <f>IF(Table1[[#This Row],[Subscription_End_Date]]="", "Active", "Churned")</f>
        <v>Active</v>
      </c>
      <c r="R277" s="5">
        <f ca="1">IF(Table1[[#This Row],[Subscription_End_Date]]="", DATEDIF(Table1[[#This Row],[Subscription_Start_Date]], TODAY(), "m"),
DATEDIF(Table1[[#This Row],[Subscription_Start_Date]], Table1[[#This Row],[Subscription_End_Date]], "m"))</f>
        <v>13</v>
      </c>
      <c r="S277" s="2">
        <f ca="1">Table1[[#This Row],[Monthly_Spend]] * Table1[[#This Row],[Customer Lifetime(Months)]]</f>
        <v>1300000</v>
      </c>
    </row>
    <row r="278" spans="1:19" x14ac:dyDescent="0.35">
      <c r="A278" t="s">
        <v>296</v>
      </c>
      <c r="B278" t="s">
        <v>14</v>
      </c>
      <c r="C278" s="1">
        <v>45428</v>
      </c>
      <c r="E278" t="s">
        <v>16</v>
      </c>
      <c r="F278" s="2">
        <v>50000</v>
      </c>
      <c r="G278">
        <v>1</v>
      </c>
      <c r="H278">
        <v>48</v>
      </c>
      <c r="I278" t="s">
        <v>17</v>
      </c>
      <c r="J278">
        <f>IF(Table1[[#This Row],[Status]]="Churned",1,0)</f>
        <v>0</v>
      </c>
      <c r="K278">
        <f t="shared" si="20"/>
        <v>0.47474747474747475</v>
      </c>
      <c r="L278">
        <f t="shared" si="21"/>
        <v>0.98</v>
      </c>
      <c r="M278" s="5">
        <f t="shared" si="22"/>
        <v>0.47368421052631576</v>
      </c>
      <c r="N278" s="5">
        <f t="shared" si="23"/>
        <v>0.58494949494949489</v>
      </c>
      <c r="O278" s="5" t="str">
        <f t="shared" si="24"/>
        <v>At-Risk</v>
      </c>
      <c r="P278" s="5">
        <f>IF(Table1[[#This Row],[Health Status]]="Churned",0,1)</f>
        <v>1</v>
      </c>
      <c r="Q278" s="5" t="str">
        <f>IF(Table1[[#This Row],[Subscription_End_Date]]="", "Active", "Churned")</f>
        <v>Active</v>
      </c>
      <c r="R278" s="5">
        <f ca="1">IF(Table1[[#This Row],[Subscription_End_Date]]="", DATEDIF(Table1[[#This Row],[Subscription_Start_Date]], TODAY(), "m"),
DATEDIF(Table1[[#This Row],[Subscription_Start_Date]], Table1[[#This Row],[Subscription_End_Date]], "m"))</f>
        <v>17</v>
      </c>
      <c r="S278" s="2">
        <f ca="1">Table1[[#This Row],[Monthly_Spend]] * Table1[[#This Row],[Customer Lifetime(Months)]]</f>
        <v>850000</v>
      </c>
    </row>
    <row r="279" spans="1:19" x14ac:dyDescent="0.35">
      <c r="A279" t="s">
        <v>297</v>
      </c>
      <c r="B279" t="s">
        <v>19</v>
      </c>
      <c r="C279" s="1">
        <v>45039</v>
      </c>
      <c r="E279" t="s">
        <v>16</v>
      </c>
      <c r="F279" s="2">
        <v>5000</v>
      </c>
      <c r="G279">
        <v>38</v>
      </c>
      <c r="H279">
        <v>61</v>
      </c>
      <c r="I279" t="s">
        <v>17</v>
      </c>
      <c r="J279">
        <f>IF(Table1[[#This Row],[Status]]="Churned",1,0)</f>
        <v>0</v>
      </c>
      <c r="K279">
        <f t="shared" si="20"/>
        <v>0.60606060606060608</v>
      </c>
      <c r="L279">
        <f t="shared" si="21"/>
        <v>0.24</v>
      </c>
      <c r="M279" s="5">
        <f t="shared" si="22"/>
        <v>0</v>
      </c>
      <c r="N279" s="5">
        <f t="shared" si="23"/>
        <v>0.24121212121212121</v>
      </c>
      <c r="O279" s="5" t="str">
        <f t="shared" si="24"/>
        <v>At-Risk</v>
      </c>
      <c r="P279" s="5">
        <f>IF(Table1[[#This Row],[Health Status]]="Churned",0,1)</f>
        <v>1</v>
      </c>
      <c r="Q279" s="5" t="str">
        <f>IF(Table1[[#This Row],[Subscription_End_Date]]="", "Active", "Churned")</f>
        <v>Active</v>
      </c>
      <c r="R279" s="5">
        <f ca="1">IF(Table1[[#This Row],[Subscription_End_Date]]="", DATEDIF(Table1[[#This Row],[Subscription_Start_Date]], TODAY(), "m"),
DATEDIF(Table1[[#This Row],[Subscription_Start_Date]], Table1[[#This Row],[Subscription_End_Date]], "m"))</f>
        <v>30</v>
      </c>
      <c r="S279" s="2">
        <f ca="1">Table1[[#This Row],[Monthly_Spend]] * Table1[[#This Row],[Customer Lifetime(Months)]]</f>
        <v>150000</v>
      </c>
    </row>
    <row r="280" spans="1:19" x14ac:dyDescent="0.35">
      <c r="A280" t="s">
        <v>298</v>
      </c>
      <c r="B280" t="s">
        <v>19</v>
      </c>
      <c r="C280" s="1">
        <v>45519</v>
      </c>
      <c r="E280" t="s">
        <v>16</v>
      </c>
      <c r="F280" s="2">
        <v>100000</v>
      </c>
      <c r="G280">
        <v>30</v>
      </c>
      <c r="H280">
        <v>22</v>
      </c>
      <c r="I280" t="s">
        <v>12</v>
      </c>
      <c r="J280">
        <f>IF(Table1[[#This Row],[Status]]="Churned",1,0)</f>
        <v>0</v>
      </c>
      <c r="K280">
        <f t="shared" si="20"/>
        <v>0.21212121212121213</v>
      </c>
      <c r="L280">
        <f t="shared" si="21"/>
        <v>0.4</v>
      </c>
      <c r="M280" s="5">
        <f t="shared" si="22"/>
        <v>1</v>
      </c>
      <c r="N280" s="5">
        <f t="shared" si="23"/>
        <v>0.24242424242424243</v>
      </c>
      <c r="O280" s="5" t="str">
        <f t="shared" si="24"/>
        <v>Healthy</v>
      </c>
      <c r="P280" s="5">
        <f>IF(Table1[[#This Row],[Health Status]]="Churned",0,1)</f>
        <v>1</v>
      </c>
      <c r="Q280" s="5" t="str">
        <f>IF(Table1[[#This Row],[Subscription_End_Date]]="", "Active", "Churned")</f>
        <v>Active</v>
      </c>
      <c r="R280" s="5">
        <f ca="1">IF(Table1[[#This Row],[Subscription_End_Date]]="", DATEDIF(Table1[[#This Row],[Subscription_Start_Date]], TODAY(), "m"),
DATEDIF(Table1[[#This Row],[Subscription_Start_Date]], Table1[[#This Row],[Subscription_End_Date]], "m"))</f>
        <v>14</v>
      </c>
      <c r="S280" s="2">
        <f ca="1">Table1[[#This Row],[Monthly_Spend]] * Table1[[#This Row],[Customer Lifetime(Months)]]</f>
        <v>1400000</v>
      </c>
    </row>
    <row r="281" spans="1:19" x14ac:dyDescent="0.35">
      <c r="A281" t="s">
        <v>299</v>
      </c>
      <c r="B281" t="s">
        <v>14</v>
      </c>
      <c r="C281" s="1">
        <v>45561</v>
      </c>
      <c r="E281" t="s">
        <v>16</v>
      </c>
      <c r="F281" s="2">
        <v>10000</v>
      </c>
      <c r="G281">
        <v>43</v>
      </c>
      <c r="H281">
        <v>32</v>
      </c>
      <c r="I281" t="s">
        <v>17</v>
      </c>
      <c r="J281">
        <f>IF(Table1[[#This Row],[Status]]="Churned",1,0)</f>
        <v>0</v>
      </c>
      <c r="K281">
        <f t="shared" si="20"/>
        <v>0.31313131313131315</v>
      </c>
      <c r="L281">
        <f t="shared" si="21"/>
        <v>0.14000000000000001</v>
      </c>
      <c r="M281" s="5">
        <f t="shared" si="22"/>
        <v>5.2631578947368418E-2</v>
      </c>
      <c r="N281" s="5">
        <f t="shared" si="23"/>
        <v>0.13262626262626265</v>
      </c>
      <c r="O281" s="5" t="str">
        <f t="shared" si="24"/>
        <v>At-Risk</v>
      </c>
      <c r="P281" s="5">
        <f>IF(Table1[[#This Row],[Health Status]]="Churned",0,1)</f>
        <v>1</v>
      </c>
      <c r="Q281" s="5" t="str">
        <f>IF(Table1[[#This Row],[Subscription_End_Date]]="", "Active", "Churned")</f>
        <v>Active</v>
      </c>
      <c r="R281" s="5">
        <f ca="1">IF(Table1[[#This Row],[Subscription_End_Date]]="", DATEDIF(Table1[[#This Row],[Subscription_Start_Date]], TODAY(), "m"),
DATEDIF(Table1[[#This Row],[Subscription_Start_Date]], Table1[[#This Row],[Subscription_End_Date]], "m"))</f>
        <v>13</v>
      </c>
      <c r="S281" s="2">
        <f ca="1">Table1[[#This Row],[Monthly_Spend]] * Table1[[#This Row],[Customer Lifetime(Months)]]</f>
        <v>130000</v>
      </c>
    </row>
    <row r="282" spans="1:19" x14ac:dyDescent="0.35">
      <c r="A282" t="s">
        <v>300</v>
      </c>
      <c r="B282" t="s">
        <v>10</v>
      </c>
      <c r="C282" s="1">
        <v>45644</v>
      </c>
      <c r="D282" s="1">
        <v>45693</v>
      </c>
      <c r="E282" t="s">
        <v>16</v>
      </c>
      <c r="F282" s="2">
        <v>50000</v>
      </c>
      <c r="G282">
        <v>20</v>
      </c>
      <c r="H282">
        <v>54</v>
      </c>
      <c r="I282" t="s">
        <v>28</v>
      </c>
      <c r="J282">
        <f>IF(Table1[[#This Row],[Status]]="Churned",1,0)</f>
        <v>1</v>
      </c>
      <c r="K282">
        <f t="shared" si="20"/>
        <v>0.53535353535353536</v>
      </c>
      <c r="L282">
        <f t="shared" si="21"/>
        <v>0.6</v>
      </c>
      <c r="M282" s="5">
        <f t="shared" si="22"/>
        <v>0.47368421052631576</v>
      </c>
      <c r="N282" s="5">
        <f t="shared" si="23"/>
        <v>0.70707070707070707</v>
      </c>
      <c r="O282" s="5" t="str">
        <f t="shared" si="24"/>
        <v>Churned</v>
      </c>
      <c r="P282" s="5">
        <f>IF(Table1[[#This Row],[Health Status]]="Churned",0,1)</f>
        <v>0</v>
      </c>
      <c r="Q282" s="5" t="str">
        <f>IF(Table1[[#This Row],[Subscription_End_Date]]="", "Active", "Churned")</f>
        <v>Churned</v>
      </c>
      <c r="R282" s="5">
        <f ca="1">IF(Table1[[#This Row],[Subscription_End_Date]]="", DATEDIF(Table1[[#This Row],[Subscription_Start_Date]], TODAY(), "m"),
DATEDIF(Table1[[#This Row],[Subscription_Start_Date]], Table1[[#This Row],[Subscription_End_Date]], "m"))</f>
        <v>1</v>
      </c>
      <c r="S282" s="2">
        <f ca="1">Table1[[#This Row],[Monthly_Spend]] * Table1[[#This Row],[Customer Lifetime(Months)]]</f>
        <v>50000</v>
      </c>
    </row>
    <row r="283" spans="1:19" x14ac:dyDescent="0.35">
      <c r="A283" t="s">
        <v>301</v>
      </c>
      <c r="B283" t="s">
        <v>27</v>
      </c>
      <c r="C283" s="1">
        <v>45634</v>
      </c>
      <c r="E283" t="s">
        <v>23</v>
      </c>
      <c r="F283" s="2">
        <v>5000</v>
      </c>
      <c r="G283">
        <v>45</v>
      </c>
      <c r="H283">
        <v>18</v>
      </c>
      <c r="I283" t="s">
        <v>17</v>
      </c>
      <c r="J283">
        <f>IF(Table1[[#This Row],[Status]]="Churned",1,0)</f>
        <v>0</v>
      </c>
      <c r="K283">
        <f t="shared" si="20"/>
        <v>0.17171717171717171</v>
      </c>
      <c r="L283">
        <f t="shared" si="21"/>
        <v>9.9999999999999978E-2</v>
      </c>
      <c r="M283" s="5">
        <f t="shared" si="22"/>
        <v>0</v>
      </c>
      <c r="N283" s="5">
        <f t="shared" si="23"/>
        <v>8.4343434343434331E-2</v>
      </c>
      <c r="O283" s="5" t="str">
        <f t="shared" si="24"/>
        <v>At-Risk</v>
      </c>
      <c r="P283" s="5">
        <f>IF(Table1[[#This Row],[Health Status]]="Churned",0,1)</f>
        <v>1</v>
      </c>
      <c r="Q283" s="5" t="str">
        <f>IF(Table1[[#This Row],[Subscription_End_Date]]="", "Active", "Churned")</f>
        <v>Active</v>
      </c>
      <c r="R283" s="5">
        <f ca="1">IF(Table1[[#This Row],[Subscription_End_Date]]="", DATEDIF(Table1[[#This Row],[Subscription_Start_Date]], TODAY(), "m"),
DATEDIF(Table1[[#This Row],[Subscription_Start_Date]], Table1[[#This Row],[Subscription_End_Date]], "m"))</f>
        <v>10</v>
      </c>
      <c r="S283" s="2">
        <f ca="1">Table1[[#This Row],[Monthly_Spend]] * Table1[[#This Row],[Customer Lifetime(Months)]]</f>
        <v>50000</v>
      </c>
    </row>
    <row r="284" spans="1:19" x14ac:dyDescent="0.35">
      <c r="A284" t="s">
        <v>302</v>
      </c>
      <c r="B284" t="s">
        <v>14</v>
      </c>
      <c r="C284" s="1">
        <v>45501</v>
      </c>
      <c r="E284" t="s">
        <v>11</v>
      </c>
      <c r="F284" s="2">
        <v>100000</v>
      </c>
      <c r="G284">
        <v>24</v>
      </c>
      <c r="H284">
        <v>41</v>
      </c>
      <c r="I284" t="s">
        <v>17</v>
      </c>
      <c r="J284">
        <f>IF(Table1[[#This Row],[Status]]="Churned",1,0)</f>
        <v>0</v>
      </c>
      <c r="K284">
        <f t="shared" si="20"/>
        <v>0.40404040404040403</v>
      </c>
      <c r="L284">
        <f t="shared" si="21"/>
        <v>0.52</v>
      </c>
      <c r="M284" s="5">
        <f t="shared" si="22"/>
        <v>1</v>
      </c>
      <c r="N284" s="5">
        <f t="shared" si="23"/>
        <v>0.34080808080808084</v>
      </c>
      <c r="O284" s="5" t="str">
        <f t="shared" si="24"/>
        <v>Healthy</v>
      </c>
      <c r="P284" s="5">
        <f>IF(Table1[[#This Row],[Health Status]]="Churned",0,1)</f>
        <v>1</v>
      </c>
      <c r="Q284" s="5" t="str">
        <f>IF(Table1[[#This Row],[Subscription_End_Date]]="", "Active", "Churned")</f>
        <v>Active</v>
      </c>
      <c r="R284" s="5">
        <f ca="1">IF(Table1[[#This Row],[Subscription_End_Date]]="", DATEDIF(Table1[[#This Row],[Subscription_Start_Date]], TODAY(), "m"),
DATEDIF(Table1[[#This Row],[Subscription_Start_Date]], Table1[[#This Row],[Subscription_End_Date]], "m"))</f>
        <v>15</v>
      </c>
      <c r="S284" s="2">
        <f ca="1">Table1[[#This Row],[Monthly_Spend]] * Table1[[#This Row],[Customer Lifetime(Months)]]</f>
        <v>1500000</v>
      </c>
    </row>
    <row r="285" spans="1:19" x14ac:dyDescent="0.35">
      <c r="A285" t="s">
        <v>303</v>
      </c>
      <c r="B285" t="s">
        <v>27</v>
      </c>
      <c r="C285" s="1">
        <v>45472</v>
      </c>
      <c r="E285" t="s">
        <v>23</v>
      </c>
      <c r="F285" s="2">
        <v>20000</v>
      </c>
      <c r="G285">
        <v>39</v>
      </c>
      <c r="H285">
        <v>62</v>
      </c>
      <c r="I285" t="s">
        <v>17</v>
      </c>
      <c r="J285">
        <f>IF(Table1[[#This Row],[Status]]="Churned",1,0)</f>
        <v>0</v>
      </c>
      <c r="K285">
        <f t="shared" si="20"/>
        <v>0.61616161616161613</v>
      </c>
      <c r="L285">
        <f t="shared" si="21"/>
        <v>0.21999999999999997</v>
      </c>
      <c r="M285" s="5">
        <f t="shared" si="22"/>
        <v>0.15789473684210525</v>
      </c>
      <c r="N285" s="5">
        <f t="shared" si="23"/>
        <v>0.23323232323232324</v>
      </c>
      <c r="O285" s="5" t="str">
        <f t="shared" si="24"/>
        <v>At-Risk</v>
      </c>
      <c r="P285" s="5">
        <f>IF(Table1[[#This Row],[Health Status]]="Churned",0,1)</f>
        <v>1</v>
      </c>
      <c r="Q285" s="5" t="str">
        <f>IF(Table1[[#This Row],[Subscription_End_Date]]="", "Active", "Churned")</f>
        <v>Active</v>
      </c>
      <c r="R285" s="5">
        <f ca="1">IF(Table1[[#This Row],[Subscription_End_Date]]="", DATEDIF(Table1[[#This Row],[Subscription_Start_Date]], TODAY(), "m"),
DATEDIF(Table1[[#This Row],[Subscription_Start_Date]], Table1[[#This Row],[Subscription_End_Date]], "m"))</f>
        <v>16</v>
      </c>
      <c r="S285" s="2">
        <f ca="1">Table1[[#This Row],[Monthly_Spend]] * Table1[[#This Row],[Customer Lifetime(Months)]]</f>
        <v>320000</v>
      </c>
    </row>
    <row r="286" spans="1:19" x14ac:dyDescent="0.35">
      <c r="A286" t="s">
        <v>304</v>
      </c>
      <c r="B286" t="s">
        <v>27</v>
      </c>
      <c r="C286" s="1">
        <v>45212</v>
      </c>
      <c r="E286" t="s">
        <v>11</v>
      </c>
      <c r="F286" s="2">
        <v>20000</v>
      </c>
      <c r="G286">
        <v>49</v>
      </c>
      <c r="H286">
        <v>37</v>
      </c>
      <c r="I286" t="s">
        <v>12</v>
      </c>
      <c r="J286">
        <f>IF(Table1[[#This Row],[Status]]="Churned",1,0)</f>
        <v>0</v>
      </c>
      <c r="K286">
        <f t="shared" si="20"/>
        <v>0.36363636363636365</v>
      </c>
      <c r="L286">
        <f t="shared" si="21"/>
        <v>2.0000000000000018E-2</v>
      </c>
      <c r="M286" s="5">
        <f t="shared" si="22"/>
        <v>0.15789473684210525</v>
      </c>
      <c r="N286" s="5">
        <f t="shared" si="23"/>
        <v>8.2727272727272746E-2</v>
      </c>
      <c r="O286" s="5" t="str">
        <f t="shared" si="24"/>
        <v>At-Risk</v>
      </c>
      <c r="P286" s="5">
        <f>IF(Table1[[#This Row],[Health Status]]="Churned",0,1)</f>
        <v>1</v>
      </c>
      <c r="Q286" s="5" t="str">
        <f>IF(Table1[[#This Row],[Subscription_End_Date]]="", "Active", "Churned")</f>
        <v>Active</v>
      </c>
      <c r="R286" s="5">
        <f ca="1">IF(Table1[[#This Row],[Subscription_End_Date]]="", DATEDIF(Table1[[#This Row],[Subscription_Start_Date]], TODAY(), "m"),
DATEDIF(Table1[[#This Row],[Subscription_Start_Date]], Table1[[#This Row],[Subscription_End_Date]], "m"))</f>
        <v>24</v>
      </c>
      <c r="S286" s="2">
        <f ca="1">Table1[[#This Row],[Monthly_Spend]] * Table1[[#This Row],[Customer Lifetime(Months)]]</f>
        <v>480000</v>
      </c>
    </row>
    <row r="287" spans="1:19" x14ac:dyDescent="0.35">
      <c r="A287" t="s">
        <v>305</v>
      </c>
      <c r="B287" t="s">
        <v>27</v>
      </c>
      <c r="C287" s="1">
        <v>45648</v>
      </c>
      <c r="E287" t="s">
        <v>16</v>
      </c>
      <c r="F287" s="2">
        <v>20000</v>
      </c>
      <c r="G287">
        <v>35</v>
      </c>
      <c r="H287">
        <v>93</v>
      </c>
      <c r="I287" t="s">
        <v>17</v>
      </c>
      <c r="J287">
        <f>IF(Table1[[#This Row],[Status]]="Churned",1,0)</f>
        <v>0</v>
      </c>
      <c r="K287">
        <f t="shared" si="20"/>
        <v>0.92929292929292928</v>
      </c>
      <c r="L287">
        <f t="shared" si="21"/>
        <v>0.30000000000000004</v>
      </c>
      <c r="M287" s="5">
        <f t="shared" si="22"/>
        <v>0.15789473684210525</v>
      </c>
      <c r="N287" s="5">
        <f t="shared" si="23"/>
        <v>0.33585858585858586</v>
      </c>
      <c r="O287" s="5" t="str">
        <f t="shared" si="24"/>
        <v>At-Risk</v>
      </c>
      <c r="P287" s="5">
        <f>IF(Table1[[#This Row],[Health Status]]="Churned",0,1)</f>
        <v>1</v>
      </c>
      <c r="Q287" s="5" t="str">
        <f>IF(Table1[[#This Row],[Subscription_End_Date]]="", "Active", "Churned")</f>
        <v>Active</v>
      </c>
      <c r="R287" s="5">
        <f ca="1">IF(Table1[[#This Row],[Subscription_End_Date]]="", DATEDIF(Table1[[#This Row],[Subscription_Start_Date]], TODAY(), "m"),
DATEDIF(Table1[[#This Row],[Subscription_Start_Date]], Table1[[#This Row],[Subscription_End_Date]], "m"))</f>
        <v>10</v>
      </c>
      <c r="S287" s="2">
        <f ca="1">Table1[[#This Row],[Monthly_Spend]] * Table1[[#This Row],[Customer Lifetime(Months)]]</f>
        <v>200000</v>
      </c>
    </row>
    <row r="288" spans="1:19" x14ac:dyDescent="0.35">
      <c r="A288" t="s">
        <v>306</v>
      </c>
      <c r="B288" t="s">
        <v>19</v>
      </c>
      <c r="C288" s="1">
        <v>45051</v>
      </c>
      <c r="E288" t="s">
        <v>23</v>
      </c>
      <c r="F288" s="2">
        <v>50000</v>
      </c>
      <c r="G288">
        <v>22</v>
      </c>
      <c r="H288">
        <v>99</v>
      </c>
      <c r="I288" t="s">
        <v>17</v>
      </c>
      <c r="J288">
        <f>IF(Table1[[#This Row],[Status]]="Churned",1,0)</f>
        <v>0</v>
      </c>
      <c r="K288">
        <f t="shared" si="20"/>
        <v>0.98989898989898994</v>
      </c>
      <c r="L288">
        <f t="shared" si="21"/>
        <v>0.56000000000000005</v>
      </c>
      <c r="M288" s="5">
        <f t="shared" si="22"/>
        <v>0.47368421052631576</v>
      </c>
      <c r="N288" s="5">
        <f t="shared" si="23"/>
        <v>0.47797979797979806</v>
      </c>
      <c r="O288" s="5" t="str">
        <f t="shared" si="24"/>
        <v>At-Risk</v>
      </c>
      <c r="P288" s="5">
        <f>IF(Table1[[#This Row],[Health Status]]="Churned",0,1)</f>
        <v>1</v>
      </c>
      <c r="Q288" s="5" t="str">
        <f>IF(Table1[[#This Row],[Subscription_End_Date]]="", "Active", "Churned")</f>
        <v>Active</v>
      </c>
      <c r="R288" s="5">
        <f ca="1">IF(Table1[[#This Row],[Subscription_End_Date]]="", DATEDIF(Table1[[#This Row],[Subscription_Start_Date]], TODAY(), "m"),
DATEDIF(Table1[[#This Row],[Subscription_Start_Date]], Table1[[#This Row],[Subscription_End_Date]], "m"))</f>
        <v>29</v>
      </c>
      <c r="S288" s="2">
        <f ca="1">Table1[[#This Row],[Monthly_Spend]] * Table1[[#This Row],[Customer Lifetime(Months)]]</f>
        <v>1450000</v>
      </c>
    </row>
    <row r="289" spans="1:19" x14ac:dyDescent="0.35">
      <c r="A289" t="s">
        <v>307</v>
      </c>
      <c r="B289" t="s">
        <v>27</v>
      </c>
      <c r="C289" s="1">
        <v>44970</v>
      </c>
      <c r="E289" t="s">
        <v>23</v>
      </c>
      <c r="F289" s="2">
        <v>20000</v>
      </c>
      <c r="G289">
        <v>28</v>
      </c>
      <c r="H289">
        <v>84</v>
      </c>
      <c r="I289" t="s">
        <v>12</v>
      </c>
      <c r="J289">
        <f>IF(Table1[[#This Row],[Status]]="Churned",1,0)</f>
        <v>0</v>
      </c>
      <c r="K289">
        <f t="shared" si="20"/>
        <v>0.83838383838383834</v>
      </c>
      <c r="L289">
        <f t="shared" si="21"/>
        <v>0.43999999999999995</v>
      </c>
      <c r="M289" s="5">
        <f t="shared" si="22"/>
        <v>0.15789473684210525</v>
      </c>
      <c r="N289" s="5">
        <f t="shared" si="23"/>
        <v>0.38767676767676762</v>
      </c>
      <c r="O289" s="5" t="str">
        <f t="shared" si="24"/>
        <v>At-Risk</v>
      </c>
      <c r="P289" s="5">
        <f>IF(Table1[[#This Row],[Health Status]]="Churned",0,1)</f>
        <v>1</v>
      </c>
      <c r="Q289" s="5" t="str">
        <f>IF(Table1[[#This Row],[Subscription_End_Date]]="", "Active", "Churned")</f>
        <v>Active</v>
      </c>
      <c r="R289" s="5">
        <f ca="1">IF(Table1[[#This Row],[Subscription_End_Date]]="", DATEDIF(Table1[[#This Row],[Subscription_Start_Date]], TODAY(), "m"),
DATEDIF(Table1[[#This Row],[Subscription_Start_Date]], Table1[[#This Row],[Subscription_End_Date]], "m"))</f>
        <v>32</v>
      </c>
      <c r="S289" s="2">
        <f ca="1">Table1[[#This Row],[Monthly_Spend]] * Table1[[#This Row],[Customer Lifetime(Months)]]</f>
        <v>640000</v>
      </c>
    </row>
    <row r="290" spans="1:19" x14ac:dyDescent="0.35">
      <c r="A290" t="s">
        <v>308</v>
      </c>
      <c r="B290" t="s">
        <v>19</v>
      </c>
      <c r="C290" s="1">
        <v>45417</v>
      </c>
      <c r="E290" t="s">
        <v>16</v>
      </c>
      <c r="F290" s="2">
        <v>100000</v>
      </c>
      <c r="G290">
        <v>44</v>
      </c>
      <c r="H290">
        <v>35</v>
      </c>
      <c r="I290" t="s">
        <v>17</v>
      </c>
      <c r="J290">
        <f>IF(Table1[[#This Row],[Status]]="Churned",1,0)</f>
        <v>0</v>
      </c>
      <c r="K290">
        <f t="shared" si="20"/>
        <v>0.34343434343434343</v>
      </c>
      <c r="L290">
        <f t="shared" si="21"/>
        <v>0.12</v>
      </c>
      <c r="M290" s="5">
        <f t="shared" si="22"/>
        <v>1</v>
      </c>
      <c r="N290" s="5">
        <f t="shared" si="23"/>
        <v>0.12868686868686868</v>
      </c>
      <c r="O290" s="5" t="str">
        <f t="shared" si="24"/>
        <v>Healthy</v>
      </c>
      <c r="P290" s="5">
        <f>IF(Table1[[#This Row],[Health Status]]="Churned",0,1)</f>
        <v>1</v>
      </c>
      <c r="Q290" s="5" t="str">
        <f>IF(Table1[[#This Row],[Subscription_End_Date]]="", "Active", "Churned")</f>
        <v>Active</v>
      </c>
      <c r="R290" s="5">
        <f ca="1">IF(Table1[[#This Row],[Subscription_End_Date]]="", DATEDIF(Table1[[#This Row],[Subscription_Start_Date]], TODAY(), "m"),
DATEDIF(Table1[[#This Row],[Subscription_Start_Date]], Table1[[#This Row],[Subscription_End_Date]], "m"))</f>
        <v>17</v>
      </c>
      <c r="S290" s="2">
        <f ca="1">Table1[[#This Row],[Monthly_Spend]] * Table1[[#This Row],[Customer Lifetime(Months)]]</f>
        <v>1700000</v>
      </c>
    </row>
    <row r="291" spans="1:19" x14ac:dyDescent="0.35">
      <c r="A291" t="s">
        <v>309</v>
      </c>
      <c r="B291" t="s">
        <v>27</v>
      </c>
      <c r="C291" s="1">
        <v>45557</v>
      </c>
      <c r="E291" t="s">
        <v>11</v>
      </c>
      <c r="F291" s="2">
        <v>10000</v>
      </c>
      <c r="G291">
        <v>3</v>
      </c>
      <c r="H291">
        <v>86</v>
      </c>
      <c r="I291" t="s">
        <v>12</v>
      </c>
      <c r="J291">
        <f>IF(Table1[[#This Row],[Status]]="Churned",1,0)</f>
        <v>0</v>
      </c>
      <c r="K291">
        <f t="shared" si="20"/>
        <v>0.85858585858585856</v>
      </c>
      <c r="L291">
        <f t="shared" si="21"/>
        <v>0.94</v>
      </c>
      <c r="M291" s="5">
        <f t="shared" si="22"/>
        <v>5.2631578947368418E-2</v>
      </c>
      <c r="N291" s="5">
        <f t="shared" si="23"/>
        <v>0.64171717171717169</v>
      </c>
      <c r="O291" s="5" t="str">
        <f t="shared" si="24"/>
        <v>At-Risk</v>
      </c>
      <c r="P291" s="5">
        <f>IF(Table1[[#This Row],[Health Status]]="Churned",0,1)</f>
        <v>1</v>
      </c>
      <c r="Q291" s="5" t="str">
        <f>IF(Table1[[#This Row],[Subscription_End_Date]]="", "Active", "Churned")</f>
        <v>Active</v>
      </c>
      <c r="R291" s="5">
        <f ca="1">IF(Table1[[#This Row],[Subscription_End_Date]]="", DATEDIF(Table1[[#This Row],[Subscription_Start_Date]], TODAY(), "m"),
DATEDIF(Table1[[#This Row],[Subscription_Start_Date]], Table1[[#This Row],[Subscription_End_Date]], "m"))</f>
        <v>13</v>
      </c>
      <c r="S291" s="2">
        <f ca="1">Table1[[#This Row],[Monthly_Spend]] * Table1[[#This Row],[Customer Lifetime(Months)]]</f>
        <v>130000</v>
      </c>
    </row>
    <row r="292" spans="1:19" x14ac:dyDescent="0.35">
      <c r="A292" t="s">
        <v>310</v>
      </c>
      <c r="B292" t="s">
        <v>14</v>
      </c>
      <c r="C292" s="1">
        <v>45580</v>
      </c>
      <c r="E292" t="s">
        <v>11</v>
      </c>
      <c r="F292" s="2">
        <v>50000</v>
      </c>
      <c r="G292">
        <v>21</v>
      </c>
      <c r="H292">
        <v>92</v>
      </c>
      <c r="I292" t="s">
        <v>12</v>
      </c>
      <c r="J292">
        <f>IF(Table1[[#This Row],[Status]]="Churned",1,0)</f>
        <v>0</v>
      </c>
      <c r="K292">
        <f t="shared" si="20"/>
        <v>0.91919191919191923</v>
      </c>
      <c r="L292">
        <f t="shared" si="21"/>
        <v>0.58000000000000007</v>
      </c>
      <c r="M292" s="5">
        <f t="shared" si="22"/>
        <v>0.47368421052631576</v>
      </c>
      <c r="N292" s="5">
        <f t="shared" si="23"/>
        <v>0.47383838383838389</v>
      </c>
      <c r="O292" s="5" t="str">
        <f t="shared" si="24"/>
        <v>At-Risk</v>
      </c>
      <c r="P292" s="5">
        <f>IF(Table1[[#This Row],[Health Status]]="Churned",0,1)</f>
        <v>1</v>
      </c>
      <c r="Q292" s="5" t="str">
        <f>IF(Table1[[#This Row],[Subscription_End_Date]]="", "Active", "Churned")</f>
        <v>Active</v>
      </c>
      <c r="R292" s="5">
        <f ca="1">IF(Table1[[#This Row],[Subscription_End_Date]]="", DATEDIF(Table1[[#This Row],[Subscription_Start_Date]], TODAY(), "m"),
DATEDIF(Table1[[#This Row],[Subscription_Start_Date]], Table1[[#This Row],[Subscription_End_Date]], "m"))</f>
        <v>12</v>
      </c>
      <c r="S292" s="2">
        <f ca="1">Table1[[#This Row],[Monthly_Spend]] * Table1[[#This Row],[Customer Lifetime(Months)]]</f>
        <v>600000</v>
      </c>
    </row>
    <row r="293" spans="1:19" x14ac:dyDescent="0.35">
      <c r="A293" t="s">
        <v>311</v>
      </c>
      <c r="B293" t="s">
        <v>31</v>
      </c>
      <c r="C293" s="1">
        <v>45624</v>
      </c>
      <c r="E293" t="s">
        <v>11</v>
      </c>
      <c r="F293" s="2">
        <v>100000</v>
      </c>
      <c r="G293">
        <v>10</v>
      </c>
      <c r="H293">
        <v>53</v>
      </c>
      <c r="I293" t="s">
        <v>12</v>
      </c>
      <c r="J293">
        <f>IF(Table1[[#This Row],[Status]]="Churned",1,0)</f>
        <v>0</v>
      </c>
      <c r="K293">
        <f t="shared" si="20"/>
        <v>0.5252525252525253</v>
      </c>
      <c r="L293">
        <f t="shared" si="21"/>
        <v>0.8</v>
      </c>
      <c r="M293" s="5">
        <f t="shared" si="22"/>
        <v>1</v>
      </c>
      <c r="N293" s="5">
        <f t="shared" si="23"/>
        <v>0.50505050505050508</v>
      </c>
      <c r="O293" s="5" t="str">
        <f t="shared" si="24"/>
        <v>Healthy</v>
      </c>
      <c r="P293" s="5">
        <f>IF(Table1[[#This Row],[Health Status]]="Churned",0,1)</f>
        <v>1</v>
      </c>
      <c r="Q293" s="5" t="str">
        <f>IF(Table1[[#This Row],[Subscription_End_Date]]="", "Active", "Churned")</f>
        <v>Active</v>
      </c>
      <c r="R293" s="5">
        <f ca="1">IF(Table1[[#This Row],[Subscription_End_Date]]="", DATEDIF(Table1[[#This Row],[Subscription_Start_Date]], TODAY(), "m"),
DATEDIF(Table1[[#This Row],[Subscription_Start_Date]], Table1[[#This Row],[Subscription_End_Date]], "m"))</f>
        <v>11</v>
      </c>
      <c r="S293" s="2">
        <f ca="1">Table1[[#This Row],[Monthly_Spend]] * Table1[[#This Row],[Customer Lifetime(Months)]]</f>
        <v>1100000</v>
      </c>
    </row>
    <row r="294" spans="1:19" x14ac:dyDescent="0.35">
      <c r="A294" t="s">
        <v>312</v>
      </c>
      <c r="B294" t="s">
        <v>31</v>
      </c>
      <c r="C294" s="1">
        <v>45593</v>
      </c>
      <c r="E294" t="s">
        <v>23</v>
      </c>
      <c r="F294" s="2">
        <v>20000</v>
      </c>
      <c r="G294">
        <v>18</v>
      </c>
      <c r="H294">
        <v>83</v>
      </c>
      <c r="I294" t="s">
        <v>17</v>
      </c>
      <c r="J294">
        <f>IF(Table1[[#This Row],[Status]]="Churned",1,0)</f>
        <v>0</v>
      </c>
      <c r="K294">
        <f t="shared" si="20"/>
        <v>0.82828282828282829</v>
      </c>
      <c r="L294">
        <f t="shared" si="21"/>
        <v>0.64</v>
      </c>
      <c r="M294" s="5">
        <f t="shared" si="22"/>
        <v>0.15789473684210525</v>
      </c>
      <c r="N294" s="5">
        <f t="shared" si="23"/>
        <v>0.48565656565656568</v>
      </c>
      <c r="O294" s="5" t="str">
        <f t="shared" si="24"/>
        <v>At-Risk</v>
      </c>
      <c r="P294" s="5">
        <f>IF(Table1[[#This Row],[Health Status]]="Churned",0,1)</f>
        <v>1</v>
      </c>
      <c r="Q294" s="5" t="str">
        <f>IF(Table1[[#This Row],[Subscription_End_Date]]="", "Active", "Churned")</f>
        <v>Active</v>
      </c>
      <c r="R294" s="5">
        <f ca="1">IF(Table1[[#This Row],[Subscription_End_Date]]="", DATEDIF(Table1[[#This Row],[Subscription_Start_Date]], TODAY(), "m"),
DATEDIF(Table1[[#This Row],[Subscription_Start_Date]], Table1[[#This Row],[Subscription_End_Date]], "m"))</f>
        <v>12</v>
      </c>
      <c r="S294" s="2">
        <f ca="1">Table1[[#This Row],[Monthly_Spend]] * Table1[[#This Row],[Customer Lifetime(Months)]]</f>
        <v>240000</v>
      </c>
    </row>
    <row r="295" spans="1:19" x14ac:dyDescent="0.35">
      <c r="A295" t="s">
        <v>313</v>
      </c>
      <c r="B295" t="s">
        <v>10</v>
      </c>
      <c r="C295" s="1">
        <v>45594</v>
      </c>
      <c r="E295" t="s">
        <v>11</v>
      </c>
      <c r="F295" s="2">
        <v>10000</v>
      </c>
      <c r="G295">
        <v>26</v>
      </c>
      <c r="H295">
        <v>23</v>
      </c>
      <c r="I295" t="s">
        <v>12</v>
      </c>
      <c r="J295">
        <f>IF(Table1[[#This Row],[Status]]="Churned",1,0)</f>
        <v>0</v>
      </c>
      <c r="K295">
        <f t="shared" si="20"/>
        <v>0.22222222222222221</v>
      </c>
      <c r="L295">
        <f t="shared" si="21"/>
        <v>0.48</v>
      </c>
      <c r="M295" s="5">
        <f t="shared" si="22"/>
        <v>5.2631578947368418E-2</v>
      </c>
      <c r="N295" s="5">
        <f t="shared" si="23"/>
        <v>0.28444444444444444</v>
      </c>
      <c r="O295" s="5" t="str">
        <f t="shared" si="24"/>
        <v>At-Risk</v>
      </c>
      <c r="P295" s="5">
        <f>IF(Table1[[#This Row],[Health Status]]="Churned",0,1)</f>
        <v>1</v>
      </c>
      <c r="Q295" s="5" t="str">
        <f>IF(Table1[[#This Row],[Subscription_End_Date]]="", "Active", "Churned")</f>
        <v>Active</v>
      </c>
      <c r="R295" s="5">
        <f ca="1">IF(Table1[[#This Row],[Subscription_End_Date]]="", DATEDIF(Table1[[#This Row],[Subscription_Start_Date]], TODAY(), "m"),
DATEDIF(Table1[[#This Row],[Subscription_Start_Date]], Table1[[#This Row],[Subscription_End_Date]], "m"))</f>
        <v>12</v>
      </c>
      <c r="S295" s="2">
        <f ca="1">Table1[[#This Row],[Monthly_Spend]] * Table1[[#This Row],[Customer Lifetime(Months)]]</f>
        <v>120000</v>
      </c>
    </row>
    <row r="296" spans="1:19" x14ac:dyDescent="0.35">
      <c r="A296" t="s">
        <v>314</v>
      </c>
      <c r="B296" t="s">
        <v>10</v>
      </c>
      <c r="C296" s="1">
        <v>45434</v>
      </c>
      <c r="E296" t="s">
        <v>23</v>
      </c>
      <c r="F296" s="2">
        <v>5000</v>
      </c>
      <c r="G296">
        <v>0</v>
      </c>
      <c r="H296">
        <v>39</v>
      </c>
      <c r="I296" t="s">
        <v>17</v>
      </c>
      <c r="J296">
        <f>IF(Table1[[#This Row],[Status]]="Churned",1,0)</f>
        <v>0</v>
      </c>
      <c r="K296">
        <f t="shared" si="20"/>
        <v>0.38383838383838381</v>
      </c>
      <c r="L296">
        <f t="shared" si="21"/>
        <v>1</v>
      </c>
      <c r="M296" s="5">
        <f t="shared" si="22"/>
        <v>0</v>
      </c>
      <c r="N296" s="5">
        <f t="shared" si="23"/>
        <v>0.57676767676767682</v>
      </c>
      <c r="O296" s="5" t="str">
        <f t="shared" si="24"/>
        <v>At-Risk</v>
      </c>
      <c r="P296" s="5">
        <f>IF(Table1[[#This Row],[Health Status]]="Churned",0,1)</f>
        <v>1</v>
      </c>
      <c r="Q296" s="5" t="str">
        <f>IF(Table1[[#This Row],[Subscription_End_Date]]="", "Active", "Churned")</f>
        <v>Active</v>
      </c>
      <c r="R296" s="5">
        <f ca="1">IF(Table1[[#This Row],[Subscription_End_Date]]="", DATEDIF(Table1[[#This Row],[Subscription_Start_Date]], TODAY(), "m"),
DATEDIF(Table1[[#This Row],[Subscription_Start_Date]], Table1[[#This Row],[Subscription_End_Date]], "m"))</f>
        <v>17</v>
      </c>
      <c r="S296" s="2">
        <f ca="1">Table1[[#This Row],[Monthly_Spend]] * Table1[[#This Row],[Customer Lifetime(Months)]]</f>
        <v>85000</v>
      </c>
    </row>
    <row r="297" spans="1:19" x14ac:dyDescent="0.35">
      <c r="A297" t="s">
        <v>315</v>
      </c>
      <c r="B297" t="s">
        <v>14</v>
      </c>
      <c r="C297" s="1">
        <v>45036</v>
      </c>
      <c r="E297" t="s">
        <v>16</v>
      </c>
      <c r="F297" s="2">
        <v>20000</v>
      </c>
      <c r="G297">
        <v>29</v>
      </c>
      <c r="H297">
        <v>83</v>
      </c>
      <c r="I297" t="s">
        <v>17</v>
      </c>
      <c r="J297">
        <f>IF(Table1[[#This Row],[Status]]="Churned",1,0)</f>
        <v>0</v>
      </c>
      <c r="K297">
        <f t="shared" si="20"/>
        <v>0.82828282828282829</v>
      </c>
      <c r="L297">
        <f t="shared" si="21"/>
        <v>0.42000000000000004</v>
      </c>
      <c r="M297" s="5">
        <f t="shared" si="22"/>
        <v>0.15789473684210525</v>
      </c>
      <c r="N297" s="5">
        <f t="shared" si="23"/>
        <v>0.37565656565656569</v>
      </c>
      <c r="O297" s="5" t="str">
        <f t="shared" si="24"/>
        <v>At-Risk</v>
      </c>
      <c r="P297" s="5">
        <f>IF(Table1[[#This Row],[Health Status]]="Churned",0,1)</f>
        <v>1</v>
      </c>
      <c r="Q297" s="5" t="str">
        <f>IF(Table1[[#This Row],[Subscription_End_Date]]="", "Active", "Churned")</f>
        <v>Active</v>
      </c>
      <c r="R297" s="5">
        <f ca="1">IF(Table1[[#This Row],[Subscription_End_Date]]="", DATEDIF(Table1[[#This Row],[Subscription_Start_Date]], TODAY(), "m"),
DATEDIF(Table1[[#This Row],[Subscription_Start_Date]], Table1[[#This Row],[Subscription_End_Date]], "m"))</f>
        <v>30</v>
      </c>
      <c r="S297" s="2">
        <f ca="1">Table1[[#This Row],[Monthly_Spend]] * Table1[[#This Row],[Customer Lifetime(Months)]]</f>
        <v>600000</v>
      </c>
    </row>
    <row r="298" spans="1:19" x14ac:dyDescent="0.35">
      <c r="A298" t="s">
        <v>316</v>
      </c>
      <c r="B298" t="s">
        <v>14</v>
      </c>
      <c r="C298" s="1">
        <v>45432</v>
      </c>
      <c r="E298" t="s">
        <v>16</v>
      </c>
      <c r="F298" s="2">
        <v>100000</v>
      </c>
      <c r="G298">
        <v>29</v>
      </c>
      <c r="H298">
        <v>35</v>
      </c>
      <c r="I298" t="s">
        <v>12</v>
      </c>
      <c r="J298">
        <f>IF(Table1[[#This Row],[Status]]="Churned",1,0)</f>
        <v>0</v>
      </c>
      <c r="K298">
        <f t="shared" si="20"/>
        <v>0.34343434343434343</v>
      </c>
      <c r="L298">
        <f t="shared" si="21"/>
        <v>0.42000000000000004</v>
      </c>
      <c r="M298" s="5">
        <f t="shared" si="22"/>
        <v>1</v>
      </c>
      <c r="N298" s="5">
        <f t="shared" si="23"/>
        <v>0.27868686868686871</v>
      </c>
      <c r="O298" s="5" t="str">
        <f t="shared" si="24"/>
        <v>Healthy</v>
      </c>
      <c r="P298" s="5">
        <f>IF(Table1[[#This Row],[Health Status]]="Churned",0,1)</f>
        <v>1</v>
      </c>
      <c r="Q298" s="5" t="str">
        <f>IF(Table1[[#This Row],[Subscription_End_Date]]="", "Active", "Churned")</f>
        <v>Active</v>
      </c>
      <c r="R298" s="5">
        <f ca="1">IF(Table1[[#This Row],[Subscription_End_Date]]="", DATEDIF(Table1[[#This Row],[Subscription_Start_Date]], TODAY(), "m"),
DATEDIF(Table1[[#This Row],[Subscription_Start_Date]], Table1[[#This Row],[Subscription_End_Date]], "m"))</f>
        <v>17</v>
      </c>
      <c r="S298" s="2">
        <f ca="1">Table1[[#This Row],[Monthly_Spend]] * Table1[[#This Row],[Customer Lifetime(Months)]]</f>
        <v>1700000</v>
      </c>
    </row>
    <row r="299" spans="1:19" x14ac:dyDescent="0.35">
      <c r="A299" t="s">
        <v>317</v>
      </c>
      <c r="B299" t="s">
        <v>27</v>
      </c>
      <c r="C299" s="1">
        <v>45265</v>
      </c>
      <c r="E299" t="s">
        <v>11</v>
      </c>
      <c r="F299" s="2">
        <v>20000</v>
      </c>
      <c r="G299">
        <v>45</v>
      </c>
      <c r="H299">
        <v>24</v>
      </c>
      <c r="I299" t="s">
        <v>17</v>
      </c>
      <c r="J299">
        <f>IF(Table1[[#This Row],[Status]]="Churned",1,0)</f>
        <v>0</v>
      </c>
      <c r="K299">
        <f t="shared" si="20"/>
        <v>0.23232323232323232</v>
      </c>
      <c r="L299">
        <f t="shared" si="21"/>
        <v>9.9999999999999978E-2</v>
      </c>
      <c r="M299" s="5">
        <f t="shared" si="22"/>
        <v>0.15789473684210525</v>
      </c>
      <c r="N299" s="5">
        <f t="shared" si="23"/>
        <v>9.6464646464646447E-2</v>
      </c>
      <c r="O299" s="5" t="str">
        <f t="shared" si="24"/>
        <v>At-Risk</v>
      </c>
      <c r="P299" s="5">
        <f>IF(Table1[[#This Row],[Health Status]]="Churned",0,1)</f>
        <v>1</v>
      </c>
      <c r="Q299" s="5" t="str">
        <f>IF(Table1[[#This Row],[Subscription_End_Date]]="", "Active", "Churned")</f>
        <v>Active</v>
      </c>
      <c r="R299" s="5">
        <f ca="1">IF(Table1[[#This Row],[Subscription_End_Date]]="", DATEDIF(Table1[[#This Row],[Subscription_Start_Date]], TODAY(), "m"),
DATEDIF(Table1[[#This Row],[Subscription_Start_Date]], Table1[[#This Row],[Subscription_End_Date]], "m"))</f>
        <v>22</v>
      </c>
      <c r="S299" s="2">
        <f ca="1">Table1[[#This Row],[Monthly_Spend]] * Table1[[#This Row],[Customer Lifetime(Months)]]</f>
        <v>440000</v>
      </c>
    </row>
    <row r="300" spans="1:19" x14ac:dyDescent="0.35">
      <c r="A300" t="s">
        <v>318</v>
      </c>
      <c r="B300" t="s">
        <v>10</v>
      </c>
      <c r="C300" s="1">
        <v>45272</v>
      </c>
      <c r="E300" t="s">
        <v>16</v>
      </c>
      <c r="F300" s="2">
        <v>10000</v>
      </c>
      <c r="G300">
        <v>39</v>
      </c>
      <c r="H300">
        <v>82</v>
      </c>
      <c r="I300" t="s">
        <v>12</v>
      </c>
      <c r="J300">
        <f>IF(Table1[[#This Row],[Status]]="Churned",1,0)</f>
        <v>0</v>
      </c>
      <c r="K300">
        <f t="shared" si="20"/>
        <v>0.81818181818181823</v>
      </c>
      <c r="L300">
        <f t="shared" si="21"/>
        <v>0.21999999999999997</v>
      </c>
      <c r="M300" s="5">
        <f t="shared" si="22"/>
        <v>5.2631578947368418E-2</v>
      </c>
      <c r="N300" s="5">
        <f t="shared" si="23"/>
        <v>0.27363636363636368</v>
      </c>
      <c r="O300" s="5" t="str">
        <f t="shared" si="24"/>
        <v>At-Risk</v>
      </c>
      <c r="P300" s="5">
        <f>IF(Table1[[#This Row],[Health Status]]="Churned",0,1)</f>
        <v>1</v>
      </c>
      <c r="Q300" s="5" t="str">
        <f>IF(Table1[[#This Row],[Subscription_End_Date]]="", "Active", "Churned")</f>
        <v>Active</v>
      </c>
      <c r="R300" s="5">
        <f ca="1">IF(Table1[[#This Row],[Subscription_End_Date]]="", DATEDIF(Table1[[#This Row],[Subscription_Start_Date]], TODAY(), "m"),
DATEDIF(Table1[[#This Row],[Subscription_Start_Date]], Table1[[#This Row],[Subscription_End_Date]], "m"))</f>
        <v>22</v>
      </c>
      <c r="S300" s="2">
        <f ca="1">Table1[[#This Row],[Monthly_Spend]] * Table1[[#This Row],[Customer Lifetime(Months)]]</f>
        <v>220000</v>
      </c>
    </row>
    <row r="301" spans="1:19" x14ac:dyDescent="0.35">
      <c r="A301" t="s">
        <v>319</v>
      </c>
      <c r="B301" t="s">
        <v>31</v>
      </c>
      <c r="C301" s="1">
        <v>45454</v>
      </c>
      <c r="E301" t="s">
        <v>23</v>
      </c>
      <c r="F301" s="2">
        <v>5000</v>
      </c>
      <c r="G301">
        <v>11</v>
      </c>
      <c r="H301">
        <v>18</v>
      </c>
      <c r="I301" t="s">
        <v>17</v>
      </c>
      <c r="J301">
        <f>IF(Table1[[#This Row],[Status]]="Churned",1,0)</f>
        <v>0</v>
      </c>
      <c r="K301">
        <f t="shared" si="20"/>
        <v>0.17171717171717171</v>
      </c>
      <c r="L301">
        <f t="shared" si="21"/>
        <v>0.78</v>
      </c>
      <c r="M301" s="5">
        <f t="shared" si="22"/>
        <v>0</v>
      </c>
      <c r="N301" s="5">
        <f t="shared" si="23"/>
        <v>0.42434343434343436</v>
      </c>
      <c r="O301" s="5" t="str">
        <f t="shared" si="24"/>
        <v>At-Risk</v>
      </c>
      <c r="P301" s="5">
        <f>IF(Table1[[#This Row],[Health Status]]="Churned",0,1)</f>
        <v>1</v>
      </c>
      <c r="Q301" s="5" t="str">
        <f>IF(Table1[[#This Row],[Subscription_End_Date]]="", "Active", "Churned")</f>
        <v>Active</v>
      </c>
      <c r="R301" s="5">
        <f ca="1">IF(Table1[[#This Row],[Subscription_End_Date]]="", DATEDIF(Table1[[#This Row],[Subscription_Start_Date]], TODAY(), "m"),
DATEDIF(Table1[[#This Row],[Subscription_Start_Date]], Table1[[#This Row],[Subscription_End_Date]], "m"))</f>
        <v>16</v>
      </c>
      <c r="S301" s="2">
        <f ca="1">Table1[[#This Row],[Monthly_Spend]] * Table1[[#This Row],[Customer Lifetime(Months)]]</f>
        <v>80000</v>
      </c>
    </row>
    <row r="302" spans="1:19" x14ac:dyDescent="0.35">
      <c r="A302" t="s">
        <v>320</v>
      </c>
      <c r="B302" t="s">
        <v>31</v>
      </c>
      <c r="C302" s="1">
        <v>45181</v>
      </c>
      <c r="D302" s="1">
        <v>45603</v>
      </c>
      <c r="E302" t="s">
        <v>23</v>
      </c>
      <c r="F302" s="2">
        <v>10000</v>
      </c>
      <c r="G302">
        <v>28</v>
      </c>
      <c r="H302">
        <v>97</v>
      </c>
      <c r="I302" t="s">
        <v>28</v>
      </c>
      <c r="J302">
        <f>IF(Table1[[#This Row],[Status]]="Churned",1,0)</f>
        <v>1</v>
      </c>
      <c r="K302">
        <f t="shared" si="20"/>
        <v>0.96969696969696972</v>
      </c>
      <c r="L302">
        <f t="shared" si="21"/>
        <v>0.43999999999999995</v>
      </c>
      <c r="M302" s="5">
        <f t="shared" si="22"/>
        <v>5.2631578947368418E-2</v>
      </c>
      <c r="N302" s="5">
        <f t="shared" si="23"/>
        <v>0.71393939393939387</v>
      </c>
      <c r="O302" s="5" t="str">
        <f t="shared" si="24"/>
        <v>Churned</v>
      </c>
      <c r="P302" s="5">
        <f>IF(Table1[[#This Row],[Health Status]]="Churned",0,1)</f>
        <v>0</v>
      </c>
      <c r="Q302" s="5" t="str">
        <f>IF(Table1[[#This Row],[Subscription_End_Date]]="", "Active", "Churned")</f>
        <v>Churned</v>
      </c>
      <c r="R302" s="5">
        <f ca="1">IF(Table1[[#This Row],[Subscription_End_Date]]="", DATEDIF(Table1[[#This Row],[Subscription_Start_Date]], TODAY(), "m"),
DATEDIF(Table1[[#This Row],[Subscription_Start_Date]], Table1[[#This Row],[Subscription_End_Date]], "m"))</f>
        <v>13</v>
      </c>
      <c r="S302" s="2">
        <f ca="1">Table1[[#This Row],[Monthly_Spend]] * Table1[[#This Row],[Customer Lifetime(Months)]]</f>
        <v>130000</v>
      </c>
    </row>
    <row r="303" spans="1:19" x14ac:dyDescent="0.35">
      <c r="A303" t="s">
        <v>321</v>
      </c>
      <c r="B303" t="s">
        <v>19</v>
      </c>
      <c r="C303" s="1">
        <v>45236</v>
      </c>
      <c r="E303" t="s">
        <v>23</v>
      </c>
      <c r="F303" s="2">
        <v>20000</v>
      </c>
      <c r="G303">
        <v>41</v>
      </c>
      <c r="H303">
        <v>47</v>
      </c>
      <c r="I303" t="s">
        <v>12</v>
      </c>
      <c r="J303">
        <f>IF(Table1[[#This Row],[Status]]="Churned",1,0)</f>
        <v>0</v>
      </c>
      <c r="K303">
        <f t="shared" si="20"/>
        <v>0.46464646464646464</v>
      </c>
      <c r="L303">
        <f t="shared" si="21"/>
        <v>0.18000000000000005</v>
      </c>
      <c r="M303" s="5">
        <f t="shared" si="22"/>
        <v>0.15789473684210525</v>
      </c>
      <c r="N303" s="5">
        <f t="shared" si="23"/>
        <v>0.18292929292929294</v>
      </c>
      <c r="O303" s="5" t="str">
        <f t="shared" si="24"/>
        <v>At-Risk</v>
      </c>
      <c r="P303" s="5">
        <f>IF(Table1[[#This Row],[Health Status]]="Churned",0,1)</f>
        <v>1</v>
      </c>
      <c r="Q303" s="5" t="str">
        <f>IF(Table1[[#This Row],[Subscription_End_Date]]="", "Active", "Churned")</f>
        <v>Active</v>
      </c>
      <c r="R303" s="5">
        <f ca="1">IF(Table1[[#This Row],[Subscription_End_Date]]="", DATEDIF(Table1[[#This Row],[Subscription_Start_Date]], TODAY(), "m"),
DATEDIF(Table1[[#This Row],[Subscription_Start_Date]], Table1[[#This Row],[Subscription_End_Date]], "m"))</f>
        <v>23</v>
      </c>
      <c r="S303" s="2">
        <f ca="1">Table1[[#This Row],[Monthly_Spend]] * Table1[[#This Row],[Customer Lifetime(Months)]]</f>
        <v>460000</v>
      </c>
    </row>
    <row r="304" spans="1:19" x14ac:dyDescent="0.35">
      <c r="A304" t="s">
        <v>322</v>
      </c>
      <c r="B304" t="s">
        <v>27</v>
      </c>
      <c r="C304" s="1">
        <v>45610</v>
      </c>
      <c r="E304" t="s">
        <v>11</v>
      </c>
      <c r="F304" s="2">
        <v>10000</v>
      </c>
      <c r="G304">
        <v>25</v>
      </c>
      <c r="H304">
        <v>88</v>
      </c>
      <c r="I304" t="s">
        <v>17</v>
      </c>
      <c r="J304">
        <f>IF(Table1[[#This Row],[Status]]="Churned",1,0)</f>
        <v>0</v>
      </c>
      <c r="K304">
        <f t="shared" si="20"/>
        <v>0.87878787878787878</v>
      </c>
      <c r="L304">
        <f t="shared" si="21"/>
        <v>0.5</v>
      </c>
      <c r="M304" s="5">
        <f t="shared" si="22"/>
        <v>5.2631578947368418E-2</v>
      </c>
      <c r="N304" s="5">
        <f t="shared" si="23"/>
        <v>0.42575757575757578</v>
      </c>
      <c r="O304" s="5" t="str">
        <f t="shared" si="24"/>
        <v>At-Risk</v>
      </c>
      <c r="P304" s="5">
        <f>IF(Table1[[#This Row],[Health Status]]="Churned",0,1)</f>
        <v>1</v>
      </c>
      <c r="Q304" s="5" t="str">
        <f>IF(Table1[[#This Row],[Subscription_End_Date]]="", "Active", "Churned")</f>
        <v>Active</v>
      </c>
      <c r="R304" s="5">
        <f ca="1">IF(Table1[[#This Row],[Subscription_End_Date]]="", DATEDIF(Table1[[#This Row],[Subscription_Start_Date]], TODAY(), "m"),
DATEDIF(Table1[[#This Row],[Subscription_Start_Date]], Table1[[#This Row],[Subscription_End_Date]], "m"))</f>
        <v>11</v>
      </c>
      <c r="S304" s="2">
        <f ca="1">Table1[[#This Row],[Monthly_Spend]] * Table1[[#This Row],[Customer Lifetime(Months)]]</f>
        <v>110000</v>
      </c>
    </row>
    <row r="305" spans="1:19" x14ac:dyDescent="0.35">
      <c r="A305" t="s">
        <v>323</v>
      </c>
      <c r="B305" t="s">
        <v>14</v>
      </c>
      <c r="C305" s="1">
        <v>45245</v>
      </c>
      <c r="E305" t="s">
        <v>16</v>
      </c>
      <c r="F305" s="2">
        <v>20000</v>
      </c>
      <c r="G305">
        <v>39</v>
      </c>
      <c r="H305">
        <v>29</v>
      </c>
      <c r="I305" t="s">
        <v>17</v>
      </c>
      <c r="J305">
        <f>IF(Table1[[#This Row],[Status]]="Churned",1,0)</f>
        <v>0</v>
      </c>
      <c r="K305">
        <f t="shared" si="20"/>
        <v>0.28282828282828282</v>
      </c>
      <c r="L305">
        <f t="shared" si="21"/>
        <v>0.21999999999999997</v>
      </c>
      <c r="M305" s="5">
        <f t="shared" si="22"/>
        <v>0.15789473684210525</v>
      </c>
      <c r="N305" s="5">
        <f t="shared" si="23"/>
        <v>0.16656565656565656</v>
      </c>
      <c r="O305" s="5" t="str">
        <f t="shared" si="24"/>
        <v>At-Risk</v>
      </c>
      <c r="P305" s="5">
        <f>IF(Table1[[#This Row],[Health Status]]="Churned",0,1)</f>
        <v>1</v>
      </c>
      <c r="Q305" s="5" t="str">
        <f>IF(Table1[[#This Row],[Subscription_End_Date]]="", "Active", "Churned")</f>
        <v>Active</v>
      </c>
      <c r="R305" s="5">
        <f ca="1">IF(Table1[[#This Row],[Subscription_End_Date]]="", DATEDIF(Table1[[#This Row],[Subscription_Start_Date]], TODAY(), "m"),
DATEDIF(Table1[[#This Row],[Subscription_Start_Date]], Table1[[#This Row],[Subscription_End_Date]], "m"))</f>
        <v>23</v>
      </c>
      <c r="S305" s="2">
        <f ca="1">Table1[[#This Row],[Monthly_Spend]] * Table1[[#This Row],[Customer Lifetime(Months)]]</f>
        <v>460000</v>
      </c>
    </row>
    <row r="306" spans="1:19" x14ac:dyDescent="0.35">
      <c r="A306" t="s">
        <v>324</v>
      </c>
      <c r="B306" t="s">
        <v>27</v>
      </c>
      <c r="C306" s="1">
        <v>45416</v>
      </c>
      <c r="E306" t="s">
        <v>11</v>
      </c>
      <c r="F306" s="2">
        <v>50000</v>
      </c>
      <c r="G306">
        <v>44</v>
      </c>
      <c r="H306">
        <v>71</v>
      </c>
      <c r="I306" t="s">
        <v>17</v>
      </c>
      <c r="J306">
        <f>IF(Table1[[#This Row],[Status]]="Churned",1,0)</f>
        <v>0</v>
      </c>
      <c r="K306">
        <f t="shared" si="20"/>
        <v>0.70707070707070707</v>
      </c>
      <c r="L306">
        <f t="shared" si="21"/>
        <v>0.12</v>
      </c>
      <c r="M306" s="5">
        <f t="shared" si="22"/>
        <v>0.47368421052631576</v>
      </c>
      <c r="N306" s="5">
        <f t="shared" si="23"/>
        <v>0.20141414141414141</v>
      </c>
      <c r="O306" s="5" t="str">
        <f t="shared" si="24"/>
        <v>At-Risk</v>
      </c>
      <c r="P306" s="5">
        <f>IF(Table1[[#This Row],[Health Status]]="Churned",0,1)</f>
        <v>1</v>
      </c>
      <c r="Q306" s="5" t="str">
        <f>IF(Table1[[#This Row],[Subscription_End_Date]]="", "Active", "Churned")</f>
        <v>Active</v>
      </c>
      <c r="R306" s="5">
        <f ca="1">IF(Table1[[#This Row],[Subscription_End_Date]]="", DATEDIF(Table1[[#This Row],[Subscription_Start_Date]], TODAY(), "m"),
DATEDIF(Table1[[#This Row],[Subscription_Start_Date]], Table1[[#This Row],[Subscription_End_Date]], "m"))</f>
        <v>17</v>
      </c>
      <c r="S306" s="2">
        <f ca="1">Table1[[#This Row],[Monthly_Spend]] * Table1[[#This Row],[Customer Lifetime(Months)]]</f>
        <v>850000</v>
      </c>
    </row>
    <row r="307" spans="1:19" x14ac:dyDescent="0.35">
      <c r="A307" t="s">
        <v>325</v>
      </c>
      <c r="B307" t="s">
        <v>31</v>
      </c>
      <c r="C307" s="1">
        <v>45607</v>
      </c>
      <c r="E307" t="s">
        <v>16</v>
      </c>
      <c r="F307" s="2">
        <v>100000</v>
      </c>
      <c r="G307">
        <v>50</v>
      </c>
      <c r="H307">
        <v>11</v>
      </c>
      <c r="I307" t="s">
        <v>12</v>
      </c>
      <c r="J307">
        <f>IF(Table1[[#This Row],[Status]]="Churned",1,0)</f>
        <v>0</v>
      </c>
      <c r="K307">
        <f t="shared" si="20"/>
        <v>0.10101010101010101</v>
      </c>
      <c r="L307">
        <f t="shared" si="21"/>
        <v>0</v>
      </c>
      <c r="M307" s="5">
        <f t="shared" si="22"/>
        <v>1</v>
      </c>
      <c r="N307" s="5">
        <f t="shared" si="23"/>
        <v>2.0202020202020204E-2</v>
      </c>
      <c r="O307" s="5" t="str">
        <f t="shared" si="24"/>
        <v>Healthy</v>
      </c>
      <c r="P307" s="5">
        <f>IF(Table1[[#This Row],[Health Status]]="Churned",0,1)</f>
        <v>1</v>
      </c>
      <c r="Q307" s="5" t="str">
        <f>IF(Table1[[#This Row],[Subscription_End_Date]]="", "Active", "Churned")</f>
        <v>Active</v>
      </c>
      <c r="R307" s="5">
        <f ca="1">IF(Table1[[#This Row],[Subscription_End_Date]]="", DATEDIF(Table1[[#This Row],[Subscription_Start_Date]], TODAY(), "m"),
DATEDIF(Table1[[#This Row],[Subscription_Start_Date]], Table1[[#This Row],[Subscription_End_Date]], "m"))</f>
        <v>11</v>
      </c>
      <c r="S307" s="2">
        <f ca="1">Table1[[#This Row],[Monthly_Spend]] * Table1[[#This Row],[Customer Lifetime(Months)]]</f>
        <v>1100000</v>
      </c>
    </row>
    <row r="308" spans="1:19" x14ac:dyDescent="0.35">
      <c r="A308" t="s">
        <v>326</v>
      </c>
      <c r="B308" t="s">
        <v>14</v>
      </c>
      <c r="C308" s="1">
        <v>45467</v>
      </c>
      <c r="E308" t="s">
        <v>23</v>
      </c>
      <c r="F308" s="2">
        <v>100000</v>
      </c>
      <c r="G308">
        <v>7</v>
      </c>
      <c r="H308">
        <v>8</v>
      </c>
      <c r="I308" t="s">
        <v>12</v>
      </c>
      <c r="J308">
        <f>IF(Table1[[#This Row],[Status]]="Churned",1,0)</f>
        <v>0</v>
      </c>
      <c r="K308">
        <f t="shared" si="20"/>
        <v>7.0707070707070704E-2</v>
      </c>
      <c r="L308">
        <f t="shared" si="21"/>
        <v>0.86</v>
      </c>
      <c r="M308" s="5">
        <f t="shared" si="22"/>
        <v>1</v>
      </c>
      <c r="N308" s="5">
        <f t="shared" si="23"/>
        <v>0.44414141414141411</v>
      </c>
      <c r="O308" s="5" t="str">
        <f t="shared" si="24"/>
        <v>Healthy</v>
      </c>
      <c r="P308" s="5">
        <f>IF(Table1[[#This Row],[Health Status]]="Churned",0,1)</f>
        <v>1</v>
      </c>
      <c r="Q308" s="5" t="str">
        <f>IF(Table1[[#This Row],[Subscription_End_Date]]="", "Active", "Churned")</f>
        <v>Active</v>
      </c>
      <c r="R308" s="5">
        <f ca="1">IF(Table1[[#This Row],[Subscription_End_Date]]="", DATEDIF(Table1[[#This Row],[Subscription_Start_Date]], TODAY(), "m"),
DATEDIF(Table1[[#This Row],[Subscription_Start_Date]], Table1[[#This Row],[Subscription_End_Date]], "m"))</f>
        <v>16</v>
      </c>
      <c r="S308" s="2">
        <f ca="1">Table1[[#This Row],[Monthly_Spend]] * Table1[[#This Row],[Customer Lifetime(Months)]]</f>
        <v>1600000</v>
      </c>
    </row>
    <row r="309" spans="1:19" x14ac:dyDescent="0.35">
      <c r="A309" t="s">
        <v>327</v>
      </c>
      <c r="B309" t="s">
        <v>14</v>
      </c>
      <c r="C309" s="1">
        <v>45134</v>
      </c>
      <c r="E309" t="s">
        <v>16</v>
      </c>
      <c r="F309" s="2">
        <v>10000</v>
      </c>
      <c r="G309">
        <v>20</v>
      </c>
      <c r="H309">
        <v>67</v>
      </c>
      <c r="I309" t="s">
        <v>12</v>
      </c>
      <c r="J309">
        <f>IF(Table1[[#This Row],[Status]]="Churned",1,0)</f>
        <v>0</v>
      </c>
      <c r="K309">
        <f t="shared" si="20"/>
        <v>0.66666666666666663</v>
      </c>
      <c r="L309">
        <f t="shared" si="21"/>
        <v>0.6</v>
      </c>
      <c r="M309" s="5">
        <f t="shared" si="22"/>
        <v>5.2631578947368418E-2</v>
      </c>
      <c r="N309" s="5">
        <f t="shared" si="23"/>
        <v>0.43333333333333335</v>
      </c>
      <c r="O309" s="5" t="str">
        <f t="shared" si="24"/>
        <v>At-Risk</v>
      </c>
      <c r="P309" s="5">
        <f>IF(Table1[[#This Row],[Health Status]]="Churned",0,1)</f>
        <v>1</v>
      </c>
      <c r="Q309" s="5" t="str">
        <f>IF(Table1[[#This Row],[Subscription_End_Date]]="", "Active", "Churned")</f>
        <v>Active</v>
      </c>
      <c r="R309" s="5">
        <f ca="1">IF(Table1[[#This Row],[Subscription_End_Date]]="", DATEDIF(Table1[[#This Row],[Subscription_Start_Date]], TODAY(), "m"),
DATEDIF(Table1[[#This Row],[Subscription_Start_Date]], Table1[[#This Row],[Subscription_End_Date]], "m"))</f>
        <v>27</v>
      </c>
      <c r="S309" s="2">
        <f ca="1">Table1[[#This Row],[Monthly_Spend]] * Table1[[#This Row],[Customer Lifetime(Months)]]</f>
        <v>270000</v>
      </c>
    </row>
    <row r="310" spans="1:19" x14ac:dyDescent="0.35">
      <c r="A310" t="s">
        <v>328</v>
      </c>
      <c r="B310" t="s">
        <v>31</v>
      </c>
      <c r="C310" s="1">
        <v>45623</v>
      </c>
      <c r="E310" t="s">
        <v>11</v>
      </c>
      <c r="F310" s="2">
        <v>5000</v>
      </c>
      <c r="G310">
        <v>32</v>
      </c>
      <c r="H310">
        <v>58</v>
      </c>
      <c r="I310" t="s">
        <v>17</v>
      </c>
      <c r="J310">
        <f>IF(Table1[[#This Row],[Status]]="Churned",1,0)</f>
        <v>0</v>
      </c>
      <c r="K310">
        <f t="shared" si="20"/>
        <v>0.5757575757575758</v>
      </c>
      <c r="L310">
        <f t="shared" si="21"/>
        <v>0.36</v>
      </c>
      <c r="M310" s="5">
        <f t="shared" si="22"/>
        <v>0</v>
      </c>
      <c r="N310" s="5">
        <f t="shared" si="23"/>
        <v>0.29515151515151516</v>
      </c>
      <c r="O310" s="5" t="str">
        <f t="shared" si="24"/>
        <v>At-Risk</v>
      </c>
      <c r="P310" s="5">
        <f>IF(Table1[[#This Row],[Health Status]]="Churned",0,1)</f>
        <v>1</v>
      </c>
      <c r="Q310" s="5" t="str">
        <f>IF(Table1[[#This Row],[Subscription_End_Date]]="", "Active", "Churned")</f>
        <v>Active</v>
      </c>
      <c r="R310" s="5">
        <f ca="1">IF(Table1[[#This Row],[Subscription_End_Date]]="", DATEDIF(Table1[[#This Row],[Subscription_Start_Date]], TODAY(), "m"),
DATEDIF(Table1[[#This Row],[Subscription_Start_Date]], Table1[[#This Row],[Subscription_End_Date]], "m"))</f>
        <v>11</v>
      </c>
      <c r="S310" s="2">
        <f ca="1">Table1[[#This Row],[Monthly_Spend]] * Table1[[#This Row],[Customer Lifetime(Months)]]</f>
        <v>55000</v>
      </c>
    </row>
    <row r="311" spans="1:19" x14ac:dyDescent="0.35">
      <c r="A311" t="s">
        <v>329</v>
      </c>
      <c r="B311" t="s">
        <v>10</v>
      </c>
      <c r="C311" s="1">
        <v>45062</v>
      </c>
      <c r="E311" t="s">
        <v>23</v>
      </c>
      <c r="F311" s="2">
        <v>100000</v>
      </c>
      <c r="G311">
        <v>3</v>
      </c>
      <c r="H311">
        <v>72</v>
      </c>
      <c r="I311" t="s">
        <v>17</v>
      </c>
      <c r="J311">
        <f>IF(Table1[[#This Row],[Status]]="Churned",1,0)</f>
        <v>0</v>
      </c>
      <c r="K311">
        <f t="shared" si="20"/>
        <v>0.71717171717171713</v>
      </c>
      <c r="L311">
        <f t="shared" si="21"/>
        <v>0.94</v>
      </c>
      <c r="M311" s="5">
        <f t="shared" si="22"/>
        <v>1</v>
      </c>
      <c r="N311" s="5">
        <f t="shared" si="23"/>
        <v>0.61343434343434344</v>
      </c>
      <c r="O311" s="5" t="str">
        <f t="shared" si="24"/>
        <v>Healthy</v>
      </c>
      <c r="P311" s="5">
        <f>IF(Table1[[#This Row],[Health Status]]="Churned",0,1)</f>
        <v>1</v>
      </c>
      <c r="Q311" s="5" t="str">
        <f>IF(Table1[[#This Row],[Subscription_End_Date]]="", "Active", "Churned")</f>
        <v>Active</v>
      </c>
      <c r="R311" s="5">
        <f ca="1">IF(Table1[[#This Row],[Subscription_End_Date]]="", DATEDIF(Table1[[#This Row],[Subscription_Start_Date]], TODAY(), "m"),
DATEDIF(Table1[[#This Row],[Subscription_Start_Date]], Table1[[#This Row],[Subscription_End_Date]], "m"))</f>
        <v>29</v>
      </c>
      <c r="S311" s="2">
        <f ca="1">Table1[[#This Row],[Monthly_Spend]] * Table1[[#This Row],[Customer Lifetime(Months)]]</f>
        <v>2900000</v>
      </c>
    </row>
    <row r="312" spans="1:19" x14ac:dyDescent="0.35">
      <c r="A312" t="s">
        <v>330</v>
      </c>
      <c r="B312" t="s">
        <v>31</v>
      </c>
      <c r="C312" s="1">
        <v>45242</v>
      </c>
      <c r="E312" t="s">
        <v>16</v>
      </c>
      <c r="F312" s="2">
        <v>20000</v>
      </c>
      <c r="G312">
        <v>0</v>
      </c>
      <c r="H312">
        <v>96</v>
      </c>
      <c r="I312" t="s">
        <v>17</v>
      </c>
      <c r="J312">
        <f>IF(Table1[[#This Row],[Status]]="Churned",1,0)</f>
        <v>0</v>
      </c>
      <c r="K312">
        <f t="shared" si="20"/>
        <v>0.95959595959595956</v>
      </c>
      <c r="L312">
        <f t="shared" si="21"/>
        <v>1</v>
      </c>
      <c r="M312" s="5">
        <f t="shared" si="22"/>
        <v>0.15789473684210525</v>
      </c>
      <c r="N312" s="5">
        <f t="shared" si="23"/>
        <v>0.69191919191919193</v>
      </c>
      <c r="O312" s="5" t="str">
        <f t="shared" si="24"/>
        <v>At-Risk</v>
      </c>
      <c r="P312" s="5">
        <f>IF(Table1[[#This Row],[Health Status]]="Churned",0,1)</f>
        <v>1</v>
      </c>
      <c r="Q312" s="5" t="str">
        <f>IF(Table1[[#This Row],[Subscription_End_Date]]="", "Active", "Churned")</f>
        <v>Active</v>
      </c>
      <c r="R312" s="5">
        <f ca="1">IF(Table1[[#This Row],[Subscription_End_Date]]="", DATEDIF(Table1[[#This Row],[Subscription_Start_Date]], TODAY(), "m"),
DATEDIF(Table1[[#This Row],[Subscription_Start_Date]], Table1[[#This Row],[Subscription_End_Date]], "m"))</f>
        <v>23</v>
      </c>
      <c r="S312" s="2">
        <f ca="1">Table1[[#This Row],[Monthly_Spend]] * Table1[[#This Row],[Customer Lifetime(Months)]]</f>
        <v>460000</v>
      </c>
    </row>
    <row r="313" spans="1:19" x14ac:dyDescent="0.35">
      <c r="A313" t="s">
        <v>331</v>
      </c>
      <c r="B313" t="s">
        <v>27</v>
      </c>
      <c r="C313" s="1">
        <v>45001</v>
      </c>
      <c r="D313" s="1">
        <v>45383</v>
      </c>
      <c r="E313" t="s">
        <v>16</v>
      </c>
      <c r="F313" s="2">
        <v>5000</v>
      </c>
      <c r="G313">
        <v>34</v>
      </c>
      <c r="H313">
        <v>8</v>
      </c>
      <c r="I313" t="s">
        <v>28</v>
      </c>
      <c r="J313">
        <f>IF(Table1[[#This Row],[Status]]="Churned",1,0)</f>
        <v>1</v>
      </c>
      <c r="K313">
        <f t="shared" si="20"/>
        <v>7.0707070707070704E-2</v>
      </c>
      <c r="L313">
        <f t="shared" si="21"/>
        <v>0.31999999999999995</v>
      </c>
      <c r="M313" s="5">
        <f t="shared" si="22"/>
        <v>0</v>
      </c>
      <c r="N313" s="5">
        <f t="shared" si="23"/>
        <v>0.47414141414141409</v>
      </c>
      <c r="O313" s="5" t="str">
        <f t="shared" si="24"/>
        <v>Churned</v>
      </c>
      <c r="P313" s="5">
        <f>IF(Table1[[#This Row],[Health Status]]="Churned",0,1)</f>
        <v>0</v>
      </c>
      <c r="Q313" s="5" t="str">
        <f>IF(Table1[[#This Row],[Subscription_End_Date]]="", "Active", "Churned")</f>
        <v>Churned</v>
      </c>
      <c r="R313" s="5">
        <f ca="1">IF(Table1[[#This Row],[Subscription_End_Date]]="", DATEDIF(Table1[[#This Row],[Subscription_Start_Date]], TODAY(), "m"),
DATEDIF(Table1[[#This Row],[Subscription_Start_Date]], Table1[[#This Row],[Subscription_End_Date]], "m"))</f>
        <v>12</v>
      </c>
      <c r="S313" s="2">
        <f ca="1">Table1[[#This Row],[Monthly_Spend]] * Table1[[#This Row],[Customer Lifetime(Months)]]</f>
        <v>60000</v>
      </c>
    </row>
    <row r="314" spans="1:19" x14ac:dyDescent="0.35">
      <c r="A314" t="s">
        <v>332</v>
      </c>
      <c r="B314" t="s">
        <v>10</v>
      </c>
      <c r="C314" s="1">
        <v>44959</v>
      </c>
      <c r="E314" t="s">
        <v>23</v>
      </c>
      <c r="F314" s="2">
        <v>10000</v>
      </c>
      <c r="G314">
        <v>49</v>
      </c>
      <c r="H314">
        <v>83</v>
      </c>
      <c r="I314" t="s">
        <v>12</v>
      </c>
      <c r="J314">
        <f>IF(Table1[[#This Row],[Status]]="Churned",1,0)</f>
        <v>0</v>
      </c>
      <c r="K314">
        <f t="shared" si="20"/>
        <v>0.82828282828282829</v>
      </c>
      <c r="L314">
        <f t="shared" si="21"/>
        <v>2.0000000000000018E-2</v>
      </c>
      <c r="M314" s="5">
        <f t="shared" si="22"/>
        <v>5.2631578947368418E-2</v>
      </c>
      <c r="N314" s="5">
        <f t="shared" si="23"/>
        <v>0.17565656565656568</v>
      </c>
      <c r="O314" s="5" t="str">
        <f t="shared" si="24"/>
        <v>At-Risk</v>
      </c>
      <c r="P314" s="5">
        <f>IF(Table1[[#This Row],[Health Status]]="Churned",0,1)</f>
        <v>1</v>
      </c>
      <c r="Q314" s="5" t="str">
        <f>IF(Table1[[#This Row],[Subscription_End_Date]]="", "Active", "Churned")</f>
        <v>Active</v>
      </c>
      <c r="R314" s="5">
        <f ca="1">IF(Table1[[#This Row],[Subscription_End_Date]]="", DATEDIF(Table1[[#This Row],[Subscription_Start_Date]], TODAY(), "m"),
DATEDIF(Table1[[#This Row],[Subscription_Start_Date]], Table1[[#This Row],[Subscription_End_Date]], "m"))</f>
        <v>32</v>
      </c>
      <c r="S314" s="2">
        <f ca="1">Table1[[#This Row],[Monthly_Spend]] * Table1[[#This Row],[Customer Lifetime(Months)]]</f>
        <v>320000</v>
      </c>
    </row>
    <row r="315" spans="1:19" x14ac:dyDescent="0.35">
      <c r="A315" t="s">
        <v>333</v>
      </c>
      <c r="B315" t="s">
        <v>31</v>
      </c>
      <c r="C315" s="1">
        <v>45318</v>
      </c>
      <c r="E315" t="s">
        <v>23</v>
      </c>
      <c r="F315" s="2">
        <v>50000</v>
      </c>
      <c r="G315">
        <v>5</v>
      </c>
      <c r="H315">
        <v>88</v>
      </c>
      <c r="I315" t="s">
        <v>17</v>
      </c>
      <c r="J315">
        <f>IF(Table1[[#This Row],[Status]]="Churned",1,0)</f>
        <v>0</v>
      </c>
      <c r="K315">
        <f t="shared" si="20"/>
        <v>0.87878787878787878</v>
      </c>
      <c r="L315">
        <f t="shared" si="21"/>
        <v>0.9</v>
      </c>
      <c r="M315" s="5">
        <f t="shared" si="22"/>
        <v>0.47368421052631576</v>
      </c>
      <c r="N315" s="5">
        <f t="shared" si="23"/>
        <v>0.62575757575757573</v>
      </c>
      <c r="O315" s="5" t="str">
        <f t="shared" si="24"/>
        <v>At-Risk</v>
      </c>
      <c r="P315" s="5">
        <f>IF(Table1[[#This Row],[Health Status]]="Churned",0,1)</f>
        <v>1</v>
      </c>
      <c r="Q315" s="5" t="str">
        <f>IF(Table1[[#This Row],[Subscription_End_Date]]="", "Active", "Churned")</f>
        <v>Active</v>
      </c>
      <c r="R315" s="5">
        <f ca="1">IF(Table1[[#This Row],[Subscription_End_Date]]="", DATEDIF(Table1[[#This Row],[Subscription_Start_Date]], TODAY(), "m"),
DATEDIF(Table1[[#This Row],[Subscription_Start_Date]], Table1[[#This Row],[Subscription_End_Date]], "m"))</f>
        <v>21</v>
      </c>
      <c r="S315" s="2">
        <f ca="1">Table1[[#This Row],[Monthly_Spend]] * Table1[[#This Row],[Customer Lifetime(Months)]]</f>
        <v>1050000</v>
      </c>
    </row>
    <row r="316" spans="1:19" x14ac:dyDescent="0.35">
      <c r="A316" t="s">
        <v>334</v>
      </c>
      <c r="B316" t="s">
        <v>14</v>
      </c>
      <c r="C316" s="1">
        <v>45596</v>
      </c>
      <c r="E316" t="s">
        <v>11</v>
      </c>
      <c r="F316" s="2">
        <v>10000</v>
      </c>
      <c r="G316">
        <v>34</v>
      </c>
      <c r="H316">
        <v>51</v>
      </c>
      <c r="I316" t="s">
        <v>12</v>
      </c>
      <c r="J316">
        <f>IF(Table1[[#This Row],[Status]]="Churned",1,0)</f>
        <v>0</v>
      </c>
      <c r="K316">
        <f t="shared" si="20"/>
        <v>0.50505050505050508</v>
      </c>
      <c r="L316">
        <f t="shared" si="21"/>
        <v>0.31999999999999995</v>
      </c>
      <c r="M316" s="5">
        <f t="shared" si="22"/>
        <v>5.2631578947368418E-2</v>
      </c>
      <c r="N316" s="5">
        <f t="shared" si="23"/>
        <v>0.26101010101010103</v>
      </c>
      <c r="O316" s="5" t="str">
        <f t="shared" si="24"/>
        <v>At-Risk</v>
      </c>
      <c r="P316" s="5">
        <f>IF(Table1[[#This Row],[Health Status]]="Churned",0,1)</f>
        <v>1</v>
      </c>
      <c r="Q316" s="5" t="str">
        <f>IF(Table1[[#This Row],[Subscription_End_Date]]="", "Active", "Churned")</f>
        <v>Active</v>
      </c>
      <c r="R316" s="5">
        <f ca="1">IF(Table1[[#This Row],[Subscription_End_Date]]="", DATEDIF(Table1[[#This Row],[Subscription_Start_Date]], TODAY(), "m"),
DATEDIF(Table1[[#This Row],[Subscription_Start_Date]], Table1[[#This Row],[Subscription_End_Date]], "m"))</f>
        <v>11</v>
      </c>
      <c r="S316" s="2">
        <f ca="1">Table1[[#This Row],[Monthly_Spend]] * Table1[[#This Row],[Customer Lifetime(Months)]]</f>
        <v>110000</v>
      </c>
    </row>
    <row r="317" spans="1:19" x14ac:dyDescent="0.35">
      <c r="A317" t="s">
        <v>335</v>
      </c>
      <c r="B317" t="s">
        <v>14</v>
      </c>
      <c r="C317" s="1">
        <v>45155</v>
      </c>
      <c r="E317" t="s">
        <v>11</v>
      </c>
      <c r="F317" s="2">
        <v>20000</v>
      </c>
      <c r="G317">
        <v>29</v>
      </c>
      <c r="H317">
        <v>87</v>
      </c>
      <c r="I317" t="s">
        <v>12</v>
      </c>
      <c r="J317">
        <f>IF(Table1[[#This Row],[Status]]="Churned",1,0)</f>
        <v>0</v>
      </c>
      <c r="K317">
        <f t="shared" si="20"/>
        <v>0.86868686868686873</v>
      </c>
      <c r="L317">
        <f t="shared" si="21"/>
        <v>0.42000000000000004</v>
      </c>
      <c r="M317" s="5">
        <f t="shared" si="22"/>
        <v>0.15789473684210525</v>
      </c>
      <c r="N317" s="5">
        <f t="shared" si="23"/>
        <v>0.38373737373737377</v>
      </c>
      <c r="O317" s="5" t="str">
        <f t="shared" si="24"/>
        <v>At-Risk</v>
      </c>
      <c r="P317" s="5">
        <f>IF(Table1[[#This Row],[Health Status]]="Churned",0,1)</f>
        <v>1</v>
      </c>
      <c r="Q317" s="5" t="str">
        <f>IF(Table1[[#This Row],[Subscription_End_Date]]="", "Active", "Churned")</f>
        <v>Active</v>
      </c>
      <c r="R317" s="5">
        <f ca="1">IF(Table1[[#This Row],[Subscription_End_Date]]="", DATEDIF(Table1[[#This Row],[Subscription_Start_Date]], TODAY(), "m"),
DATEDIF(Table1[[#This Row],[Subscription_Start_Date]], Table1[[#This Row],[Subscription_End_Date]], "m"))</f>
        <v>26</v>
      </c>
      <c r="S317" s="2">
        <f ca="1">Table1[[#This Row],[Monthly_Spend]] * Table1[[#This Row],[Customer Lifetime(Months)]]</f>
        <v>520000</v>
      </c>
    </row>
    <row r="318" spans="1:19" x14ac:dyDescent="0.35">
      <c r="A318" t="s">
        <v>336</v>
      </c>
      <c r="B318" t="s">
        <v>14</v>
      </c>
      <c r="C318" s="1">
        <v>45471</v>
      </c>
      <c r="E318" t="s">
        <v>23</v>
      </c>
      <c r="F318" s="2">
        <v>10000</v>
      </c>
      <c r="G318">
        <v>29</v>
      </c>
      <c r="H318">
        <v>45</v>
      </c>
      <c r="I318" t="s">
        <v>12</v>
      </c>
      <c r="J318">
        <f>IF(Table1[[#This Row],[Status]]="Churned",1,0)</f>
        <v>0</v>
      </c>
      <c r="K318">
        <f t="shared" si="20"/>
        <v>0.44444444444444442</v>
      </c>
      <c r="L318">
        <f t="shared" si="21"/>
        <v>0.42000000000000004</v>
      </c>
      <c r="M318" s="5">
        <f t="shared" si="22"/>
        <v>5.2631578947368418E-2</v>
      </c>
      <c r="N318" s="5">
        <f t="shared" si="23"/>
        <v>0.29888888888888893</v>
      </c>
      <c r="O318" s="5" t="str">
        <f t="shared" si="24"/>
        <v>At-Risk</v>
      </c>
      <c r="P318" s="5">
        <f>IF(Table1[[#This Row],[Health Status]]="Churned",0,1)</f>
        <v>1</v>
      </c>
      <c r="Q318" s="5" t="str">
        <f>IF(Table1[[#This Row],[Subscription_End_Date]]="", "Active", "Churned")</f>
        <v>Active</v>
      </c>
      <c r="R318" s="5">
        <f ca="1">IF(Table1[[#This Row],[Subscription_End_Date]]="", DATEDIF(Table1[[#This Row],[Subscription_Start_Date]], TODAY(), "m"),
DATEDIF(Table1[[#This Row],[Subscription_Start_Date]], Table1[[#This Row],[Subscription_End_Date]], "m"))</f>
        <v>16</v>
      </c>
      <c r="S318" s="2">
        <f ca="1">Table1[[#This Row],[Monthly_Spend]] * Table1[[#This Row],[Customer Lifetime(Months)]]</f>
        <v>160000</v>
      </c>
    </row>
    <row r="319" spans="1:19" x14ac:dyDescent="0.35">
      <c r="A319" t="s">
        <v>337</v>
      </c>
      <c r="B319" t="s">
        <v>27</v>
      </c>
      <c r="C319" s="1">
        <v>45120</v>
      </c>
      <c r="E319" t="s">
        <v>23</v>
      </c>
      <c r="F319" s="2">
        <v>5000</v>
      </c>
      <c r="G319">
        <v>42</v>
      </c>
      <c r="H319">
        <v>54</v>
      </c>
      <c r="I319" t="s">
        <v>12</v>
      </c>
      <c r="J319">
        <f>IF(Table1[[#This Row],[Status]]="Churned",1,0)</f>
        <v>0</v>
      </c>
      <c r="K319">
        <f t="shared" si="20"/>
        <v>0.53535353535353536</v>
      </c>
      <c r="L319">
        <f t="shared" si="21"/>
        <v>0.16000000000000003</v>
      </c>
      <c r="M319" s="5">
        <f t="shared" si="22"/>
        <v>0</v>
      </c>
      <c r="N319" s="5">
        <f t="shared" si="23"/>
        <v>0.18707070707070711</v>
      </c>
      <c r="O319" s="5" t="str">
        <f t="shared" si="24"/>
        <v>At-Risk</v>
      </c>
      <c r="P319" s="5">
        <f>IF(Table1[[#This Row],[Health Status]]="Churned",0,1)</f>
        <v>1</v>
      </c>
      <c r="Q319" s="5" t="str">
        <f>IF(Table1[[#This Row],[Subscription_End_Date]]="", "Active", "Churned")</f>
        <v>Active</v>
      </c>
      <c r="R319" s="5">
        <f ca="1">IF(Table1[[#This Row],[Subscription_End_Date]]="", DATEDIF(Table1[[#This Row],[Subscription_Start_Date]], TODAY(), "m"),
DATEDIF(Table1[[#This Row],[Subscription_Start_Date]], Table1[[#This Row],[Subscription_End_Date]], "m"))</f>
        <v>27</v>
      </c>
      <c r="S319" s="2">
        <f ca="1">Table1[[#This Row],[Monthly_Spend]] * Table1[[#This Row],[Customer Lifetime(Months)]]</f>
        <v>135000</v>
      </c>
    </row>
    <row r="320" spans="1:19" x14ac:dyDescent="0.35">
      <c r="A320" t="s">
        <v>338</v>
      </c>
      <c r="B320" t="s">
        <v>14</v>
      </c>
      <c r="C320" s="1">
        <v>45173</v>
      </c>
      <c r="E320" t="s">
        <v>11</v>
      </c>
      <c r="F320" s="2">
        <v>100000</v>
      </c>
      <c r="G320">
        <v>2</v>
      </c>
      <c r="H320">
        <v>58</v>
      </c>
      <c r="I320" t="s">
        <v>12</v>
      </c>
      <c r="J320">
        <f>IF(Table1[[#This Row],[Status]]="Churned",1,0)</f>
        <v>0</v>
      </c>
      <c r="K320">
        <f t="shared" si="20"/>
        <v>0.5757575757575758</v>
      </c>
      <c r="L320">
        <f t="shared" si="21"/>
        <v>0.96</v>
      </c>
      <c r="M320" s="5">
        <f t="shared" si="22"/>
        <v>1</v>
      </c>
      <c r="N320" s="5">
        <f t="shared" si="23"/>
        <v>0.59515151515151521</v>
      </c>
      <c r="O320" s="5" t="str">
        <f t="shared" si="24"/>
        <v>Healthy</v>
      </c>
      <c r="P320" s="5">
        <f>IF(Table1[[#This Row],[Health Status]]="Churned",0,1)</f>
        <v>1</v>
      </c>
      <c r="Q320" s="5" t="str">
        <f>IF(Table1[[#This Row],[Subscription_End_Date]]="", "Active", "Churned")</f>
        <v>Active</v>
      </c>
      <c r="R320" s="5">
        <f ca="1">IF(Table1[[#This Row],[Subscription_End_Date]]="", DATEDIF(Table1[[#This Row],[Subscription_Start_Date]], TODAY(), "m"),
DATEDIF(Table1[[#This Row],[Subscription_Start_Date]], Table1[[#This Row],[Subscription_End_Date]], "m"))</f>
        <v>25</v>
      </c>
      <c r="S320" s="2">
        <f ca="1">Table1[[#This Row],[Monthly_Spend]] * Table1[[#This Row],[Customer Lifetime(Months)]]</f>
        <v>2500000</v>
      </c>
    </row>
    <row r="321" spans="1:19" x14ac:dyDescent="0.35">
      <c r="A321" t="s">
        <v>339</v>
      </c>
      <c r="B321" t="s">
        <v>14</v>
      </c>
      <c r="C321" s="1">
        <v>45647</v>
      </c>
      <c r="E321" t="s">
        <v>16</v>
      </c>
      <c r="F321" s="2">
        <v>5000</v>
      </c>
      <c r="G321">
        <v>25</v>
      </c>
      <c r="H321">
        <v>57</v>
      </c>
      <c r="I321" t="s">
        <v>12</v>
      </c>
      <c r="J321">
        <f>IF(Table1[[#This Row],[Status]]="Churned",1,0)</f>
        <v>0</v>
      </c>
      <c r="K321">
        <f t="shared" si="20"/>
        <v>0.56565656565656564</v>
      </c>
      <c r="L321">
        <f t="shared" si="21"/>
        <v>0.5</v>
      </c>
      <c r="M321" s="5">
        <f t="shared" si="22"/>
        <v>0</v>
      </c>
      <c r="N321" s="5">
        <f t="shared" si="23"/>
        <v>0.36313131313131314</v>
      </c>
      <c r="O321" s="5" t="str">
        <f t="shared" si="24"/>
        <v>At-Risk</v>
      </c>
      <c r="P321" s="5">
        <f>IF(Table1[[#This Row],[Health Status]]="Churned",0,1)</f>
        <v>1</v>
      </c>
      <c r="Q321" s="5" t="str">
        <f>IF(Table1[[#This Row],[Subscription_End_Date]]="", "Active", "Churned")</f>
        <v>Active</v>
      </c>
      <c r="R321" s="5">
        <f ca="1">IF(Table1[[#This Row],[Subscription_End_Date]]="", DATEDIF(Table1[[#This Row],[Subscription_Start_Date]], TODAY(), "m"),
DATEDIF(Table1[[#This Row],[Subscription_Start_Date]], Table1[[#This Row],[Subscription_End_Date]], "m"))</f>
        <v>10</v>
      </c>
      <c r="S321" s="2">
        <f ca="1">Table1[[#This Row],[Monthly_Spend]] * Table1[[#This Row],[Customer Lifetime(Months)]]</f>
        <v>50000</v>
      </c>
    </row>
    <row r="322" spans="1:19" x14ac:dyDescent="0.35">
      <c r="A322" t="s">
        <v>340</v>
      </c>
      <c r="B322" t="s">
        <v>27</v>
      </c>
      <c r="C322" s="1">
        <v>45149</v>
      </c>
      <c r="E322" t="s">
        <v>16</v>
      </c>
      <c r="F322" s="2">
        <v>10000</v>
      </c>
      <c r="G322">
        <v>32</v>
      </c>
      <c r="H322">
        <v>38</v>
      </c>
      <c r="I322" t="s">
        <v>12</v>
      </c>
      <c r="J322">
        <f>IF(Table1[[#This Row],[Status]]="Churned",1,0)</f>
        <v>0</v>
      </c>
      <c r="K322">
        <f t="shared" ref="K322:K385" si="25">(H322-MIN($H$2:$H$501))/(MAX($H$2:$H$501)-MIN($H$2:$H$501))</f>
        <v>0.37373737373737376</v>
      </c>
      <c r="L322">
        <f t="shared" ref="L322:L385" si="26">1 - ((G322-MIN($G$2:$G$501))/(MAX($G$2:$G$501)-MIN($G$2:$G$501)))</f>
        <v>0.36</v>
      </c>
      <c r="M322" s="5">
        <f t="shared" ref="M322:M385" si="27">(F322-MIN($F$2:$F$501))/(MAX($F$2:$F$501)-MIN($F$2:$F$501))</f>
        <v>5.2631578947368418E-2</v>
      </c>
      <c r="N322" s="5">
        <f t="shared" ref="N322:N385" si="28">(J322*0.3) + (K322*0.2) + (L322*0.5)</f>
        <v>0.25474747474747472</v>
      </c>
      <c r="O322" s="5" t="str">
        <f t="shared" ref="O322:O385" si="29">IF(I322="Churned", "Churned", IF(M322&gt;=0.6, "Healthy", "At-Risk"))</f>
        <v>At-Risk</v>
      </c>
      <c r="P322" s="5">
        <f>IF(Table1[[#This Row],[Health Status]]="Churned",0,1)</f>
        <v>1</v>
      </c>
      <c r="Q322" s="5" t="str">
        <f>IF(Table1[[#This Row],[Subscription_End_Date]]="", "Active", "Churned")</f>
        <v>Active</v>
      </c>
      <c r="R322" s="5">
        <f ca="1">IF(Table1[[#This Row],[Subscription_End_Date]]="", DATEDIF(Table1[[#This Row],[Subscription_Start_Date]], TODAY(), "m"),
DATEDIF(Table1[[#This Row],[Subscription_Start_Date]], Table1[[#This Row],[Subscription_End_Date]], "m"))</f>
        <v>26</v>
      </c>
      <c r="S322" s="2">
        <f ca="1">Table1[[#This Row],[Monthly_Spend]] * Table1[[#This Row],[Customer Lifetime(Months)]]</f>
        <v>260000</v>
      </c>
    </row>
    <row r="323" spans="1:19" x14ac:dyDescent="0.35">
      <c r="A323" t="s">
        <v>341</v>
      </c>
      <c r="B323" t="s">
        <v>27</v>
      </c>
      <c r="C323" s="1">
        <v>45516</v>
      </c>
      <c r="E323" t="s">
        <v>16</v>
      </c>
      <c r="F323" s="2">
        <v>10000</v>
      </c>
      <c r="G323">
        <v>19</v>
      </c>
      <c r="H323">
        <v>19</v>
      </c>
      <c r="I323" t="s">
        <v>17</v>
      </c>
      <c r="J323">
        <f>IF(Table1[[#This Row],[Status]]="Churned",1,0)</f>
        <v>0</v>
      </c>
      <c r="K323">
        <f t="shared" si="25"/>
        <v>0.18181818181818182</v>
      </c>
      <c r="L323">
        <f t="shared" si="26"/>
        <v>0.62</v>
      </c>
      <c r="M323" s="5">
        <f t="shared" si="27"/>
        <v>5.2631578947368418E-2</v>
      </c>
      <c r="N323" s="5">
        <f t="shared" si="28"/>
        <v>0.34636363636363637</v>
      </c>
      <c r="O323" s="5" t="str">
        <f t="shared" si="29"/>
        <v>At-Risk</v>
      </c>
      <c r="P323" s="5">
        <f>IF(Table1[[#This Row],[Health Status]]="Churned",0,1)</f>
        <v>1</v>
      </c>
      <c r="Q323" s="5" t="str">
        <f>IF(Table1[[#This Row],[Subscription_End_Date]]="", "Active", "Churned")</f>
        <v>Active</v>
      </c>
      <c r="R323" s="5">
        <f ca="1">IF(Table1[[#This Row],[Subscription_End_Date]]="", DATEDIF(Table1[[#This Row],[Subscription_Start_Date]], TODAY(), "m"),
DATEDIF(Table1[[#This Row],[Subscription_Start_Date]], Table1[[#This Row],[Subscription_End_Date]], "m"))</f>
        <v>14</v>
      </c>
      <c r="S323" s="2">
        <f ca="1">Table1[[#This Row],[Monthly_Spend]] * Table1[[#This Row],[Customer Lifetime(Months)]]</f>
        <v>140000</v>
      </c>
    </row>
    <row r="324" spans="1:19" x14ac:dyDescent="0.35">
      <c r="A324" t="s">
        <v>342</v>
      </c>
      <c r="B324" t="s">
        <v>14</v>
      </c>
      <c r="C324" s="1">
        <v>45350</v>
      </c>
      <c r="E324" t="s">
        <v>11</v>
      </c>
      <c r="F324" s="2">
        <v>100000</v>
      </c>
      <c r="G324">
        <v>37</v>
      </c>
      <c r="H324">
        <v>95</v>
      </c>
      <c r="I324" t="s">
        <v>12</v>
      </c>
      <c r="J324">
        <f>IF(Table1[[#This Row],[Status]]="Churned",1,0)</f>
        <v>0</v>
      </c>
      <c r="K324">
        <f t="shared" si="25"/>
        <v>0.9494949494949495</v>
      </c>
      <c r="L324">
        <f t="shared" si="26"/>
        <v>0.26</v>
      </c>
      <c r="M324" s="5">
        <f t="shared" si="27"/>
        <v>1</v>
      </c>
      <c r="N324" s="5">
        <f t="shared" si="28"/>
        <v>0.31989898989898991</v>
      </c>
      <c r="O324" s="5" t="str">
        <f t="shared" si="29"/>
        <v>Healthy</v>
      </c>
      <c r="P324" s="5">
        <f>IF(Table1[[#This Row],[Health Status]]="Churned",0,1)</f>
        <v>1</v>
      </c>
      <c r="Q324" s="5" t="str">
        <f>IF(Table1[[#This Row],[Subscription_End_Date]]="", "Active", "Churned")</f>
        <v>Active</v>
      </c>
      <c r="R324" s="5">
        <f ca="1">IF(Table1[[#This Row],[Subscription_End_Date]]="", DATEDIF(Table1[[#This Row],[Subscription_Start_Date]], TODAY(), "m"),
DATEDIF(Table1[[#This Row],[Subscription_Start_Date]], Table1[[#This Row],[Subscription_End_Date]], "m"))</f>
        <v>20</v>
      </c>
      <c r="S324" s="2">
        <f ca="1">Table1[[#This Row],[Monthly_Spend]] * Table1[[#This Row],[Customer Lifetime(Months)]]</f>
        <v>2000000</v>
      </c>
    </row>
    <row r="325" spans="1:19" x14ac:dyDescent="0.35">
      <c r="A325" t="s">
        <v>343</v>
      </c>
      <c r="B325" t="s">
        <v>27</v>
      </c>
      <c r="C325" s="1">
        <v>45622</v>
      </c>
      <c r="E325" t="s">
        <v>16</v>
      </c>
      <c r="F325" s="2">
        <v>5000</v>
      </c>
      <c r="G325">
        <v>22</v>
      </c>
      <c r="H325">
        <v>83</v>
      </c>
      <c r="I325" t="s">
        <v>17</v>
      </c>
      <c r="J325">
        <f>IF(Table1[[#This Row],[Status]]="Churned",1,0)</f>
        <v>0</v>
      </c>
      <c r="K325">
        <f t="shared" si="25"/>
        <v>0.82828282828282829</v>
      </c>
      <c r="L325">
        <f t="shared" si="26"/>
        <v>0.56000000000000005</v>
      </c>
      <c r="M325" s="5">
        <f t="shared" si="27"/>
        <v>0</v>
      </c>
      <c r="N325" s="5">
        <f t="shared" si="28"/>
        <v>0.4456565656565657</v>
      </c>
      <c r="O325" s="5" t="str">
        <f t="shared" si="29"/>
        <v>At-Risk</v>
      </c>
      <c r="P325" s="5">
        <f>IF(Table1[[#This Row],[Health Status]]="Churned",0,1)</f>
        <v>1</v>
      </c>
      <c r="Q325" s="5" t="str">
        <f>IF(Table1[[#This Row],[Subscription_End_Date]]="", "Active", "Churned")</f>
        <v>Active</v>
      </c>
      <c r="R325" s="5">
        <f ca="1">IF(Table1[[#This Row],[Subscription_End_Date]]="", DATEDIF(Table1[[#This Row],[Subscription_Start_Date]], TODAY(), "m"),
DATEDIF(Table1[[#This Row],[Subscription_Start_Date]], Table1[[#This Row],[Subscription_End_Date]], "m"))</f>
        <v>11</v>
      </c>
      <c r="S325" s="2">
        <f ca="1">Table1[[#This Row],[Monthly_Spend]] * Table1[[#This Row],[Customer Lifetime(Months)]]</f>
        <v>55000</v>
      </c>
    </row>
    <row r="326" spans="1:19" x14ac:dyDescent="0.35">
      <c r="A326" t="s">
        <v>344</v>
      </c>
      <c r="B326" t="s">
        <v>31</v>
      </c>
      <c r="C326" s="1">
        <v>45253</v>
      </c>
      <c r="E326" t="s">
        <v>16</v>
      </c>
      <c r="F326" s="2">
        <v>10000</v>
      </c>
      <c r="G326">
        <v>19</v>
      </c>
      <c r="H326">
        <v>49</v>
      </c>
      <c r="I326" t="s">
        <v>17</v>
      </c>
      <c r="J326">
        <f>IF(Table1[[#This Row],[Status]]="Churned",1,0)</f>
        <v>0</v>
      </c>
      <c r="K326">
        <f t="shared" si="25"/>
        <v>0.48484848484848486</v>
      </c>
      <c r="L326">
        <f t="shared" si="26"/>
        <v>0.62</v>
      </c>
      <c r="M326" s="5">
        <f t="shared" si="27"/>
        <v>5.2631578947368418E-2</v>
      </c>
      <c r="N326" s="5">
        <f t="shared" si="28"/>
        <v>0.40696969696969698</v>
      </c>
      <c r="O326" s="5" t="str">
        <f t="shared" si="29"/>
        <v>At-Risk</v>
      </c>
      <c r="P326" s="5">
        <f>IF(Table1[[#This Row],[Health Status]]="Churned",0,1)</f>
        <v>1</v>
      </c>
      <c r="Q326" s="5" t="str">
        <f>IF(Table1[[#This Row],[Subscription_End_Date]]="", "Active", "Churned")</f>
        <v>Active</v>
      </c>
      <c r="R326" s="5">
        <f ca="1">IF(Table1[[#This Row],[Subscription_End_Date]]="", DATEDIF(Table1[[#This Row],[Subscription_Start_Date]], TODAY(), "m"),
DATEDIF(Table1[[#This Row],[Subscription_Start_Date]], Table1[[#This Row],[Subscription_End_Date]], "m"))</f>
        <v>23</v>
      </c>
      <c r="S326" s="2">
        <f ca="1">Table1[[#This Row],[Monthly_Spend]] * Table1[[#This Row],[Customer Lifetime(Months)]]</f>
        <v>230000</v>
      </c>
    </row>
    <row r="327" spans="1:19" x14ac:dyDescent="0.35">
      <c r="A327" t="s">
        <v>345</v>
      </c>
      <c r="B327" t="s">
        <v>27</v>
      </c>
      <c r="C327" s="1">
        <v>45411</v>
      </c>
      <c r="E327" t="s">
        <v>16</v>
      </c>
      <c r="F327" s="2">
        <v>20000</v>
      </c>
      <c r="G327">
        <v>45</v>
      </c>
      <c r="H327">
        <v>19</v>
      </c>
      <c r="I327" t="s">
        <v>12</v>
      </c>
      <c r="J327">
        <f>IF(Table1[[#This Row],[Status]]="Churned",1,0)</f>
        <v>0</v>
      </c>
      <c r="K327">
        <f t="shared" si="25"/>
        <v>0.18181818181818182</v>
      </c>
      <c r="L327">
        <f t="shared" si="26"/>
        <v>9.9999999999999978E-2</v>
      </c>
      <c r="M327" s="5">
        <f t="shared" si="27"/>
        <v>0.15789473684210525</v>
      </c>
      <c r="N327" s="5">
        <f t="shared" si="28"/>
        <v>8.6363636363636365E-2</v>
      </c>
      <c r="O327" s="5" t="str">
        <f t="shared" si="29"/>
        <v>At-Risk</v>
      </c>
      <c r="P327" s="5">
        <f>IF(Table1[[#This Row],[Health Status]]="Churned",0,1)</f>
        <v>1</v>
      </c>
      <c r="Q327" s="5" t="str">
        <f>IF(Table1[[#This Row],[Subscription_End_Date]]="", "Active", "Churned")</f>
        <v>Active</v>
      </c>
      <c r="R327" s="5">
        <f ca="1">IF(Table1[[#This Row],[Subscription_End_Date]]="", DATEDIF(Table1[[#This Row],[Subscription_Start_Date]], TODAY(), "m"),
DATEDIF(Table1[[#This Row],[Subscription_Start_Date]], Table1[[#This Row],[Subscription_End_Date]], "m"))</f>
        <v>18</v>
      </c>
      <c r="S327" s="2">
        <f ca="1">Table1[[#This Row],[Monthly_Spend]] * Table1[[#This Row],[Customer Lifetime(Months)]]</f>
        <v>360000</v>
      </c>
    </row>
    <row r="328" spans="1:19" x14ac:dyDescent="0.35">
      <c r="A328" t="s">
        <v>346</v>
      </c>
      <c r="B328" t="s">
        <v>31</v>
      </c>
      <c r="C328" s="1">
        <v>45502</v>
      </c>
      <c r="E328" t="s">
        <v>11</v>
      </c>
      <c r="F328" s="2">
        <v>100000</v>
      </c>
      <c r="G328">
        <v>33</v>
      </c>
      <c r="H328">
        <v>18</v>
      </c>
      <c r="I328" t="s">
        <v>17</v>
      </c>
      <c r="J328">
        <f>IF(Table1[[#This Row],[Status]]="Churned",1,0)</f>
        <v>0</v>
      </c>
      <c r="K328">
        <f t="shared" si="25"/>
        <v>0.17171717171717171</v>
      </c>
      <c r="L328">
        <f t="shared" si="26"/>
        <v>0.33999999999999997</v>
      </c>
      <c r="M328" s="5">
        <f t="shared" si="27"/>
        <v>1</v>
      </c>
      <c r="N328" s="5">
        <f t="shared" si="28"/>
        <v>0.20434343434343433</v>
      </c>
      <c r="O328" s="5" t="str">
        <f t="shared" si="29"/>
        <v>Healthy</v>
      </c>
      <c r="P328" s="5">
        <f>IF(Table1[[#This Row],[Health Status]]="Churned",0,1)</f>
        <v>1</v>
      </c>
      <c r="Q328" s="5" t="str">
        <f>IF(Table1[[#This Row],[Subscription_End_Date]]="", "Active", "Churned")</f>
        <v>Active</v>
      </c>
      <c r="R328" s="5">
        <f ca="1">IF(Table1[[#This Row],[Subscription_End_Date]]="", DATEDIF(Table1[[#This Row],[Subscription_Start_Date]], TODAY(), "m"),
DATEDIF(Table1[[#This Row],[Subscription_Start_Date]], Table1[[#This Row],[Subscription_End_Date]], "m"))</f>
        <v>15</v>
      </c>
      <c r="S328" s="2">
        <f ca="1">Table1[[#This Row],[Monthly_Spend]] * Table1[[#This Row],[Customer Lifetime(Months)]]</f>
        <v>1500000</v>
      </c>
    </row>
    <row r="329" spans="1:19" x14ac:dyDescent="0.35">
      <c r="A329" t="s">
        <v>347</v>
      </c>
      <c r="B329" t="s">
        <v>31</v>
      </c>
      <c r="C329" s="1">
        <v>45188</v>
      </c>
      <c r="E329" t="s">
        <v>11</v>
      </c>
      <c r="F329" s="2">
        <v>50000</v>
      </c>
      <c r="G329">
        <v>23</v>
      </c>
      <c r="H329">
        <v>12</v>
      </c>
      <c r="I329" t="s">
        <v>12</v>
      </c>
      <c r="J329">
        <f>IF(Table1[[#This Row],[Status]]="Churned",1,0)</f>
        <v>0</v>
      </c>
      <c r="K329">
        <f t="shared" si="25"/>
        <v>0.1111111111111111</v>
      </c>
      <c r="L329">
        <f t="shared" si="26"/>
        <v>0.54</v>
      </c>
      <c r="M329" s="5">
        <f t="shared" si="27"/>
        <v>0.47368421052631576</v>
      </c>
      <c r="N329" s="5">
        <f t="shared" si="28"/>
        <v>0.29222222222222222</v>
      </c>
      <c r="O329" s="5" t="str">
        <f t="shared" si="29"/>
        <v>At-Risk</v>
      </c>
      <c r="P329" s="5">
        <f>IF(Table1[[#This Row],[Health Status]]="Churned",0,1)</f>
        <v>1</v>
      </c>
      <c r="Q329" s="5" t="str">
        <f>IF(Table1[[#This Row],[Subscription_End_Date]]="", "Active", "Churned")</f>
        <v>Active</v>
      </c>
      <c r="R329" s="5">
        <f ca="1">IF(Table1[[#This Row],[Subscription_End_Date]]="", DATEDIF(Table1[[#This Row],[Subscription_Start_Date]], TODAY(), "m"),
DATEDIF(Table1[[#This Row],[Subscription_Start_Date]], Table1[[#This Row],[Subscription_End_Date]], "m"))</f>
        <v>25</v>
      </c>
      <c r="S329" s="2">
        <f ca="1">Table1[[#This Row],[Monthly_Spend]] * Table1[[#This Row],[Customer Lifetime(Months)]]</f>
        <v>1250000</v>
      </c>
    </row>
    <row r="330" spans="1:19" x14ac:dyDescent="0.35">
      <c r="A330" t="s">
        <v>348</v>
      </c>
      <c r="B330" t="s">
        <v>14</v>
      </c>
      <c r="C330" s="1">
        <v>45122</v>
      </c>
      <c r="D330" s="1">
        <v>45538</v>
      </c>
      <c r="E330" t="s">
        <v>16</v>
      </c>
      <c r="F330" s="2">
        <v>100000</v>
      </c>
      <c r="G330">
        <v>38</v>
      </c>
      <c r="H330">
        <v>6</v>
      </c>
      <c r="I330" t="s">
        <v>28</v>
      </c>
      <c r="J330">
        <f>IF(Table1[[#This Row],[Status]]="Churned",1,0)</f>
        <v>1</v>
      </c>
      <c r="K330">
        <f t="shared" si="25"/>
        <v>5.0505050505050504E-2</v>
      </c>
      <c r="L330">
        <f t="shared" si="26"/>
        <v>0.24</v>
      </c>
      <c r="M330" s="5">
        <f t="shared" si="27"/>
        <v>1</v>
      </c>
      <c r="N330" s="5">
        <f t="shared" si="28"/>
        <v>0.43010101010101009</v>
      </c>
      <c r="O330" s="5" t="str">
        <f t="shared" si="29"/>
        <v>Churned</v>
      </c>
      <c r="P330" s="5">
        <f>IF(Table1[[#This Row],[Health Status]]="Churned",0,1)</f>
        <v>0</v>
      </c>
      <c r="Q330" s="5" t="str">
        <f>IF(Table1[[#This Row],[Subscription_End_Date]]="", "Active", "Churned")</f>
        <v>Churned</v>
      </c>
      <c r="R330" s="5">
        <f ca="1">IF(Table1[[#This Row],[Subscription_End_Date]]="", DATEDIF(Table1[[#This Row],[Subscription_Start_Date]], TODAY(), "m"),
DATEDIF(Table1[[#This Row],[Subscription_Start_Date]], Table1[[#This Row],[Subscription_End_Date]], "m"))</f>
        <v>13</v>
      </c>
      <c r="S330" s="2">
        <f ca="1">Table1[[#This Row],[Monthly_Spend]] * Table1[[#This Row],[Customer Lifetime(Months)]]</f>
        <v>1300000</v>
      </c>
    </row>
    <row r="331" spans="1:19" x14ac:dyDescent="0.35">
      <c r="A331" t="s">
        <v>349</v>
      </c>
      <c r="B331" t="s">
        <v>10</v>
      </c>
      <c r="C331" s="1">
        <v>45528</v>
      </c>
      <c r="E331" t="s">
        <v>11</v>
      </c>
      <c r="F331" s="2">
        <v>50000</v>
      </c>
      <c r="G331">
        <v>13</v>
      </c>
      <c r="H331">
        <v>43</v>
      </c>
      <c r="I331" t="s">
        <v>12</v>
      </c>
      <c r="J331">
        <f>IF(Table1[[#This Row],[Status]]="Churned",1,0)</f>
        <v>0</v>
      </c>
      <c r="K331">
        <f t="shared" si="25"/>
        <v>0.42424242424242425</v>
      </c>
      <c r="L331">
        <f t="shared" si="26"/>
        <v>0.74</v>
      </c>
      <c r="M331" s="5">
        <f t="shared" si="27"/>
        <v>0.47368421052631576</v>
      </c>
      <c r="N331" s="5">
        <f t="shared" si="28"/>
        <v>0.45484848484848484</v>
      </c>
      <c r="O331" s="5" t="str">
        <f t="shared" si="29"/>
        <v>At-Risk</v>
      </c>
      <c r="P331" s="5">
        <f>IF(Table1[[#This Row],[Health Status]]="Churned",0,1)</f>
        <v>1</v>
      </c>
      <c r="Q331" s="5" t="str">
        <f>IF(Table1[[#This Row],[Subscription_End_Date]]="", "Active", "Churned")</f>
        <v>Active</v>
      </c>
      <c r="R331" s="5">
        <f ca="1">IF(Table1[[#This Row],[Subscription_End_Date]]="", DATEDIF(Table1[[#This Row],[Subscription_Start_Date]], TODAY(), "m"),
DATEDIF(Table1[[#This Row],[Subscription_Start_Date]], Table1[[#This Row],[Subscription_End_Date]], "m"))</f>
        <v>14</v>
      </c>
      <c r="S331" s="2">
        <f ca="1">Table1[[#This Row],[Monthly_Spend]] * Table1[[#This Row],[Customer Lifetime(Months)]]</f>
        <v>700000</v>
      </c>
    </row>
    <row r="332" spans="1:19" x14ac:dyDescent="0.35">
      <c r="A332" t="s">
        <v>350</v>
      </c>
      <c r="B332" t="s">
        <v>19</v>
      </c>
      <c r="C332" s="1">
        <v>45143</v>
      </c>
      <c r="E332" t="s">
        <v>11</v>
      </c>
      <c r="F332" s="2">
        <v>50000</v>
      </c>
      <c r="G332">
        <v>15</v>
      </c>
      <c r="H332">
        <v>90</v>
      </c>
      <c r="I332" t="s">
        <v>12</v>
      </c>
      <c r="J332">
        <f>IF(Table1[[#This Row],[Status]]="Churned",1,0)</f>
        <v>0</v>
      </c>
      <c r="K332">
        <f t="shared" si="25"/>
        <v>0.89898989898989901</v>
      </c>
      <c r="L332">
        <f t="shared" si="26"/>
        <v>0.7</v>
      </c>
      <c r="M332" s="5">
        <f t="shared" si="27"/>
        <v>0.47368421052631576</v>
      </c>
      <c r="N332" s="5">
        <f t="shared" si="28"/>
        <v>0.52979797979797982</v>
      </c>
      <c r="O332" s="5" t="str">
        <f t="shared" si="29"/>
        <v>At-Risk</v>
      </c>
      <c r="P332" s="5">
        <f>IF(Table1[[#This Row],[Health Status]]="Churned",0,1)</f>
        <v>1</v>
      </c>
      <c r="Q332" s="5" t="str">
        <f>IF(Table1[[#This Row],[Subscription_End_Date]]="", "Active", "Churned")</f>
        <v>Active</v>
      </c>
      <c r="R332" s="5">
        <f ca="1">IF(Table1[[#This Row],[Subscription_End_Date]]="", DATEDIF(Table1[[#This Row],[Subscription_Start_Date]], TODAY(), "m"),
DATEDIF(Table1[[#This Row],[Subscription_Start_Date]], Table1[[#This Row],[Subscription_End_Date]], "m"))</f>
        <v>26</v>
      </c>
      <c r="S332" s="2">
        <f ca="1">Table1[[#This Row],[Monthly_Spend]] * Table1[[#This Row],[Customer Lifetime(Months)]]</f>
        <v>1300000</v>
      </c>
    </row>
    <row r="333" spans="1:19" x14ac:dyDescent="0.35">
      <c r="A333" t="s">
        <v>351</v>
      </c>
      <c r="B333" t="s">
        <v>14</v>
      </c>
      <c r="C333" s="1">
        <v>45136</v>
      </c>
      <c r="E333" t="s">
        <v>16</v>
      </c>
      <c r="F333" s="2">
        <v>100000</v>
      </c>
      <c r="G333">
        <v>20</v>
      </c>
      <c r="H333">
        <v>100</v>
      </c>
      <c r="I333" t="s">
        <v>12</v>
      </c>
      <c r="J333">
        <f>IF(Table1[[#This Row],[Status]]="Churned",1,0)</f>
        <v>0</v>
      </c>
      <c r="K333">
        <f t="shared" si="25"/>
        <v>1</v>
      </c>
      <c r="L333">
        <f t="shared" si="26"/>
        <v>0.6</v>
      </c>
      <c r="M333" s="5">
        <f t="shared" si="27"/>
        <v>1</v>
      </c>
      <c r="N333" s="5">
        <f t="shared" si="28"/>
        <v>0.5</v>
      </c>
      <c r="O333" s="5" t="str">
        <f t="shared" si="29"/>
        <v>Healthy</v>
      </c>
      <c r="P333" s="5">
        <f>IF(Table1[[#This Row],[Health Status]]="Churned",0,1)</f>
        <v>1</v>
      </c>
      <c r="Q333" s="5" t="str">
        <f>IF(Table1[[#This Row],[Subscription_End_Date]]="", "Active", "Churned")</f>
        <v>Active</v>
      </c>
      <c r="R333" s="5">
        <f ca="1">IF(Table1[[#This Row],[Subscription_End_Date]]="", DATEDIF(Table1[[#This Row],[Subscription_Start_Date]], TODAY(), "m"),
DATEDIF(Table1[[#This Row],[Subscription_Start_Date]], Table1[[#This Row],[Subscription_End_Date]], "m"))</f>
        <v>27</v>
      </c>
      <c r="S333" s="2">
        <f ca="1">Table1[[#This Row],[Monthly_Spend]] * Table1[[#This Row],[Customer Lifetime(Months)]]</f>
        <v>2700000</v>
      </c>
    </row>
    <row r="334" spans="1:19" x14ac:dyDescent="0.35">
      <c r="A334" t="s">
        <v>352</v>
      </c>
      <c r="B334" t="s">
        <v>19</v>
      </c>
      <c r="C334" s="1">
        <v>45404</v>
      </c>
      <c r="E334" t="s">
        <v>23</v>
      </c>
      <c r="F334" s="2">
        <v>20000</v>
      </c>
      <c r="G334">
        <v>16</v>
      </c>
      <c r="H334">
        <v>47</v>
      </c>
      <c r="I334" t="s">
        <v>17</v>
      </c>
      <c r="J334">
        <f>IF(Table1[[#This Row],[Status]]="Churned",1,0)</f>
        <v>0</v>
      </c>
      <c r="K334">
        <f t="shared" si="25"/>
        <v>0.46464646464646464</v>
      </c>
      <c r="L334">
        <f t="shared" si="26"/>
        <v>0.67999999999999994</v>
      </c>
      <c r="M334" s="5">
        <f t="shared" si="27"/>
        <v>0.15789473684210525</v>
      </c>
      <c r="N334" s="5">
        <f t="shared" si="28"/>
        <v>0.43292929292929289</v>
      </c>
      <c r="O334" s="5" t="str">
        <f t="shared" si="29"/>
        <v>At-Risk</v>
      </c>
      <c r="P334" s="5">
        <f>IF(Table1[[#This Row],[Health Status]]="Churned",0,1)</f>
        <v>1</v>
      </c>
      <c r="Q334" s="5" t="str">
        <f>IF(Table1[[#This Row],[Subscription_End_Date]]="", "Active", "Churned")</f>
        <v>Active</v>
      </c>
      <c r="R334" s="5">
        <f ca="1">IF(Table1[[#This Row],[Subscription_End_Date]]="", DATEDIF(Table1[[#This Row],[Subscription_Start_Date]], TODAY(), "m"),
DATEDIF(Table1[[#This Row],[Subscription_Start_Date]], Table1[[#This Row],[Subscription_End_Date]], "m"))</f>
        <v>18</v>
      </c>
      <c r="S334" s="2">
        <f ca="1">Table1[[#This Row],[Monthly_Spend]] * Table1[[#This Row],[Customer Lifetime(Months)]]</f>
        <v>360000</v>
      </c>
    </row>
    <row r="335" spans="1:19" x14ac:dyDescent="0.35">
      <c r="A335" t="s">
        <v>353</v>
      </c>
      <c r="B335" t="s">
        <v>14</v>
      </c>
      <c r="C335" s="1">
        <v>45404</v>
      </c>
      <c r="D335" s="1">
        <v>45914</v>
      </c>
      <c r="E335" t="s">
        <v>23</v>
      </c>
      <c r="F335" s="2">
        <v>20000</v>
      </c>
      <c r="G335">
        <v>13</v>
      </c>
      <c r="H335">
        <v>48</v>
      </c>
      <c r="I335" t="s">
        <v>28</v>
      </c>
      <c r="J335">
        <f>IF(Table1[[#This Row],[Status]]="Churned",1,0)</f>
        <v>1</v>
      </c>
      <c r="K335">
        <f t="shared" si="25"/>
        <v>0.47474747474747475</v>
      </c>
      <c r="L335">
        <f t="shared" si="26"/>
        <v>0.74</v>
      </c>
      <c r="M335" s="5">
        <f t="shared" si="27"/>
        <v>0.15789473684210525</v>
      </c>
      <c r="N335" s="5">
        <f t="shared" si="28"/>
        <v>0.76494949494949493</v>
      </c>
      <c r="O335" s="5" t="str">
        <f t="shared" si="29"/>
        <v>Churned</v>
      </c>
      <c r="P335" s="5">
        <f>IF(Table1[[#This Row],[Health Status]]="Churned",0,1)</f>
        <v>0</v>
      </c>
      <c r="Q335" s="5" t="str">
        <f>IF(Table1[[#This Row],[Subscription_End_Date]]="", "Active", "Churned")</f>
        <v>Churned</v>
      </c>
      <c r="R335" s="5">
        <f ca="1">IF(Table1[[#This Row],[Subscription_End_Date]]="", DATEDIF(Table1[[#This Row],[Subscription_Start_Date]], TODAY(), "m"),
DATEDIF(Table1[[#This Row],[Subscription_Start_Date]], Table1[[#This Row],[Subscription_End_Date]], "m"))</f>
        <v>16</v>
      </c>
      <c r="S335" s="2">
        <f ca="1">Table1[[#This Row],[Monthly_Spend]] * Table1[[#This Row],[Customer Lifetime(Months)]]</f>
        <v>320000</v>
      </c>
    </row>
    <row r="336" spans="1:19" x14ac:dyDescent="0.35">
      <c r="A336" t="s">
        <v>354</v>
      </c>
      <c r="B336" t="s">
        <v>19</v>
      </c>
      <c r="C336" s="1">
        <v>44973</v>
      </c>
      <c r="E336" t="s">
        <v>23</v>
      </c>
      <c r="F336" s="2">
        <v>10000</v>
      </c>
      <c r="G336">
        <v>1</v>
      </c>
      <c r="H336">
        <v>34</v>
      </c>
      <c r="I336" t="s">
        <v>12</v>
      </c>
      <c r="J336">
        <f>IF(Table1[[#This Row],[Status]]="Churned",1,0)</f>
        <v>0</v>
      </c>
      <c r="K336">
        <f t="shared" si="25"/>
        <v>0.33333333333333331</v>
      </c>
      <c r="L336">
        <f t="shared" si="26"/>
        <v>0.98</v>
      </c>
      <c r="M336" s="5">
        <f t="shared" si="27"/>
        <v>5.2631578947368418E-2</v>
      </c>
      <c r="N336" s="5">
        <f t="shared" si="28"/>
        <v>0.55666666666666664</v>
      </c>
      <c r="O336" s="5" t="str">
        <f t="shared" si="29"/>
        <v>At-Risk</v>
      </c>
      <c r="P336" s="5">
        <f>IF(Table1[[#This Row],[Health Status]]="Churned",0,1)</f>
        <v>1</v>
      </c>
      <c r="Q336" s="5" t="str">
        <f>IF(Table1[[#This Row],[Subscription_End_Date]]="", "Active", "Churned")</f>
        <v>Active</v>
      </c>
      <c r="R336" s="5">
        <f ca="1">IF(Table1[[#This Row],[Subscription_End_Date]]="", DATEDIF(Table1[[#This Row],[Subscription_Start_Date]], TODAY(), "m"),
DATEDIF(Table1[[#This Row],[Subscription_Start_Date]], Table1[[#This Row],[Subscription_End_Date]], "m"))</f>
        <v>32</v>
      </c>
      <c r="S336" s="2">
        <f ca="1">Table1[[#This Row],[Monthly_Spend]] * Table1[[#This Row],[Customer Lifetime(Months)]]</f>
        <v>320000</v>
      </c>
    </row>
    <row r="337" spans="1:19" x14ac:dyDescent="0.35">
      <c r="A337" t="s">
        <v>355</v>
      </c>
      <c r="B337" t="s">
        <v>14</v>
      </c>
      <c r="C337" s="1">
        <v>45520</v>
      </c>
      <c r="E337" t="s">
        <v>16</v>
      </c>
      <c r="F337" s="2">
        <v>10000</v>
      </c>
      <c r="G337">
        <v>12</v>
      </c>
      <c r="H337">
        <v>43</v>
      </c>
      <c r="I337" t="s">
        <v>17</v>
      </c>
      <c r="J337">
        <f>IF(Table1[[#This Row],[Status]]="Churned",1,0)</f>
        <v>0</v>
      </c>
      <c r="K337">
        <f t="shared" si="25"/>
        <v>0.42424242424242425</v>
      </c>
      <c r="L337">
        <f t="shared" si="26"/>
        <v>0.76</v>
      </c>
      <c r="M337" s="5">
        <f t="shared" si="27"/>
        <v>5.2631578947368418E-2</v>
      </c>
      <c r="N337" s="5">
        <f t="shared" si="28"/>
        <v>0.46484848484848484</v>
      </c>
      <c r="O337" s="5" t="str">
        <f t="shared" si="29"/>
        <v>At-Risk</v>
      </c>
      <c r="P337" s="5">
        <f>IF(Table1[[#This Row],[Health Status]]="Churned",0,1)</f>
        <v>1</v>
      </c>
      <c r="Q337" s="5" t="str">
        <f>IF(Table1[[#This Row],[Subscription_End_Date]]="", "Active", "Churned")</f>
        <v>Active</v>
      </c>
      <c r="R337" s="5">
        <f ca="1">IF(Table1[[#This Row],[Subscription_End_Date]]="", DATEDIF(Table1[[#This Row],[Subscription_Start_Date]], TODAY(), "m"),
DATEDIF(Table1[[#This Row],[Subscription_Start_Date]], Table1[[#This Row],[Subscription_End_Date]], "m"))</f>
        <v>14</v>
      </c>
      <c r="S337" s="2">
        <f ca="1">Table1[[#This Row],[Monthly_Spend]] * Table1[[#This Row],[Customer Lifetime(Months)]]</f>
        <v>140000</v>
      </c>
    </row>
    <row r="338" spans="1:19" x14ac:dyDescent="0.35">
      <c r="A338" t="s">
        <v>356</v>
      </c>
      <c r="B338" t="s">
        <v>27</v>
      </c>
      <c r="C338" s="1">
        <v>45510</v>
      </c>
      <c r="E338" t="s">
        <v>23</v>
      </c>
      <c r="F338" s="2">
        <v>100000</v>
      </c>
      <c r="G338">
        <v>41</v>
      </c>
      <c r="H338">
        <v>88</v>
      </c>
      <c r="I338" t="s">
        <v>17</v>
      </c>
      <c r="J338">
        <f>IF(Table1[[#This Row],[Status]]="Churned",1,0)</f>
        <v>0</v>
      </c>
      <c r="K338">
        <f t="shared" si="25"/>
        <v>0.87878787878787878</v>
      </c>
      <c r="L338">
        <f t="shared" si="26"/>
        <v>0.18000000000000005</v>
      </c>
      <c r="M338" s="5">
        <f t="shared" si="27"/>
        <v>1</v>
      </c>
      <c r="N338" s="5">
        <f t="shared" si="28"/>
        <v>0.2657575757575758</v>
      </c>
      <c r="O338" s="5" t="str">
        <f t="shared" si="29"/>
        <v>Healthy</v>
      </c>
      <c r="P338" s="5">
        <f>IF(Table1[[#This Row],[Health Status]]="Churned",0,1)</f>
        <v>1</v>
      </c>
      <c r="Q338" s="5" t="str">
        <f>IF(Table1[[#This Row],[Subscription_End_Date]]="", "Active", "Churned")</f>
        <v>Active</v>
      </c>
      <c r="R338" s="5">
        <f ca="1">IF(Table1[[#This Row],[Subscription_End_Date]]="", DATEDIF(Table1[[#This Row],[Subscription_Start_Date]], TODAY(), "m"),
DATEDIF(Table1[[#This Row],[Subscription_Start_Date]], Table1[[#This Row],[Subscription_End_Date]], "m"))</f>
        <v>14</v>
      </c>
      <c r="S338" s="2">
        <f ca="1">Table1[[#This Row],[Monthly_Spend]] * Table1[[#This Row],[Customer Lifetime(Months)]]</f>
        <v>1400000</v>
      </c>
    </row>
    <row r="339" spans="1:19" x14ac:dyDescent="0.35">
      <c r="A339" t="s">
        <v>357</v>
      </c>
      <c r="B339" t="s">
        <v>19</v>
      </c>
      <c r="C339" s="1">
        <v>45427</v>
      </c>
      <c r="E339" t="s">
        <v>23</v>
      </c>
      <c r="F339" s="2">
        <v>50000</v>
      </c>
      <c r="G339">
        <v>10</v>
      </c>
      <c r="H339">
        <v>94</v>
      </c>
      <c r="I339" t="s">
        <v>17</v>
      </c>
      <c r="J339">
        <f>IF(Table1[[#This Row],[Status]]="Churned",1,0)</f>
        <v>0</v>
      </c>
      <c r="K339">
        <f t="shared" si="25"/>
        <v>0.93939393939393945</v>
      </c>
      <c r="L339">
        <f t="shared" si="26"/>
        <v>0.8</v>
      </c>
      <c r="M339" s="5">
        <f t="shared" si="27"/>
        <v>0.47368421052631576</v>
      </c>
      <c r="N339" s="5">
        <f t="shared" si="28"/>
        <v>0.58787878787878789</v>
      </c>
      <c r="O339" s="5" t="str">
        <f t="shared" si="29"/>
        <v>At-Risk</v>
      </c>
      <c r="P339" s="5">
        <f>IF(Table1[[#This Row],[Health Status]]="Churned",0,1)</f>
        <v>1</v>
      </c>
      <c r="Q339" s="5" t="str">
        <f>IF(Table1[[#This Row],[Subscription_End_Date]]="", "Active", "Churned")</f>
        <v>Active</v>
      </c>
      <c r="R339" s="5">
        <f ca="1">IF(Table1[[#This Row],[Subscription_End_Date]]="", DATEDIF(Table1[[#This Row],[Subscription_Start_Date]], TODAY(), "m"),
DATEDIF(Table1[[#This Row],[Subscription_Start_Date]], Table1[[#This Row],[Subscription_End_Date]], "m"))</f>
        <v>17</v>
      </c>
      <c r="S339" s="2">
        <f ca="1">Table1[[#This Row],[Monthly_Spend]] * Table1[[#This Row],[Customer Lifetime(Months)]]</f>
        <v>850000</v>
      </c>
    </row>
    <row r="340" spans="1:19" x14ac:dyDescent="0.35">
      <c r="A340" t="s">
        <v>358</v>
      </c>
      <c r="B340" t="s">
        <v>19</v>
      </c>
      <c r="C340" s="1">
        <v>45070</v>
      </c>
      <c r="E340" t="s">
        <v>11</v>
      </c>
      <c r="F340" s="2">
        <v>10000</v>
      </c>
      <c r="G340">
        <v>34</v>
      </c>
      <c r="H340">
        <v>83</v>
      </c>
      <c r="I340" t="s">
        <v>17</v>
      </c>
      <c r="J340">
        <f>IF(Table1[[#This Row],[Status]]="Churned",1,0)</f>
        <v>0</v>
      </c>
      <c r="K340">
        <f t="shared" si="25"/>
        <v>0.82828282828282829</v>
      </c>
      <c r="L340">
        <f t="shared" si="26"/>
        <v>0.31999999999999995</v>
      </c>
      <c r="M340" s="5">
        <f t="shared" si="27"/>
        <v>5.2631578947368418E-2</v>
      </c>
      <c r="N340" s="5">
        <f t="shared" si="28"/>
        <v>0.32565656565656564</v>
      </c>
      <c r="O340" s="5" t="str">
        <f t="shared" si="29"/>
        <v>At-Risk</v>
      </c>
      <c r="P340" s="5">
        <f>IF(Table1[[#This Row],[Health Status]]="Churned",0,1)</f>
        <v>1</v>
      </c>
      <c r="Q340" s="5" t="str">
        <f>IF(Table1[[#This Row],[Subscription_End_Date]]="", "Active", "Churned")</f>
        <v>Active</v>
      </c>
      <c r="R340" s="5">
        <f ca="1">IF(Table1[[#This Row],[Subscription_End_Date]]="", DATEDIF(Table1[[#This Row],[Subscription_Start_Date]], TODAY(), "m"),
DATEDIF(Table1[[#This Row],[Subscription_Start_Date]], Table1[[#This Row],[Subscription_End_Date]], "m"))</f>
        <v>29</v>
      </c>
      <c r="S340" s="2">
        <f ca="1">Table1[[#This Row],[Monthly_Spend]] * Table1[[#This Row],[Customer Lifetime(Months)]]</f>
        <v>290000</v>
      </c>
    </row>
    <row r="341" spans="1:19" x14ac:dyDescent="0.35">
      <c r="A341" t="s">
        <v>359</v>
      </c>
      <c r="B341" t="s">
        <v>10</v>
      </c>
      <c r="C341" s="1">
        <v>44961</v>
      </c>
      <c r="E341" t="s">
        <v>16</v>
      </c>
      <c r="F341" s="2">
        <v>5000</v>
      </c>
      <c r="G341">
        <v>48</v>
      </c>
      <c r="H341">
        <v>1</v>
      </c>
      <c r="I341" t="s">
        <v>12</v>
      </c>
      <c r="J341">
        <f>IF(Table1[[#This Row],[Status]]="Churned",1,0)</f>
        <v>0</v>
      </c>
      <c r="K341">
        <f t="shared" si="25"/>
        <v>0</v>
      </c>
      <c r="L341">
        <f t="shared" si="26"/>
        <v>4.0000000000000036E-2</v>
      </c>
      <c r="M341" s="5">
        <f t="shared" si="27"/>
        <v>0</v>
      </c>
      <c r="N341" s="5">
        <f t="shared" si="28"/>
        <v>2.0000000000000018E-2</v>
      </c>
      <c r="O341" s="5" t="str">
        <f t="shared" si="29"/>
        <v>At-Risk</v>
      </c>
      <c r="P341" s="5">
        <f>IF(Table1[[#This Row],[Health Status]]="Churned",0,1)</f>
        <v>1</v>
      </c>
      <c r="Q341" s="5" t="str">
        <f>IF(Table1[[#This Row],[Subscription_End_Date]]="", "Active", "Churned")</f>
        <v>Active</v>
      </c>
      <c r="R341" s="5">
        <f ca="1">IF(Table1[[#This Row],[Subscription_End_Date]]="", DATEDIF(Table1[[#This Row],[Subscription_Start_Date]], TODAY(), "m"),
DATEDIF(Table1[[#This Row],[Subscription_Start_Date]], Table1[[#This Row],[Subscription_End_Date]], "m"))</f>
        <v>32</v>
      </c>
      <c r="S341" s="2">
        <f ca="1">Table1[[#This Row],[Monthly_Spend]] * Table1[[#This Row],[Customer Lifetime(Months)]]</f>
        <v>160000</v>
      </c>
    </row>
    <row r="342" spans="1:19" x14ac:dyDescent="0.35">
      <c r="A342" t="s">
        <v>360</v>
      </c>
      <c r="B342" t="s">
        <v>31</v>
      </c>
      <c r="C342" s="1">
        <v>45572</v>
      </c>
      <c r="E342" t="s">
        <v>11</v>
      </c>
      <c r="F342" s="2">
        <v>5000</v>
      </c>
      <c r="G342">
        <v>13</v>
      </c>
      <c r="H342">
        <v>65</v>
      </c>
      <c r="I342" t="s">
        <v>12</v>
      </c>
      <c r="J342">
        <f>IF(Table1[[#This Row],[Status]]="Churned",1,0)</f>
        <v>0</v>
      </c>
      <c r="K342">
        <f t="shared" si="25"/>
        <v>0.64646464646464652</v>
      </c>
      <c r="L342">
        <f t="shared" si="26"/>
        <v>0.74</v>
      </c>
      <c r="M342" s="5">
        <f t="shared" si="27"/>
        <v>0</v>
      </c>
      <c r="N342" s="5">
        <f t="shared" si="28"/>
        <v>0.49929292929292934</v>
      </c>
      <c r="O342" s="5" t="str">
        <f t="shared" si="29"/>
        <v>At-Risk</v>
      </c>
      <c r="P342" s="5">
        <f>IF(Table1[[#This Row],[Health Status]]="Churned",0,1)</f>
        <v>1</v>
      </c>
      <c r="Q342" s="5" t="str">
        <f>IF(Table1[[#This Row],[Subscription_End_Date]]="", "Active", "Churned")</f>
        <v>Active</v>
      </c>
      <c r="R342" s="5">
        <f ca="1">IF(Table1[[#This Row],[Subscription_End_Date]]="", DATEDIF(Table1[[#This Row],[Subscription_Start_Date]], TODAY(), "m"),
DATEDIF(Table1[[#This Row],[Subscription_Start_Date]], Table1[[#This Row],[Subscription_End_Date]], "m"))</f>
        <v>12</v>
      </c>
      <c r="S342" s="2">
        <f ca="1">Table1[[#This Row],[Monthly_Spend]] * Table1[[#This Row],[Customer Lifetime(Months)]]</f>
        <v>60000</v>
      </c>
    </row>
    <row r="343" spans="1:19" x14ac:dyDescent="0.35">
      <c r="A343" t="s">
        <v>361</v>
      </c>
      <c r="B343" t="s">
        <v>31</v>
      </c>
      <c r="C343" s="1">
        <v>44988</v>
      </c>
      <c r="E343" t="s">
        <v>23</v>
      </c>
      <c r="F343" s="2">
        <v>50000</v>
      </c>
      <c r="G343">
        <v>1</v>
      </c>
      <c r="H343">
        <v>1</v>
      </c>
      <c r="I343" t="s">
        <v>17</v>
      </c>
      <c r="J343">
        <f>IF(Table1[[#This Row],[Status]]="Churned",1,0)</f>
        <v>0</v>
      </c>
      <c r="K343">
        <f t="shared" si="25"/>
        <v>0</v>
      </c>
      <c r="L343">
        <f t="shared" si="26"/>
        <v>0.98</v>
      </c>
      <c r="M343" s="5">
        <f t="shared" si="27"/>
        <v>0.47368421052631576</v>
      </c>
      <c r="N343" s="5">
        <f t="shared" si="28"/>
        <v>0.49</v>
      </c>
      <c r="O343" s="5" t="str">
        <f t="shared" si="29"/>
        <v>At-Risk</v>
      </c>
      <c r="P343" s="5">
        <f>IF(Table1[[#This Row],[Health Status]]="Churned",0,1)</f>
        <v>1</v>
      </c>
      <c r="Q343" s="5" t="str">
        <f>IF(Table1[[#This Row],[Subscription_End_Date]]="", "Active", "Churned")</f>
        <v>Active</v>
      </c>
      <c r="R343" s="5">
        <f ca="1">IF(Table1[[#This Row],[Subscription_End_Date]]="", DATEDIF(Table1[[#This Row],[Subscription_Start_Date]], TODAY(), "m"),
DATEDIF(Table1[[#This Row],[Subscription_Start_Date]], Table1[[#This Row],[Subscription_End_Date]], "m"))</f>
        <v>31</v>
      </c>
      <c r="S343" s="2">
        <f ca="1">Table1[[#This Row],[Monthly_Spend]] * Table1[[#This Row],[Customer Lifetime(Months)]]</f>
        <v>1550000</v>
      </c>
    </row>
    <row r="344" spans="1:19" x14ac:dyDescent="0.35">
      <c r="A344" t="s">
        <v>362</v>
      </c>
      <c r="B344" t="s">
        <v>14</v>
      </c>
      <c r="C344" s="1">
        <v>45348</v>
      </c>
      <c r="D344" s="1">
        <v>45920</v>
      </c>
      <c r="E344" t="s">
        <v>16</v>
      </c>
      <c r="F344" s="2">
        <v>20000</v>
      </c>
      <c r="G344">
        <v>34</v>
      </c>
      <c r="H344">
        <v>37</v>
      </c>
      <c r="I344" t="s">
        <v>28</v>
      </c>
      <c r="J344">
        <f>IF(Table1[[#This Row],[Status]]="Churned",1,0)</f>
        <v>1</v>
      </c>
      <c r="K344">
        <f t="shared" si="25"/>
        <v>0.36363636363636365</v>
      </c>
      <c r="L344">
        <f t="shared" si="26"/>
        <v>0.31999999999999995</v>
      </c>
      <c r="M344" s="5">
        <f t="shared" si="27"/>
        <v>0.15789473684210525</v>
      </c>
      <c r="N344" s="5">
        <f t="shared" si="28"/>
        <v>0.53272727272727272</v>
      </c>
      <c r="O344" s="5" t="str">
        <f t="shared" si="29"/>
        <v>Churned</v>
      </c>
      <c r="P344" s="5">
        <f>IF(Table1[[#This Row],[Health Status]]="Churned",0,1)</f>
        <v>0</v>
      </c>
      <c r="Q344" s="5" t="str">
        <f>IF(Table1[[#This Row],[Subscription_End_Date]]="", "Active", "Churned")</f>
        <v>Churned</v>
      </c>
      <c r="R344" s="5">
        <f ca="1">IF(Table1[[#This Row],[Subscription_End_Date]]="", DATEDIF(Table1[[#This Row],[Subscription_Start_Date]], TODAY(), "m"),
DATEDIF(Table1[[#This Row],[Subscription_Start_Date]], Table1[[#This Row],[Subscription_End_Date]], "m"))</f>
        <v>18</v>
      </c>
      <c r="S344" s="2">
        <f ca="1">Table1[[#This Row],[Monthly_Spend]] * Table1[[#This Row],[Customer Lifetime(Months)]]</f>
        <v>360000</v>
      </c>
    </row>
    <row r="345" spans="1:19" x14ac:dyDescent="0.35">
      <c r="A345" t="s">
        <v>363</v>
      </c>
      <c r="B345" t="s">
        <v>10</v>
      </c>
      <c r="C345" s="1">
        <v>45641</v>
      </c>
      <c r="E345" t="s">
        <v>16</v>
      </c>
      <c r="F345" s="2">
        <v>5000</v>
      </c>
      <c r="G345">
        <v>6</v>
      </c>
      <c r="H345">
        <v>68</v>
      </c>
      <c r="I345" t="s">
        <v>12</v>
      </c>
      <c r="J345">
        <f>IF(Table1[[#This Row],[Status]]="Churned",1,0)</f>
        <v>0</v>
      </c>
      <c r="K345">
        <f t="shared" si="25"/>
        <v>0.6767676767676768</v>
      </c>
      <c r="L345">
        <f t="shared" si="26"/>
        <v>0.88</v>
      </c>
      <c r="M345" s="5">
        <f t="shared" si="27"/>
        <v>0</v>
      </c>
      <c r="N345" s="5">
        <f t="shared" si="28"/>
        <v>0.57535353535353539</v>
      </c>
      <c r="O345" s="5" t="str">
        <f t="shared" si="29"/>
        <v>At-Risk</v>
      </c>
      <c r="P345" s="5">
        <f>IF(Table1[[#This Row],[Health Status]]="Churned",0,1)</f>
        <v>1</v>
      </c>
      <c r="Q345" s="5" t="str">
        <f>IF(Table1[[#This Row],[Subscription_End_Date]]="", "Active", "Churned")</f>
        <v>Active</v>
      </c>
      <c r="R345" s="5">
        <f ca="1">IF(Table1[[#This Row],[Subscription_End_Date]]="", DATEDIF(Table1[[#This Row],[Subscription_Start_Date]], TODAY(), "m"),
DATEDIF(Table1[[#This Row],[Subscription_Start_Date]], Table1[[#This Row],[Subscription_End_Date]], "m"))</f>
        <v>10</v>
      </c>
      <c r="S345" s="2">
        <f ca="1">Table1[[#This Row],[Monthly_Spend]] * Table1[[#This Row],[Customer Lifetime(Months)]]</f>
        <v>50000</v>
      </c>
    </row>
    <row r="346" spans="1:19" x14ac:dyDescent="0.35">
      <c r="A346" t="s">
        <v>364</v>
      </c>
      <c r="B346" t="s">
        <v>27</v>
      </c>
      <c r="C346" s="1">
        <v>45123</v>
      </c>
      <c r="E346" t="s">
        <v>11</v>
      </c>
      <c r="F346" s="2">
        <v>20000</v>
      </c>
      <c r="G346">
        <v>17</v>
      </c>
      <c r="H346">
        <v>51</v>
      </c>
      <c r="I346" t="s">
        <v>17</v>
      </c>
      <c r="J346">
        <f>IF(Table1[[#This Row],[Status]]="Churned",1,0)</f>
        <v>0</v>
      </c>
      <c r="K346">
        <f t="shared" si="25"/>
        <v>0.50505050505050508</v>
      </c>
      <c r="L346">
        <f t="shared" si="26"/>
        <v>0.65999999999999992</v>
      </c>
      <c r="M346" s="5">
        <f t="shared" si="27"/>
        <v>0.15789473684210525</v>
      </c>
      <c r="N346" s="5">
        <f t="shared" si="28"/>
        <v>0.43101010101010095</v>
      </c>
      <c r="O346" s="5" t="str">
        <f t="shared" si="29"/>
        <v>At-Risk</v>
      </c>
      <c r="P346" s="5">
        <f>IF(Table1[[#This Row],[Health Status]]="Churned",0,1)</f>
        <v>1</v>
      </c>
      <c r="Q346" s="5" t="str">
        <f>IF(Table1[[#This Row],[Subscription_End_Date]]="", "Active", "Churned")</f>
        <v>Active</v>
      </c>
      <c r="R346" s="5">
        <f ca="1">IF(Table1[[#This Row],[Subscription_End_Date]]="", DATEDIF(Table1[[#This Row],[Subscription_Start_Date]], TODAY(), "m"),
DATEDIF(Table1[[#This Row],[Subscription_Start_Date]], Table1[[#This Row],[Subscription_End_Date]], "m"))</f>
        <v>27</v>
      </c>
      <c r="S346" s="2">
        <f ca="1">Table1[[#This Row],[Monthly_Spend]] * Table1[[#This Row],[Customer Lifetime(Months)]]</f>
        <v>540000</v>
      </c>
    </row>
    <row r="347" spans="1:19" x14ac:dyDescent="0.35">
      <c r="A347" t="s">
        <v>365</v>
      </c>
      <c r="B347" t="s">
        <v>10</v>
      </c>
      <c r="C347" s="1">
        <v>45342</v>
      </c>
      <c r="E347" t="s">
        <v>23</v>
      </c>
      <c r="F347" s="2">
        <v>10000</v>
      </c>
      <c r="G347">
        <v>19</v>
      </c>
      <c r="H347">
        <v>88</v>
      </c>
      <c r="I347" t="s">
        <v>12</v>
      </c>
      <c r="J347">
        <f>IF(Table1[[#This Row],[Status]]="Churned",1,0)</f>
        <v>0</v>
      </c>
      <c r="K347">
        <f t="shared" si="25"/>
        <v>0.87878787878787878</v>
      </c>
      <c r="L347">
        <f t="shared" si="26"/>
        <v>0.62</v>
      </c>
      <c r="M347" s="5">
        <f t="shared" si="27"/>
        <v>5.2631578947368418E-2</v>
      </c>
      <c r="N347" s="5">
        <f t="shared" si="28"/>
        <v>0.48575757575757578</v>
      </c>
      <c r="O347" s="5" t="str">
        <f t="shared" si="29"/>
        <v>At-Risk</v>
      </c>
      <c r="P347" s="5">
        <f>IF(Table1[[#This Row],[Health Status]]="Churned",0,1)</f>
        <v>1</v>
      </c>
      <c r="Q347" s="5" t="str">
        <f>IF(Table1[[#This Row],[Subscription_End_Date]]="", "Active", "Churned")</f>
        <v>Active</v>
      </c>
      <c r="R347" s="5">
        <f ca="1">IF(Table1[[#This Row],[Subscription_End_Date]]="", DATEDIF(Table1[[#This Row],[Subscription_Start_Date]], TODAY(), "m"),
DATEDIF(Table1[[#This Row],[Subscription_Start_Date]], Table1[[#This Row],[Subscription_End_Date]], "m"))</f>
        <v>20</v>
      </c>
      <c r="S347" s="2">
        <f ca="1">Table1[[#This Row],[Monthly_Spend]] * Table1[[#This Row],[Customer Lifetime(Months)]]</f>
        <v>200000</v>
      </c>
    </row>
    <row r="348" spans="1:19" x14ac:dyDescent="0.35">
      <c r="A348" t="s">
        <v>366</v>
      </c>
      <c r="B348" t="s">
        <v>10</v>
      </c>
      <c r="C348" s="1">
        <v>45592</v>
      </c>
      <c r="E348" t="s">
        <v>16</v>
      </c>
      <c r="F348" s="2">
        <v>50000</v>
      </c>
      <c r="G348">
        <v>24</v>
      </c>
      <c r="H348">
        <v>49</v>
      </c>
      <c r="I348" t="s">
        <v>12</v>
      </c>
      <c r="J348">
        <f>IF(Table1[[#This Row],[Status]]="Churned",1,0)</f>
        <v>0</v>
      </c>
      <c r="K348">
        <f t="shared" si="25"/>
        <v>0.48484848484848486</v>
      </c>
      <c r="L348">
        <f t="shared" si="26"/>
        <v>0.52</v>
      </c>
      <c r="M348" s="5">
        <f t="shared" si="27"/>
        <v>0.47368421052631576</v>
      </c>
      <c r="N348" s="5">
        <f t="shared" si="28"/>
        <v>0.35696969696969699</v>
      </c>
      <c r="O348" s="5" t="str">
        <f t="shared" si="29"/>
        <v>At-Risk</v>
      </c>
      <c r="P348" s="5">
        <f>IF(Table1[[#This Row],[Health Status]]="Churned",0,1)</f>
        <v>1</v>
      </c>
      <c r="Q348" s="5" t="str">
        <f>IF(Table1[[#This Row],[Subscription_End_Date]]="", "Active", "Churned")</f>
        <v>Active</v>
      </c>
      <c r="R348" s="5">
        <f ca="1">IF(Table1[[#This Row],[Subscription_End_Date]]="", DATEDIF(Table1[[#This Row],[Subscription_Start_Date]], TODAY(), "m"),
DATEDIF(Table1[[#This Row],[Subscription_Start_Date]], Table1[[#This Row],[Subscription_End_Date]], "m"))</f>
        <v>12</v>
      </c>
      <c r="S348" s="2">
        <f ca="1">Table1[[#This Row],[Monthly_Spend]] * Table1[[#This Row],[Customer Lifetime(Months)]]</f>
        <v>600000</v>
      </c>
    </row>
    <row r="349" spans="1:19" x14ac:dyDescent="0.35">
      <c r="A349" t="s">
        <v>367</v>
      </c>
      <c r="B349" t="s">
        <v>14</v>
      </c>
      <c r="C349" s="1">
        <v>44984</v>
      </c>
      <c r="E349" t="s">
        <v>23</v>
      </c>
      <c r="F349" s="2">
        <v>5000</v>
      </c>
      <c r="G349">
        <v>31</v>
      </c>
      <c r="H349">
        <v>56</v>
      </c>
      <c r="I349" t="s">
        <v>12</v>
      </c>
      <c r="J349">
        <f>IF(Table1[[#This Row],[Status]]="Churned",1,0)</f>
        <v>0</v>
      </c>
      <c r="K349">
        <f t="shared" si="25"/>
        <v>0.55555555555555558</v>
      </c>
      <c r="L349">
        <f t="shared" si="26"/>
        <v>0.38</v>
      </c>
      <c r="M349" s="5">
        <f t="shared" si="27"/>
        <v>0</v>
      </c>
      <c r="N349" s="5">
        <f t="shared" si="28"/>
        <v>0.30111111111111111</v>
      </c>
      <c r="O349" s="5" t="str">
        <f t="shared" si="29"/>
        <v>At-Risk</v>
      </c>
      <c r="P349" s="5">
        <f>IF(Table1[[#This Row],[Health Status]]="Churned",0,1)</f>
        <v>1</v>
      </c>
      <c r="Q349" s="5" t="str">
        <f>IF(Table1[[#This Row],[Subscription_End_Date]]="", "Active", "Churned")</f>
        <v>Active</v>
      </c>
      <c r="R349" s="5">
        <f ca="1">IF(Table1[[#This Row],[Subscription_End_Date]]="", DATEDIF(Table1[[#This Row],[Subscription_Start_Date]], TODAY(), "m"),
DATEDIF(Table1[[#This Row],[Subscription_Start_Date]], Table1[[#This Row],[Subscription_End_Date]], "m"))</f>
        <v>32</v>
      </c>
      <c r="S349" s="2">
        <f ca="1">Table1[[#This Row],[Monthly_Spend]] * Table1[[#This Row],[Customer Lifetime(Months)]]</f>
        <v>160000</v>
      </c>
    </row>
    <row r="350" spans="1:19" x14ac:dyDescent="0.35">
      <c r="A350" t="s">
        <v>368</v>
      </c>
      <c r="B350" t="s">
        <v>19</v>
      </c>
      <c r="C350" s="1">
        <v>45024</v>
      </c>
      <c r="E350" t="s">
        <v>16</v>
      </c>
      <c r="F350" s="2">
        <v>10000</v>
      </c>
      <c r="G350">
        <v>13</v>
      </c>
      <c r="H350">
        <v>89</v>
      </c>
      <c r="I350" t="s">
        <v>12</v>
      </c>
      <c r="J350">
        <f>IF(Table1[[#This Row],[Status]]="Churned",1,0)</f>
        <v>0</v>
      </c>
      <c r="K350">
        <f t="shared" si="25"/>
        <v>0.88888888888888884</v>
      </c>
      <c r="L350">
        <f t="shared" si="26"/>
        <v>0.74</v>
      </c>
      <c r="M350" s="5">
        <f t="shared" si="27"/>
        <v>5.2631578947368418E-2</v>
      </c>
      <c r="N350" s="5">
        <f t="shared" si="28"/>
        <v>0.54777777777777781</v>
      </c>
      <c r="O350" s="5" t="str">
        <f t="shared" si="29"/>
        <v>At-Risk</v>
      </c>
      <c r="P350" s="5">
        <f>IF(Table1[[#This Row],[Health Status]]="Churned",0,1)</f>
        <v>1</v>
      </c>
      <c r="Q350" s="5" t="str">
        <f>IF(Table1[[#This Row],[Subscription_End_Date]]="", "Active", "Churned")</f>
        <v>Active</v>
      </c>
      <c r="R350" s="5">
        <f ca="1">IF(Table1[[#This Row],[Subscription_End_Date]]="", DATEDIF(Table1[[#This Row],[Subscription_Start_Date]], TODAY(), "m"),
DATEDIF(Table1[[#This Row],[Subscription_Start_Date]], Table1[[#This Row],[Subscription_End_Date]], "m"))</f>
        <v>30</v>
      </c>
      <c r="S350" s="2">
        <f ca="1">Table1[[#This Row],[Monthly_Spend]] * Table1[[#This Row],[Customer Lifetime(Months)]]</f>
        <v>300000</v>
      </c>
    </row>
    <row r="351" spans="1:19" x14ac:dyDescent="0.35">
      <c r="A351" t="s">
        <v>369</v>
      </c>
      <c r="B351" t="s">
        <v>14</v>
      </c>
      <c r="C351" s="1">
        <v>45204</v>
      </c>
      <c r="D351" s="1">
        <v>45310</v>
      </c>
      <c r="E351" t="s">
        <v>23</v>
      </c>
      <c r="F351" s="2">
        <v>20000</v>
      </c>
      <c r="G351">
        <v>34</v>
      </c>
      <c r="H351">
        <v>73</v>
      </c>
      <c r="I351" t="s">
        <v>28</v>
      </c>
      <c r="J351">
        <f>IF(Table1[[#This Row],[Status]]="Churned",1,0)</f>
        <v>1</v>
      </c>
      <c r="K351">
        <f t="shared" si="25"/>
        <v>0.72727272727272729</v>
      </c>
      <c r="L351">
        <f t="shared" si="26"/>
        <v>0.31999999999999995</v>
      </c>
      <c r="M351" s="5">
        <f t="shared" si="27"/>
        <v>0.15789473684210525</v>
      </c>
      <c r="N351" s="5">
        <f t="shared" si="28"/>
        <v>0.60545454545454547</v>
      </c>
      <c r="O351" s="5" t="str">
        <f t="shared" si="29"/>
        <v>Churned</v>
      </c>
      <c r="P351" s="5">
        <f>IF(Table1[[#This Row],[Health Status]]="Churned",0,1)</f>
        <v>0</v>
      </c>
      <c r="Q351" s="5" t="str">
        <f>IF(Table1[[#This Row],[Subscription_End_Date]]="", "Active", "Churned")</f>
        <v>Churned</v>
      </c>
      <c r="R351" s="5">
        <f ca="1">IF(Table1[[#This Row],[Subscription_End_Date]]="", DATEDIF(Table1[[#This Row],[Subscription_Start_Date]], TODAY(), "m"),
DATEDIF(Table1[[#This Row],[Subscription_Start_Date]], Table1[[#This Row],[Subscription_End_Date]], "m"))</f>
        <v>3</v>
      </c>
      <c r="S351" s="2">
        <f ca="1">Table1[[#This Row],[Monthly_Spend]] * Table1[[#This Row],[Customer Lifetime(Months)]]</f>
        <v>60000</v>
      </c>
    </row>
    <row r="352" spans="1:19" x14ac:dyDescent="0.35">
      <c r="A352" t="s">
        <v>370</v>
      </c>
      <c r="B352" t="s">
        <v>10</v>
      </c>
      <c r="C352" s="1">
        <v>45249</v>
      </c>
      <c r="D352" s="1">
        <v>45491</v>
      </c>
      <c r="E352" t="s">
        <v>11</v>
      </c>
      <c r="F352" s="2">
        <v>100000</v>
      </c>
      <c r="G352">
        <v>9</v>
      </c>
      <c r="H352">
        <v>97</v>
      </c>
      <c r="I352" t="s">
        <v>28</v>
      </c>
      <c r="J352">
        <f>IF(Table1[[#This Row],[Status]]="Churned",1,0)</f>
        <v>1</v>
      </c>
      <c r="K352">
        <f t="shared" si="25"/>
        <v>0.96969696969696972</v>
      </c>
      <c r="L352">
        <f t="shared" si="26"/>
        <v>0.82000000000000006</v>
      </c>
      <c r="M352" s="5">
        <f t="shared" si="27"/>
        <v>1</v>
      </c>
      <c r="N352" s="5">
        <f t="shared" si="28"/>
        <v>0.90393939393939404</v>
      </c>
      <c r="O352" s="5" t="str">
        <f t="shared" si="29"/>
        <v>Churned</v>
      </c>
      <c r="P352" s="5">
        <f>IF(Table1[[#This Row],[Health Status]]="Churned",0,1)</f>
        <v>0</v>
      </c>
      <c r="Q352" s="5" t="str">
        <f>IF(Table1[[#This Row],[Subscription_End_Date]]="", "Active", "Churned")</f>
        <v>Churned</v>
      </c>
      <c r="R352" s="5">
        <f ca="1">IF(Table1[[#This Row],[Subscription_End_Date]]="", DATEDIF(Table1[[#This Row],[Subscription_Start_Date]], TODAY(), "m"),
DATEDIF(Table1[[#This Row],[Subscription_Start_Date]], Table1[[#This Row],[Subscription_End_Date]], "m"))</f>
        <v>7</v>
      </c>
      <c r="S352" s="2">
        <f ca="1">Table1[[#This Row],[Monthly_Spend]] * Table1[[#This Row],[Customer Lifetime(Months)]]</f>
        <v>700000</v>
      </c>
    </row>
    <row r="353" spans="1:19" x14ac:dyDescent="0.35">
      <c r="A353" t="s">
        <v>371</v>
      </c>
      <c r="B353" t="s">
        <v>31</v>
      </c>
      <c r="C353" s="1">
        <v>45233</v>
      </c>
      <c r="E353" t="s">
        <v>11</v>
      </c>
      <c r="F353" s="2">
        <v>100000</v>
      </c>
      <c r="G353">
        <v>24</v>
      </c>
      <c r="H353">
        <v>87</v>
      </c>
      <c r="I353" t="s">
        <v>12</v>
      </c>
      <c r="J353">
        <f>IF(Table1[[#This Row],[Status]]="Churned",1,0)</f>
        <v>0</v>
      </c>
      <c r="K353">
        <f t="shared" si="25"/>
        <v>0.86868686868686873</v>
      </c>
      <c r="L353">
        <f t="shared" si="26"/>
        <v>0.52</v>
      </c>
      <c r="M353" s="5">
        <f t="shared" si="27"/>
        <v>1</v>
      </c>
      <c r="N353" s="5">
        <f t="shared" si="28"/>
        <v>0.43373737373737375</v>
      </c>
      <c r="O353" s="5" t="str">
        <f t="shared" si="29"/>
        <v>Healthy</v>
      </c>
      <c r="P353" s="5">
        <f>IF(Table1[[#This Row],[Health Status]]="Churned",0,1)</f>
        <v>1</v>
      </c>
      <c r="Q353" s="5" t="str">
        <f>IF(Table1[[#This Row],[Subscription_End_Date]]="", "Active", "Churned")</f>
        <v>Active</v>
      </c>
      <c r="R353" s="5">
        <f ca="1">IF(Table1[[#This Row],[Subscription_End_Date]]="", DATEDIF(Table1[[#This Row],[Subscription_Start_Date]], TODAY(), "m"),
DATEDIF(Table1[[#This Row],[Subscription_Start_Date]], Table1[[#This Row],[Subscription_End_Date]], "m"))</f>
        <v>23</v>
      </c>
      <c r="S353" s="2">
        <f ca="1">Table1[[#This Row],[Monthly_Spend]] * Table1[[#This Row],[Customer Lifetime(Months)]]</f>
        <v>2300000</v>
      </c>
    </row>
    <row r="354" spans="1:19" x14ac:dyDescent="0.35">
      <c r="A354" t="s">
        <v>372</v>
      </c>
      <c r="B354" t="s">
        <v>14</v>
      </c>
      <c r="C354" s="1">
        <v>45320</v>
      </c>
      <c r="E354" t="s">
        <v>23</v>
      </c>
      <c r="F354" s="2">
        <v>5000</v>
      </c>
      <c r="G354">
        <v>32</v>
      </c>
      <c r="H354">
        <v>96</v>
      </c>
      <c r="I354" t="s">
        <v>12</v>
      </c>
      <c r="J354">
        <f>IF(Table1[[#This Row],[Status]]="Churned",1,0)</f>
        <v>0</v>
      </c>
      <c r="K354">
        <f t="shared" si="25"/>
        <v>0.95959595959595956</v>
      </c>
      <c r="L354">
        <f t="shared" si="26"/>
        <v>0.36</v>
      </c>
      <c r="M354" s="5">
        <f t="shared" si="27"/>
        <v>0</v>
      </c>
      <c r="N354" s="5">
        <f t="shared" si="28"/>
        <v>0.37191919191919193</v>
      </c>
      <c r="O354" s="5" t="str">
        <f t="shared" si="29"/>
        <v>At-Risk</v>
      </c>
      <c r="P354" s="5">
        <f>IF(Table1[[#This Row],[Health Status]]="Churned",0,1)</f>
        <v>1</v>
      </c>
      <c r="Q354" s="5" t="str">
        <f>IF(Table1[[#This Row],[Subscription_End_Date]]="", "Active", "Churned")</f>
        <v>Active</v>
      </c>
      <c r="R354" s="5">
        <f ca="1">IF(Table1[[#This Row],[Subscription_End_Date]]="", DATEDIF(Table1[[#This Row],[Subscription_Start_Date]], TODAY(), "m"),
DATEDIF(Table1[[#This Row],[Subscription_Start_Date]], Table1[[#This Row],[Subscription_End_Date]], "m"))</f>
        <v>21</v>
      </c>
      <c r="S354" s="2">
        <f ca="1">Table1[[#This Row],[Monthly_Spend]] * Table1[[#This Row],[Customer Lifetime(Months)]]</f>
        <v>105000</v>
      </c>
    </row>
    <row r="355" spans="1:19" x14ac:dyDescent="0.35">
      <c r="A355" t="s">
        <v>373</v>
      </c>
      <c r="B355" t="s">
        <v>19</v>
      </c>
      <c r="C355" s="1">
        <v>45027</v>
      </c>
      <c r="E355" t="s">
        <v>11</v>
      </c>
      <c r="F355" s="2">
        <v>20000</v>
      </c>
      <c r="G355">
        <v>38</v>
      </c>
      <c r="H355">
        <v>99</v>
      </c>
      <c r="I355" t="s">
        <v>12</v>
      </c>
      <c r="J355">
        <f>IF(Table1[[#This Row],[Status]]="Churned",1,0)</f>
        <v>0</v>
      </c>
      <c r="K355">
        <f t="shared" si="25"/>
        <v>0.98989898989898994</v>
      </c>
      <c r="L355">
        <f t="shared" si="26"/>
        <v>0.24</v>
      </c>
      <c r="M355" s="5">
        <f t="shared" si="27"/>
        <v>0.15789473684210525</v>
      </c>
      <c r="N355" s="5">
        <f t="shared" si="28"/>
        <v>0.31797979797979803</v>
      </c>
      <c r="O355" s="5" t="str">
        <f t="shared" si="29"/>
        <v>At-Risk</v>
      </c>
      <c r="P355" s="5">
        <f>IF(Table1[[#This Row],[Health Status]]="Churned",0,1)</f>
        <v>1</v>
      </c>
      <c r="Q355" s="5" t="str">
        <f>IF(Table1[[#This Row],[Subscription_End_Date]]="", "Active", "Churned")</f>
        <v>Active</v>
      </c>
      <c r="R355" s="5">
        <f ca="1">IF(Table1[[#This Row],[Subscription_End_Date]]="", DATEDIF(Table1[[#This Row],[Subscription_Start_Date]], TODAY(), "m"),
DATEDIF(Table1[[#This Row],[Subscription_Start_Date]], Table1[[#This Row],[Subscription_End_Date]], "m"))</f>
        <v>30</v>
      </c>
      <c r="S355" s="2">
        <f ca="1">Table1[[#This Row],[Monthly_Spend]] * Table1[[#This Row],[Customer Lifetime(Months)]]</f>
        <v>600000</v>
      </c>
    </row>
    <row r="356" spans="1:19" x14ac:dyDescent="0.35">
      <c r="A356" t="s">
        <v>374</v>
      </c>
      <c r="B356" t="s">
        <v>14</v>
      </c>
      <c r="C356" s="1">
        <v>45333</v>
      </c>
      <c r="E356" t="s">
        <v>16</v>
      </c>
      <c r="F356" s="2">
        <v>5000</v>
      </c>
      <c r="G356">
        <v>40</v>
      </c>
      <c r="H356">
        <v>35</v>
      </c>
      <c r="I356" t="s">
        <v>17</v>
      </c>
      <c r="J356">
        <f>IF(Table1[[#This Row],[Status]]="Churned",1,0)</f>
        <v>0</v>
      </c>
      <c r="K356">
        <f t="shared" si="25"/>
        <v>0.34343434343434343</v>
      </c>
      <c r="L356">
        <f t="shared" si="26"/>
        <v>0.19999999999999996</v>
      </c>
      <c r="M356" s="5">
        <f t="shared" si="27"/>
        <v>0</v>
      </c>
      <c r="N356" s="5">
        <f t="shared" si="28"/>
        <v>0.16868686868686866</v>
      </c>
      <c r="O356" s="5" t="str">
        <f t="shared" si="29"/>
        <v>At-Risk</v>
      </c>
      <c r="P356" s="5">
        <f>IF(Table1[[#This Row],[Health Status]]="Churned",0,1)</f>
        <v>1</v>
      </c>
      <c r="Q356" s="5" t="str">
        <f>IF(Table1[[#This Row],[Subscription_End_Date]]="", "Active", "Churned")</f>
        <v>Active</v>
      </c>
      <c r="R356" s="5">
        <f ca="1">IF(Table1[[#This Row],[Subscription_End_Date]]="", DATEDIF(Table1[[#This Row],[Subscription_Start_Date]], TODAY(), "m"),
DATEDIF(Table1[[#This Row],[Subscription_Start_Date]], Table1[[#This Row],[Subscription_End_Date]], "m"))</f>
        <v>20</v>
      </c>
      <c r="S356" s="2">
        <f ca="1">Table1[[#This Row],[Monthly_Spend]] * Table1[[#This Row],[Customer Lifetime(Months)]]</f>
        <v>100000</v>
      </c>
    </row>
    <row r="357" spans="1:19" x14ac:dyDescent="0.35">
      <c r="A357" t="s">
        <v>375</v>
      </c>
      <c r="B357" t="s">
        <v>31</v>
      </c>
      <c r="C357" s="1">
        <v>45160</v>
      </c>
      <c r="E357" t="s">
        <v>23</v>
      </c>
      <c r="F357" s="2">
        <v>50000</v>
      </c>
      <c r="G357">
        <v>11</v>
      </c>
      <c r="H357">
        <v>88</v>
      </c>
      <c r="I357" t="s">
        <v>17</v>
      </c>
      <c r="J357">
        <f>IF(Table1[[#This Row],[Status]]="Churned",1,0)</f>
        <v>0</v>
      </c>
      <c r="K357">
        <f t="shared" si="25"/>
        <v>0.87878787878787878</v>
      </c>
      <c r="L357">
        <f t="shared" si="26"/>
        <v>0.78</v>
      </c>
      <c r="M357" s="5">
        <f t="shared" si="27"/>
        <v>0.47368421052631576</v>
      </c>
      <c r="N357" s="5">
        <f t="shared" si="28"/>
        <v>0.56575757575757579</v>
      </c>
      <c r="O357" s="5" t="str">
        <f t="shared" si="29"/>
        <v>At-Risk</v>
      </c>
      <c r="P357" s="5">
        <f>IF(Table1[[#This Row],[Health Status]]="Churned",0,1)</f>
        <v>1</v>
      </c>
      <c r="Q357" s="5" t="str">
        <f>IF(Table1[[#This Row],[Subscription_End_Date]]="", "Active", "Churned")</f>
        <v>Active</v>
      </c>
      <c r="R357" s="5">
        <f ca="1">IF(Table1[[#This Row],[Subscription_End_Date]]="", DATEDIF(Table1[[#This Row],[Subscription_Start_Date]], TODAY(), "m"),
DATEDIF(Table1[[#This Row],[Subscription_Start_Date]], Table1[[#This Row],[Subscription_End_Date]], "m"))</f>
        <v>26</v>
      </c>
      <c r="S357" s="2">
        <f ca="1">Table1[[#This Row],[Monthly_Spend]] * Table1[[#This Row],[Customer Lifetime(Months)]]</f>
        <v>1300000</v>
      </c>
    </row>
    <row r="358" spans="1:19" x14ac:dyDescent="0.35">
      <c r="A358" t="s">
        <v>376</v>
      </c>
      <c r="B358" t="s">
        <v>14</v>
      </c>
      <c r="C358" s="1">
        <v>45316</v>
      </c>
      <c r="D358" s="1">
        <v>45979</v>
      </c>
      <c r="E358" t="s">
        <v>16</v>
      </c>
      <c r="F358" s="2">
        <v>20000</v>
      </c>
      <c r="G358">
        <v>15</v>
      </c>
      <c r="H358">
        <v>92</v>
      </c>
      <c r="I358" t="s">
        <v>28</v>
      </c>
      <c r="J358">
        <f>IF(Table1[[#This Row],[Status]]="Churned",1,0)</f>
        <v>1</v>
      </c>
      <c r="K358">
        <f t="shared" si="25"/>
        <v>0.91919191919191923</v>
      </c>
      <c r="L358">
        <f t="shared" si="26"/>
        <v>0.7</v>
      </c>
      <c r="M358" s="5">
        <f t="shared" si="27"/>
        <v>0.15789473684210525</v>
      </c>
      <c r="N358" s="5">
        <f t="shared" si="28"/>
        <v>0.83383838383838382</v>
      </c>
      <c r="O358" s="5" t="str">
        <f t="shared" si="29"/>
        <v>Churned</v>
      </c>
      <c r="P358" s="5">
        <f>IF(Table1[[#This Row],[Health Status]]="Churned",0,1)</f>
        <v>0</v>
      </c>
      <c r="Q358" s="5" t="str">
        <f>IF(Table1[[#This Row],[Subscription_End_Date]]="", "Active", "Churned")</f>
        <v>Churned</v>
      </c>
      <c r="R358" s="5">
        <f ca="1">IF(Table1[[#This Row],[Subscription_End_Date]]="", DATEDIF(Table1[[#This Row],[Subscription_Start_Date]], TODAY(), "m"),
DATEDIF(Table1[[#This Row],[Subscription_Start_Date]], Table1[[#This Row],[Subscription_End_Date]], "m"))</f>
        <v>21</v>
      </c>
      <c r="S358" s="2">
        <f ca="1">Table1[[#This Row],[Monthly_Spend]] * Table1[[#This Row],[Customer Lifetime(Months)]]</f>
        <v>420000</v>
      </c>
    </row>
    <row r="359" spans="1:19" x14ac:dyDescent="0.35">
      <c r="A359" t="s">
        <v>377</v>
      </c>
      <c r="B359" t="s">
        <v>10</v>
      </c>
      <c r="C359" s="1">
        <v>45201</v>
      </c>
      <c r="E359" t="s">
        <v>11</v>
      </c>
      <c r="F359" s="2">
        <v>50000</v>
      </c>
      <c r="G359">
        <v>20</v>
      </c>
      <c r="H359">
        <v>47</v>
      </c>
      <c r="I359" t="s">
        <v>12</v>
      </c>
      <c r="J359">
        <f>IF(Table1[[#This Row],[Status]]="Churned",1,0)</f>
        <v>0</v>
      </c>
      <c r="K359">
        <f t="shared" si="25"/>
        <v>0.46464646464646464</v>
      </c>
      <c r="L359">
        <f t="shared" si="26"/>
        <v>0.6</v>
      </c>
      <c r="M359" s="5">
        <f t="shared" si="27"/>
        <v>0.47368421052631576</v>
      </c>
      <c r="N359" s="5">
        <f t="shared" si="28"/>
        <v>0.39292929292929291</v>
      </c>
      <c r="O359" s="5" t="str">
        <f t="shared" si="29"/>
        <v>At-Risk</v>
      </c>
      <c r="P359" s="5">
        <f>IF(Table1[[#This Row],[Health Status]]="Churned",0,1)</f>
        <v>1</v>
      </c>
      <c r="Q359" s="5" t="str">
        <f>IF(Table1[[#This Row],[Subscription_End_Date]]="", "Active", "Churned")</f>
        <v>Active</v>
      </c>
      <c r="R359" s="5">
        <f ca="1">IF(Table1[[#This Row],[Subscription_End_Date]]="", DATEDIF(Table1[[#This Row],[Subscription_Start_Date]], TODAY(), "m"),
DATEDIF(Table1[[#This Row],[Subscription_Start_Date]], Table1[[#This Row],[Subscription_End_Date]], "m"))</f>
        <v>24</v>
      </c>
      <c r="S359" s="2">
        <f ca="1">Table1[[#This Row],[Monthly_Spend]] * Table1[[#This Row],[Customer Lifetime(Months)]]</f>
        <v>1200000</v>
      </c>
    </row>
    <row r="360" spans="1:19" x14ac:dyDescent="0.35">
      <c r="A360" t="s">
        <v>378</v>
      </c>
      <c r="B360" t="s">
        <v>10</v>
      </c>
      <c r="C360" s="1">
        <v>44932</v>
      </c>
      <c r="E360" t="s">
        <v>11</v>
      </c>
      <c r="F360" s="2">
        <v>20000</v>
      </c>
      <c r="G360">
        <v>48</v>
      </c>
      <c r="H360">
        <v>35</v>
      </c>
      <c r="I360" t="s">
        <v>17</v>
      </c>
      <c r="J360">
        <f>IF(Table1[[#This Row],[Status]]="Churned",1,0)</f>
        <v>0</v>
      </c>
      <c r="K360">
        <f t="shared" si="25"/>
        <v>0.34343434343434343</v>
      </c>
      <c r="L360">
        <f t="shared" si="26"/>
        <v>4.0000000000000036E-2</v>
      </c>
      <c r="M360" s="5">
        <f t="shared" si="27"/>
        <v>0.15789473684210525</v>
      </c>
      <c r="N360" s="5">
        <f t="shared" si="28"/>
        <v>8.8686868686868703E-2</v>
      </c>
      <c r="O360" s="5" t="str">
        <f t="shared" si="29"/>
        <v>At-Risk</v>
      </c>
      <c r="P360" s="5">
        <f>IF(Table1[[#This Row],[Health Status]]="Churned",0,1)</f>
        <v>1</v>
      </c>
      <c r="Q360" s="5" t="str">
        <f>IF(Table1[[#This Row],[Subscription_End_Date]]="", "Active", "Churned")</f>
        <v>Active</v>
      </c>
      <c r="R360" s="5">
        <f ca="1">IF(Table1[[#This Row],[Subscription_End_Date]]="", DATEDIF(Table1[[#This Row],[Subscription_Start_Date]], TODAY(), "m"),
DATEDIF(Table1[[#This Row],[Subscription_Start_Date]], Table1[[#This Row],[Subscription_End_Date]], "m"))</f>
        <v>33</v>
      </c>
      <c r="S360" s="2">
        <f ca="1">Table1[[#This Row],[Monthly_Spend]] * Table1[[#This Row],[Customer Lifetime(Months)]]</f>
        <v>660000</v>
      </c>
    </row>
    <row r="361" spans="1:19" x14ac:dyDescent="0.35">
      <c r="A361" t="s">
        <v>379</v>
      </c>
      <c r="B361" t="s">
        <v>10</v>
      </c>
      <c r="C361" s="1">
        <v>45016</v>
      </c>
      <c r="E361" t="s">
        <v>11</v>
      </c>
      <c r="F361" s="2">
        <v>100000</v>
      </c>
      <c r="G361">
        <v>35</v>
      </c>
      <c r="H361">
        <v>66</v>
      </c>
      <c r="I361" t="s">
        <v>17</v>
      </c>
      <c r="J361">
        <f>IF(Table1[[#This Row],[Status]]="Churned",1,0)</f>
        <v>0</v>
      </c>
      <c r="K361">
        <f t="shared" si="25"/>
        <v>0.65656565656565657</v>
      </c>
      <c r="L361">
        <f t="shared" si="26"/>
        <v>0.30000000000000004</v>
      </c>
      <c r="M361" s="5">
        <f t="shared" si="27"/>
        <v>1</v>
      </c>
      <c r="N361" s="5">
        <f t="shared" si="28"/>
        <v>0.28131313131313135</v>
      </c>
      <c r="O361" s="5" t="str">
        <f t="shared" si="29"/>
        <v>Healthy</v>
      </c>
      <c r="P361" s="5">
        <f>IF(Table1[[#This Row],[Health Status]]="Churned",0,1)</f>
        <v>1</v>
      </c>
      <c r="Q361" s="5" t="str">
        <f>IF(Table1[[#This Row],[Subscription_End_Date]]="", "Active", "Churned")</f>
        <v>Active</v>
      </c>
      <c r="R361" s="5">
        <f ca="1">IF(Table1[[#This Row],[Subscription_End_Date]]="", DATEDIF(Table1[[#This Row],[Subscription_Start_Date]], TODAY(), "m"),
DATEDIF(Table1[[#This Row],[Subscription_Start_Date]], Table1[[#This Row],[Subscription_End_Date]], "m"))</f>
        <v>30</v>
      </c>
      <c r="S361" s="2">
        <f ca="1">Table1[[#This Row],[Monthly_Spend]] * Table1[[#This Row],[Customer Lifetime(Months)]]</f>
        <v>3000000</v>
      </c>
    </row>
    <row r="362" spans="1:19" x14ac:dyDescent="0.35">
      <c r="A362" t="s">
        <v>380</v>
      </c>
      <c r="B362" t="s">
        <v>31</v>
      </c>
      <c r="C362" s="1">
        <v>44953</v>
      </c>
      <c r="E362" t="s">
        <v>11</v>
      </c>
      <c r="F362" s="2">
        <v>100000</v>
      </c>
      <c r="G362">
        <v>38</v>
      </c>
      <c r="H362">
        <v>42</v>
      </c>
      <c r="I362" t="s">
        <v>12</v>
      </c>
      <c r="J362">
        <f>IF(Table1[[#This Row],[Status]]="Churned",1,0)</f>
        <v>0</v>
      </c>
      <c r="K362">
        <f t="shared" si="25"/>
        <v>0.41414141414141414</v>
      </c>
      <c r="L362">
        <f t="shared" si="26"/>
        <v>0.24</v>
      </c>
      <c r="M362" s="5">
        <f t="shared" si="27"/>
        <v>1</v>
      </c>
      <c r="N362" s="5">
        <f t="shared" si="28"/>
        <v>0.20282828282828283</v>
      </c>
      <c r="O362" s="5" t="str">
        <f t="shared" si="29"/>
        <v>Healthy</v>
      </c>
      <c r="P362" s="5">
        <f>IF(Table1[[#This Row],[Health Status]]="Churned",0,1)</f>
        <v>1</v>
      </c>
      <c r="Q362" s="5" t="str">
        <f>IF(Table1[[#This Row],[Subscription_End_Date]]="", "Active", "Churned")</f>
        <v>Active</v>
      </c>
      <c r="R362" s="5">
        <f ca="1">IF(Table1[[#This Row],[Subscription_End_Date]]="", DATEDIF(Table1[[#This Row],[Subscription_Start_Date]], TODAY(), "m"),
DATEDIF(Table1[[#This Row],[Subscription_Start_Date]], Table1[[#This Row],[Subscription_End_Date]], "m"))</f>
        <v>33</v>
      </c>
      <c r="S362" s="2">
        <f ca="1">Table1[[#This Row],[Monthly_Spend]] * Table1[[#This Row],[Customer Lifetime(Months)]]</f>
        <v>3300000</v>
      </c>
    </row>
    <row r="363" spans="1:19" x14ac:dyDescent="0.35">
      <c r="A363" t="s">
        <v>381</v>
      </c>
      <c r="B363" t="s">
        <v>31</v>
      </c>
      <c r="C363" s="1">
        <v>45225</v>
      </c>
      <c r="E363" t="s">
        <v>11</v>
      </c>
      <c r="F363" s="2">
        <v>100000</v>
      </c>
      <c r="G363">
        <v>15</v>
      </c>
      <c r="H363">
        <v>74</v>
      </c>
      <c r="I363" t="s">
        <v>12</v>
      </c>
      <c r="J363">
        <f>IF(Table1[[#This Row],[Status]]="Churned",1,0)</f>
        <v>0</v>
      </c>
      <c r="K363">
        <f t="shared" si="25"/>
        <v>0.73737373737373735</v>
      </c>
      <c r="L363">
        <f t="shared" si="26"/>
        <v>0.7</v>
      </c>
      <c r="M363" s="5">
        <f t="shared" si="27"/>
        <v>1</v>
      </c>
      <c r="N363" s="5">
        <f t="shared" si="28"/>
        <v>0.49747474747474746</v>
      </c>
      <c r="O363" s="5" t="str">
        <f t="shared" si="29"/>
        <v>Healthy</v>
      </c>
      <c r="P363" s="5">
        <f>IF(Table1[[#This Row],[Health Status]]="Churned",0,1)</f>
        <v>1</v>
      </c>
      <c r="Q363" s="5" t="str">
        <f>IF(Table1[[#This Row],[Subscription_End_Date]]="", "Active", "Churned")</f>
        <v>Active</v>
      </c>
      <c r="R363" s="5">
        <f ca="1">IF(Table1[[#This Row],[Subscription_End_Date]]="", DATEDIF(Table1[[#This Row],[Subscription_Start_Date]], TODAY(), "m"),
DATEDIF(Table1[[#This Row],[Subscription_Start_Date]], Table1[[#This Row],[Subscription_End_Date]], "m"))</f>
        <v>24</v>
      </c>
      <c r="S363" s="2">
        <f ca="1">Table1[[#This Row],[Monthly_Spend]] * Table1[[#This Row],[Customer Lifetime(Months)]]</f>
        <v>2400000</v>
      </c>
    </row>
    <row r="364" spans="1:19" x14ac:dyDescent="0.35">
      <c r="A364" t="s">
        <v>382</v>
      </c>
      <c r="B364" t="s">
        <v>14</v>
      </c>
      <c r="C364" s="1">
        <v>45628</v>
      </c>
      <c r="E364" t="s">
        <v>11</v>
      </c>
      <c r="F364" s="2">
        <v>20000</v>
      </c>
      <c r="G364">
        <v>19</v>
      </c>
      <c r="H364">
        <v>35</v>
      </c>
      <c r="I364" t="s">
        <v>12</v>
      </c>
      <c r="J364">
        <f>IF(Table1[[#This Row],[Status]]="Churned",1,0)</f>
        <v>0</v>
      </c>
      <c r="K364">
        <f t="shared" si="25"/>
        <v>0.34343434343434343</v>
      </c>
      <c r="L364">
        <f t="shared" si="26"/>
        <v>0.62</v>
      </c>
      <c r="M364" s="5">
        <f t="shared" si="27"/>
        <v>0.15789473684210525</v>
      </c>
      <c r="N364" s="5">
        <f t="shared" si="28"/>
        <v>0.37868686868686868</v>
      </c>
      <c r="O364" s="5" t="str">
        <f t="shared" si="29"/>
        <v>At-Risk</v>
      </c>
      <c r="P364" s="5">
        <f>IF(Table1[[#This Row],[Health Status]]="Churned",0,1)</f>
        <v>1</v>
      </c>
      <c r="Q364" s="5" t="str">
        <f>IF(Table1[[#This Row],[Subscription_End_Date]]="", "Active", "Churned")</f>
        <v>Active</v>
      </c>
      <c r="R364" s="5">
        <f ca="1">IF(Table1[[#This Row],[Subscription_End_Date]]="", DATEDIF(Table1[[#This Row],[Subscription_Start_Date]], TODAY(), "m"),
DATEDIF(Table1[[#This Row],[Subscription_Start_Date]], Table1[[#This Row],[Subscription_End_Date]], "m"))</f>
        <v>10</v>
      </c>
      <c r="S364" s="2">
        <f ca="1">Table1[[#This Row],[Monthly_Spend]] * Table1[[#This Row],[Customer Lifetime(Months)]]</f>
        <v>200000</v>
      </c>
    </row>
    <row r="365" spans="1:19" x14ac:dyDescent="0.35">
      <c r="A365" t="s">
        <v>383</v>
      </c>
      <c r="B365" t="s">
        <v>31</v>
      </c>
      <c r="C365" s="1">
        <v>44991</v>
      </c>
      <c r="E365" t="s">
        <v>11</v>
      </c>
      <c r="F365" s="2">
        <v>50000</v>
      </c>
      <c r="G365">
        <v>19</v>
      </c>
      <c r="H365">
        <v>62</v>
      </c>
      <c r="I365" t="s">
        <v>17</v>
      </c>
      <c r="J365">
        <f>IF(Table1[[#This Row],[Status]]="Churned",1,0)</f>
        <v>0</v>
      </c>
      <c r="K365">
        <f t="shared" si="25"/>
        <v>0.61616161616161613</v>
      </c>
      <c r="L365">
        <f t="shared" si="26"/>
        <v>0.62</v>
      </c>
      <c r="M365" s="5">
        <f t="shared" si="27"/>
        <v>0.47368421052631576</v>
      </c>
      <c r="N365" s="5">
        <f t="shared" si="28"/>
        <v>0.43323232323232325</v>
      </c>
      <c r="O365" s="5" t="str">
        <f t="shared" si="29"/>
        <v>At-Risk</v>
      </c>
      <c r="P365" s="5">
        <f>IF(Table1[[#This Row],[Health Status]]="Churned",0,1)</f>
        <v>1</v>
      </c>
      <c r="Q365" s="5" t="str">
        <f>IF(Table1[[#This Row],[Subscription_End_Date]]="", "Active", "Churned")</f>
        <v>Active</v>
      </c>
      <c r="R365" s="5">
        <f ca="1">IF(Table1[[#This Row],[Subscription_End_Date]]="", DATEDIF(Table1[[#This Row],[Subscription_Start_Date]], TODAY(), "m"),
DATEDIF(Table1[[#This Row],[Subscription_Start_Date]], Table1[[#This Row],[Subscription_End_Date]], "m"))</f>
        <v>31</v>
      </c>
      <c r="S365" s="2">
        <f ca="1">Table1[[#This Row],[Monthly_Spend]] * Table1[[#This Row],[Customer Lifetime(Months)]]</f>
        <v>1550000</v>
      </c>
    </row>
    <row r="366" spans="1:19" x14ac:dyDescent="0.35">
      <c r="A366" t="s">
        <v>384</v>
      </c>
      <c r="B366" t="s">
        <v>10</v>
      </c>
      <c r="C366" s="1">
        <v>45184</v>
      </c>
      <c r="E366" t="s">
        <v>23</v>
      </c>
      <c r="F366" s="2">
        <v>100000</v>
      </c>
      <c r="G366">
        <v>39</v>
      </c>
      <c r="H366">
        <v>26</v>
      </c>
      <c r="I366" t="s">
        <v>17</v>
      </c>
      <c r="J366">
        <f>IF(Table1[[#This Row],[Status]]="Churned",1,0)</f>
        <v>0</v>
      </c>
      <c r="K366">
        <f t="shared" si="25"/>
        <v>0.25252525252525254</v>
      </c>
      <c r="L366">
        <f t="shared" si="26"/>
        <v>0.21999999999999997</v>
      </c>
      <c r="M366" s="5">
        <f t="shared" si="27"/>
        <v>1</v>
      </c>
      <c r="N366" s="5">
        <f t="shared" si="28"/>
        <v>0.16050505050505048</v>
      </c>
      <c r="O366" s="5" t="str">
        <f t="shared" si="29"/>
        <v>Healthy</v>
      </c>
      <c r="P366" s="5">
        <f>IF(Table1[[#This Row],[Health Status]]="Churned",0,1)</f>
        <v>1</v>
      </c>
      <c r="Q366" s="5" t="str">
        <f>IF(Table1[[#This Row],[Subscription_End_Date]]="", "Active", "Churned")</f>
        <v>Active</v>
      </c>
      <c r="R366" s="5">
        <f ca="1">IF(Table1[[#This Row],[Subscription_End_Date]]="", DATEDIF(Table1[[#This Row],[Subscription_Start_Date]], TODAY(), "m"),
DATEDIF(Table1[[#This Row],[Subscription_Start_Date]], Table1[[#This Row],[Subscription_End_Date]], "m"))</f>
        <v>25</v>
      </c>
      <c r="S366" s="2">
        <f ca="1">Table1[[#This Row],[Monthly_Spend]] * Table1[[#This Row],[Customer Lifetime(Months)]]</f>
        <v>2500000</v>
      </c>
    </row>
    <row r="367" spans="1:19" x14ac:dyDescent="0.35">
      <c r="A367" t="s">
        <v>385</v>
      </c>
      <c r="B367" t="s">
        <v>31</v>
      </c>
      <c r="C367" s="1">
        <v>45065</v>
      </c>
      <c r="E367" t="s">
        <v>11</v>
      </c>
      <c r="F367" s="2">
        <v>20000</v>
      </c>
      <c r="G367">
        <v>39</v>
      </c>
      <c r="H367">
        <v>49</v>
      </c>
      <c r="I367" t="s">
        <v>17</v>
      </c>
      <c r="J367">
        <f>IF(Table1[[#This Row],[Status]]="Churned",1,0)</f>
        <v>0</v>
      </c>
      <c r="K367">
        <f t="shared" si="25"/>
        <v>0.48484848484848486</v>
      </c>
      <c r="L367">
        <f t="shared" si="26"/>
        <v>0.21999999999999997</v>
      </c>
      <c r="M367" s="5">
        <f t="shared" si="27"/>
        <v>0.15789473684210525</v>
      </c>
      <c r="N367" s="5">
        <f t="shared" si="28"/>
        <v>0.20696969696969697</v>
      </c>
      <c r="O367" s="5" t="str">
        <f t="shared" si="29"/>
        <v>At-Risk</v>
      </c>
      <c r="P367" s="5">
        <f>IF(Table1[[#This Row],[Health Status]]="Churned",0,1)</f>
        <v>1</v>
      </c>
      <c r="Q367" s="5" t="str">
        <f>IF(Table1[[#This Row],[Subscription_End_Date]]="", "Active", "Churned")</f>
        <v>Active</v>
      </c>
      <c r="R367" s="5">
        <f ca="1">IF(Table1[[#This Row],[Subscription_End_Date]]="", DATEDIF(Table1[[#This Row],[Subscription_Start_Date]], TODAY(), "m"),
DATEDIF(Table1[[#This Row],[Subscription_Start_Date]], Table1[[#This Row],[Subscription_End_Date]], "m"))</f>
        <v>29</v>
      </c>
      <c r="S367" s="2">
        <f ca="1">Table1[[#This Row],[Monthly_Spend]] * Table1[[#This Row],[Customer Lifetime(Months)]]</f>
        <v>580000</v>
      </c>
    </row>
    <row r="368" spans="1:19" x14ac:dyDescent="0.35">
      <c r="A368" t="s">
        <v>386</v>
      </c>
      <c r="B368" t="s">
        <v>19</v>
      </c>
      <c r="C368" s="1">
        <v>45269</v>
      </c>
      <c r="E368" t="s">
        <v>23</v>
      </c>
      <c r="F368" s="2">
        <v>20000</v>
      </c>
      <c r="G368">
        <v>20</v>
      </c>
      <c r="H368">
        <v>78</v>
      </c>
      <c r="I368" t="s">
        <v>12</v>
      </c>
      <c r="J368">
        <f>IF(Table1[[#This Row],[Status]]="Churned",1,0)</f>
        <v>0</v>
      </c>
      <c r="K368">
        <f t="shared" si="25"/>
        <v>0.77777777777777779</v>
      </c>
      <c r="L368">
        <f t="shared" si="26"/>
        <v>0.6</v>
      </c>
      <c r="M368" s="5">
        <f t="shared" si="27"/>
        <v>0.15789473684210525</v>
      </c>
      <c r="N368" s="5">
        <f t="shared" si="28"/>
        <v>0.45555555555555555</v>
      </c>
      <c r="O368" s="5" t="str">
        <f t="shared" si="29"/>
        <v>At-Risk</v>
      </c>
      <c r="P368" s="5">
        <f>IF(Table1[[#This Row],[Health Status]]="Churned",0,1)</f>
        <v>1</v>
      </c>
      <c r="Q368" s="5" t="str">
        <f>IF(Table1[[#This Row],[Subscription_End_Date]]="", "Active", "Churned")</f>
        <v>Active</v>
      </c>
      <c r="R368" s="5">
        <f ca="1">IF(Table1[[#This Row],[Subscription_End_Date]]="", DATEDIF(Table1[[#This Row],[Subscription_Start_Date]], TODAY(), "m"),
DATEDIF(Table1[[#This Row],[Subscription_Start_Date]], Table1[[#This Row],[Subscription_End_Date]], "m"))</f>
        <v>22</v>
      </c>
      <c r="S368" s="2">
        <f ca="1">Table1[[#This Row],[Monthly_Spend]] * Table1[[#This Row],[Customer Lifetime(Months)]]</f>
        <v>440000</v>
      </c>
    </row>
    <row r="369" spans="1:19" x14ac:dyDescent="0.35">
      <c r="A369" t="s">
        <v>387</v>
      </c>
      <c r="B369" t="s">
        <v>27</v>
      </c>
      <c r="C369" s="1">
        <v>45248</v>
      </c>
      <c r="E369" t="s">
        <v>23</v>
      </c>
      <c r="F369" s="2">
        <v>20000</v>
      </c>
      <c r="G369">
        <v>18</v>
      </c>
      <c r="H369">
        <v>95</v>
      </c>
      <c r="I369" t="s">
        <v>17</v>
      </c>
      <c r="J369">
        <f>IF(Table1[[#This Row],[Status]]="Churned",1,0)</f>
        <v>0</v>
      </c>
      <c r="K369">
        <f t="shared" si="25"/>
        <v>0.9494949494949495</v>
      </c>
      <c r="L369">
        <f t="shared" si="26"/>
        <v>0.64</v>
      </c>
      <c r="M369" s="5">
        <f t="shared" si="27"/>
        <v>0.15789473684210525</v>
      </c>
      <c r="N369" s="5">
        <f t="shared" si="28"/>
        <v>0.50989898989898985</v>
      </c>
      <c r="O369" s="5" t="str">
        <f t="shared" si="29"/>
        <v>At-Risk</v>
      </c>
      <c r="P369" s="5">
        <f>IF(Table1[[#This Row],[Health Status]]="Churned",0,1)</f>
        <v>1</v>
      </c>
      <c r="Q369" s="5" t="str">
        <f>IF(Table1[[#This Row],[Subscription_End_Date]]="", "Active", "Churned")</f>
        <v>Active</v>
      </c>
      <c r="R369" s="5">
        <f ca="1">IF(Table1[[#This Row],[Subscription_End_Date]]="", DATEDIF(Table1[[#This Row],[Subscription_Start_Date]], TODAY(), "m"),
DATEDIF(Table1[[#This Row],[Subscription_Start_Date]], Table1[[#This Row],[Subscription_End_Date]], "m"))</f>
        <v>23</v>
      </c>
      <c r="S369" s="2">
        <f ca="1">Table1[[#This Row],[Monthly_Spend]] * Table1[[#This Row],[Customer Lifetime(Months)]]</f>
        <v>460000</v>
      </c>
    </row>
    <row r="370" spans="1:19" x14ac:dyDescent="0.35">
      <c r="A370" t="s">
        <v>388</v>
      </c>
      <c r="B370" t="s">
        <v>31</v>
      </c>
      <c r="C370" s="1">
        <v>45175</v>
      </c>
      <c r="E370" t="s">
        <v>16</v>
      </c>
      <c r="F370" s="2">
        <v>50000</v>
      </c>
      <c r="G370">
        <v>23</v>
      </c>
      <c r="H370">
        <v>15</v>
      </c>
      <c r="I370" t="s">
        <v>17</v>
      </c>
      <c r="J370">
        <f>IF(Table1[[#This Row],[Status]]="Churned",1,0)</f>
        <v>0</v>
      </c>
      <c r="K370">
        <f t="shared" si="25"/>
        <v>0.14141414141414141</v>
      </c>
      <c r="L370">
        <f t="shared" si="26"/>
        <v>0.54</v>
      </c>
      <c r="M370" s="5">
        <f t="shared" si="27"/>
        <v>0.47368421052631576</v>
      </c>
      <c r="N370" s="5">
        <f t="shared" si="28"/>
        <v>0.29828282828282832</v>
      </c>
      <c r="O370" s="5" t="str">
        <f t="shared" si="29"/>
        <v>At-Risk</v>
      </c>
      <c r="P370" s="5">
        <f>IF(Table1[[#This Row],[Health Status]]="Churned",0,1)</f>
        <v>1</v>
      </c>
      <c r="Q370" s="5" t="str">
        <f>IF(Table1[[#This Row],[Subscription_End_Date]]="", "Active", "Churned")</f>
        <v>Active</v>
      </c>
      <c r="R370" s="5">
        <f ca="1">IF(Table1[[#This Row],[Subscription_End_Date]]="", DATEDIF(Table1[[#This Row],[Subscription_Start_Date]], TODAY(), "m"),
DATEDIF(Table1[[#This Row],[Subscription_Start_Date]], Table1[[#This Row],[Subscription_End_Date]], "m"))</f>
        <v>25</v>
      </c>
      <c r="S370" s="2">
        <f ca="1">Table1[[#This Row],[Monthly_Spend]] * Table1[[#This Row],[Customer Lifetime(Months)]]</f>
        <v>1250000</v>
      </c>
    </row>
    <row r="371" spans="1:19" x14ac:dyDescent="0.35">
      <c r="A371" t="s">
        <v>389</v>
      </c>
      <c r="B371" t="s">
        <v>14</v>
      </c>
      <c r="C371" s="1">
        <v>45533</v>
      </c>
      <c r="E371" t="s">
        <v>11</v>
      </c>
      <c r="F371" s="2">
        <v>100000</v>
      </c>
      <c r="G371">
        <v>1</v>
      </c>
      <c r="H371">
        <v>94</v>
      </c>
      <c r="I371" t="s">
        <v>12</v>
      </c>
      <c r="J371">
        <f>IF(Table1[[#This Row],[Status]]="Churned",1,0)</f>
        <v>0</v>
      </c>
      <c r="K371">
        <f t="shared" si="25"/>
        <v>0.93939393939393945</v>
      </c>
      <c r="L371">
        <f t="shared" si="26"/>
        <v>0.98</v>
      </c>
      <c r="M371" s="5">
        <f t="shared" si="27"/>
        <v>1</v>
      </c>
      <c r="N371" s="5">
        <f t="shared" si="28"/>
        <v>0.67787878787878786</v>
      </c>
      <c r="O371" s="5" t="str">
        <f t="shared" si="29"/>
        <v>Healthy</v>
      </c>
      <c r="P371" s="5">
        <f>IF(Table1[[#This Row],[Health Status]]="Churned",0,1)</f>
        <v>1</v>
      </c>
      <c r="Q371" s="5" t="str">
        <f>IF(Table1[[#This Row],[Subscription_End_Date]]="", "Active", "Churned")</f>
        <v>Active</v>
      </c>
      <c r="R371" s="5">
        <f ca="1">IF(Table1[[#This Row],[Subscription_End_Date]]="", DATEDIF(Table1[[#This Row],[Subscription_Start_Date]], TODAY(), "m"),
DATEDIF(Table1[[#This Row],[Subscription_Start_Date]], Table1[[#This Row],[Subscription_End_Date]], "m"))</f>
        <v>14</v>
      </c>
      <c r="S371" s="2">
        <f ca="1">Table1[[#This Row],[Monthly_Spend]] * Table1[[#This Row],[Customer Lifetime(Months)]]</f>
        <v>1400000</v>
      </c>
    </row>
    <row r="372" spans="1:19" x14ac:dyDescent="0.35">
      <c r="A372" t="s">
        <v>390</v>
      </c>
      <c r="B372" t="s">
        <v>31</v>
      </c>
      <c r="C372" s="1">
        <v>45141</v>
      </c>
      <c r="E372" t="s">
        <v>16</v>
      </c>
      <c r="F372" s="2">
        <v>5000</v>
      </c>
      <c r="G372">
        <v>50</v>
      </c>
      <c r="H372">
        <v>53</v>
      </c>
      <c r="I372" t="s">
        <v>17</v>
      </c>
      <c r="J372">
        <f>IF(Table1[[#This Row],[Status]]="Churned",1,0)</f>
        <v>0</v>
      </c>
      <c r="K372">
        <f t="shared" si="25"/>
        <v>0.5252525252525253</v>
      </c>
      <c r="L372">
        <f t="shared" si="26"/>
        <v>0</v>
      </c>
      <c r="M372" s="5">
        <f t="shared" si="27"/>
        <v>0</v>
      </c>
      <c r="N372" s="5">
        <f t="shared" si="28"/>
        <v>0.10505050505050506</v>
      </c>
      <c r="O372" s="5" t="str">
        <f t="shared" si="29"/>
        <v>At-Risk</v>
      </c>
      <c r="P372" s="5">
        <f>IF(Table1[[#This Row],[Health Status]]="Churned",0,1)</f>
        <v>1</v>
      </c>
      <c r="Q372" s="5" t="str">
        <f>IF(Table1[[#This Row],[Subscription_End_Date]]="", "Active", "Churned")</f>
        <v>Active</v>
      </c>
      <c r="R372" s="5">
        <f ca="1">IF(Table1[[#This Row],[Subscription_End_Date]]="", DATEDIF(Table1[[#This Row],[Subscription_Start_Date]], TODAY(), "m"),
DATEDIF(Table1[[#This Row],[Subscription_Start_Date]], Table1[[#This Row],[Subscription_End_Date]], "m"))</f>
        <v>26</v>
      </c>
      <c r="S372" s="2">
        <f ca="1">Table1[[#This Row],[Monthly_Spend]] * Table1[[#This Row],[Customer Lifetime(Months)]]</f>
        <v>130000</v>
      </c>
    </row>
    <row r="373" spans="1:19" x14ac:dyDescent="0.35">
      <c r="A373" t="s">
        <v>391</v>
      </c>
      <c r="B373" t="s">
        <v>31</v>
      </c>
      <c r="C373" s="1">
        <v>45575</v>
      </c>
      <c r="E373" t="s">
        <v>11</v>
      </c>
      <c r="F373" s="2">
        <v>10000</v>
      </c>
      <c r="G373">
        <v>45</v>
      </c>
      <c r="H373">
        <v>55</v>
      </c>
      <c r="I373" t="s">
        <v>17</v>
      </c>
      <c r="J373">
        <f>IF(Table1[[#This Row],[Status]]="Churned",1,0)</f>
        <v>0</v>
      </c>
      <c r="K373">
        <f t="shared" si="25"/>
        <v>0.54545454545454541</v>
      </c>
      <c r="L373">
        <f t="shared" si="26"/>
        <v>9.9999999999999978E-2</v>
      </c>
      <c r="M373" s="5">
        <f t="shared" si="27"/>
        <v>5.2631578947368418E-2</v>
      </c>
      <c r="N373" s="5">
        <f t="shared" si="28"/>
        <v>0.15909090909090906</v>
      </c>
      <c r="O373" s="5" t="str">
        <f t="shared" si="29"/>
        <v>At-Risk</v>
      </c>
      <c r="P373" s="5">
        <f>IF(Table1[[#This Row],[Health Status]]="Churned",0,1)</f>
        <v>1</v>
      </c>
      <c r="Q373" s="5" t="str">
        <f>IF(Table1[[#This Row],[Subscription_End_Date]]="", "Active", "Churned")</f>
        <v>Active</v>
      </c>
      <c r="R373" s="5">
        <f ca="1">IF(Table1[[#This Row],[Subscription_End_Date]]="", DATEDIF(Table1[[#This Row],[Subscription_Start_Date]], TODAY(), "m"),
DATEDIF(Table1[[#This Row],[Subscription_Start_Date]], Table1[[#This Row],[Subscription_End_Date]], "m"))</f>
        <v>12</v>
      </c>
      <c r="S373" s="2">
        <f ca="1">Table1[[#This Row],[Monthly_Spend]] * Table1[[#This Row],[Customer Lifetime(Months)]]</f>
        <v>120000</v>
      </c>
    </row>
    <row r="374" spans="1:19" x14ac:dyDescent="0.35">
      <c r="A374" t="s">
        <v>392</v>
      </c>
      <c r="B374" t="s">
        <v>31</v>
      </c>
      <c r="C374" s="1">
        <v>45386</v>
      </c>
      <c r="E374" t="s">
        <v>11</v>
      </c>
      <c r="F374" s="2">
        <v>100000</v>
      </c>
      <c r="G374">
        <v>25</v>
      </c>
      <c r="H374">
        <v>69</v>
      </c>
      <c r="I374" t="s">
        <v>17</v>
      </c>
      <c r="J374">
        <f>IF(Table1[[#This Row],[Status]]="Churned",1,0)</f>
        <v>0</v>
      </c>
      <c r="K374">
        <f t="shared" si="25"/>
        <v>0.68686868686868685</v>
      </c>
      <c r="L374">
        <f t="shared" si="26"/>
        <v>0.5</v>
      </c>
      <c r="M374" s="5">
        <f t="shared" si="27"/>
        <v>1</v>
      </c>
      <c r="N374" s="5">
        <f t="shared" si="28"/>
        <v>0.38737373737373737</v>
      </c>
      <c r="O374" s="5" t="str">
        <f t="shared" si="29"/>
        <v>Healthy</v>
      </c>
      <c r="P374" s="5">
        <f>IF(Table1[[#This Row],[Health Status]]="Churned",0,1)</f>
        <v>1</v>
      </c>
      <c r="Q374" s="5" t="str">
        <f>IF(Table1[[#This Row],[Subscription_End_Date]]="", "Active", "Churned")</f>
        <v>Active</v>
      </c>
      <c r="R374" s="5">
        <f ca="1">IF(Table1[[#This Row],[Subscription_End_Date]]="", DATEDIF(Table1[[#This Row],[Subscription_Start_Date]], TODAY(), "m"),
DATEDIF(Table1[[#This Row],[Subscription_Start_Date]], Table1[[#This Row],[Subscription_End_Date]], "m"))</f>
        <v>18</v>
      </c>
      <c r="S374" s="2">
        <f ca="1">Table1[[#This Row],[Monthly_Spend]] * Table1[[#This Row],[Customer Lifetime(Months)]]</f>
        <v>1800000</v>
      </c>
    </row>
    <row r="375" spans="1:19" x14ac:dyDescent="0.35">
      <c r="A375" t="s">
        <v>393</v>
      </c>
      <c r="B375" t="s">
        <v>14</v>
      </c>
      <c r="C375" s="1">
        <v>45355</v>
      </c>
      <c r="E375" t="s">
        <v>16</v>
      </c>
      <c r="F375" s="2">
        <v>100000</v>
      </c>
      <c r="G375">
        <v>38</v>
      </c>
      <c r="H375">
        <v>82</v>
      </c>
      <c r="I375" t="s">
        <v>17</v>
      </c>
      <c r="J375">
        <f>IF(Table1[[#This Row],[Status]]="Churned",1,0)</f>
        <v>0</v>
      </c>
      <c r="K375">
        <f t="shared" si="25"/>
        <v>0.81818181818181823</v>
      </c>
      <c r="L375">
        <f t="shared" si="26"/>
        <v>0.24</v>
      </c>
      <c r="M375" s="5">
        <f t="shared" si="27"/>
        <v>1</v>
      </c>
      <c r="N375" s="5">
        <f t="shared" si="28"/>
        <v>0.28363636363636369</v>
      </c>
      <c r="O375" s="5" t="str">
        <f t="shared" si="29"/>
        <v>Healthy</v>
      </c>
      <c r="P375" s="5">
        <f>IF(Table1[[#This Row],[Health Status]]="Churned",0,1)</f>
        <v>1</v>
      </c>
      <c r="Q375" s="5" t="str">
        <f>IF(Table1[[#This Row],[Subscription_End_Date]]="", "Active", "Churned")</f>
        <v>Active</v>
      </c>
      <c r="R375" s="5">
        <f ca="1">IF(Table1[[#This Row],[Subscription_End_Date]]="", DATEDIF(Table1[[#This Row],[Subscription_Start_Date]], TODAY(), "m"),
DATEDIF(Table1[[#This Row],[Subscription_Start_Date]], Table1[[#This Row],[Subscription_End_Date]], "m"))</f>
        <v>19</v>
      </c>
      <c r="S375" s="2">
        <f ca="1">Table1[[#This Row],[Monthly_Spend]] * Table1[[#This Row],[Customer Lifetime(Months)]]</f>
        <v>1900000</v>
      </c>
    </row>
    <row r="376" spans="1:19" x14ac:dyDescent="0.35">
      <c r="A376" t="s">
        <v>394</v>
      </c>
      <c r="B376" t="s">
        <v>10</v>
      </c>
      <c r="C376" s="1">
        <v>45181</v>
      </c>
      <c r="E376" t="s">
        <v>11</v>
      </c>
      <c r="F376" s="2">
        <v>10000</v>
      </c>
      <c r="G376">
        <v>41</v>
      </c>
      <c r="H376">
        <v>79</v>
      </c>
      <c r="I376" t="s">
        <v>17</v>
      </c>
      <c r="J376">
        <f>IF(Table1[[#This Row],[Status]]="Churned",1,0)</f>
        <v>0</v>
      </c>
      <c r="K376">
        <f t="shared" si="25"/>
        <v>0.78787878787878785</v>
      </c>
      <c r="L376">
        <f t="shared" si="26"/>
        <v>0.18000000000000005</v>
      </c>
      <c r="M376" s="5">
        <f t="shared" si="27"/>
        <v>5.2631578947368418E-2</v>
      </c>
      <c r="N376" s="5">
        <f t="shared" si="28"/>
        <v>0.24757575757575762</v>
      </c>
      <c r="O376" s="5" t="str">
        <f t="shared" si="29"/>
        <v>At-Risk</v>
      </c>
      <c r="P376" s="5">
        <f>IF(Table1[[#This Row],[Health Status]]="Churned",0,1)</f>
        <v>1</v>
      </c>
      <c r="Q376" s="5" t="str">
        <f>IF(Table1[[#This Row],[Subscription_End_Date]]="", "Active", "Churned")</f>
        <v>Active</v>
      </c>
      <c r="R376" s="5">
        <f ca="1">IF(Table1[[#This Row],[Subscription_End_Date]]="", DATEDIF(Table1[[#This Row],[Subscription_Start_Date]], TODAY(), "m"),
DATEDIF(Table1[[#This Row],[Subscription_Start_Date]], Table1[[#This Row],[Subscription_End_Date]], "m"))</f>
        <v>25</v>
      </c>
      <c r="S376" s="2">
        <f ca="1">Table1[[#This Row],[Monthly_Spend]] * Table1[[#This Row],[Customer Lifetime(Months)]]</f>
        <v>250000</v>
      </c>
    </row>
    <row r="377" spans="1:19" x14ac:dyDescent="0.35">
      <c r="A377" t="s">
        <v>395</v>
      </c>
      <c r="B377" t="s">
        <v>10</v>
      </c>
      <c r="C377" s="1">
        <v>45587</v>
      </c>
      <c r="E377" t="s">
        <v>16</v>
      </c>
      <c r="F377" s="2">
        <v>20000</v>
      </c>
      <c r="G377">
        <v>50</v>
      </c>
      <c r="H377">
        <v>56</v>
      </c>
      <c r="I377" t="s">
        <v>17</v>
      </c>
      <c r="J377">
        <f>IF(Table1[[#This Row],[Status]]="Churned",1,0)</f>
        <v>0</v>
      </c>
      <c r="K377">
        <f t="shared" si="25"/>
        <v>0.55555555555555558</v>
      </c>
      <c r="L377">
        <f t="shared" si="26"/>
        <v>0</v>
      </c>
      <c r="M377" s="5">
        <f t="shared" si="27"/>
        <v>0.15789473684210525</v>
      </c>
      <c r="N377" s="5">
        <f t="shared" si="28"/>
        <v>0.11111111111111112</v>
      </c>
      <c r="O377" s="5" t="str">
        <f t="shared" si="29"/>
        <v>At-Risk</v>
      </c>
      <c r="P377" s="5">
        <f>IF(Table1[[#This Row],[Health Status]]="Churned",0,1)</f>
        <v>1</v>
      </c>
      <c r="Q377" s="5" t="str">
        <f>IF(Table1[[#This Row],[Subscription_End_Date]]="", "Active", "Churned")</f>
        <v>Active</v>
      </c>
      <c r="R377" s="5">
        <f ca="1">IF(Table1[[#This Row],[Subscription_End_Date]]="", DATEDIF(Table1[[#This Row],[Subscription_Start_Date]], TODAY(), "m"),
DATEDIF(Table1[[#This Row],[Subscription_Start_Date]], Table1[[#This Row],[Subscription_End_Date]], "m"))</f>
        <v>12</v>
      </c>
      <c r="S377" s="2">
        <f ca="1">Table1[[#This Row],[Monthly_Spend]] * Table1[[#This Row],[Customer Lifetime(Months)]]</f>
        <v>240000</v>
      </c>
    </row>
    <row r="378" spans="1:19" x14ac:dyDescent="0.35">
      <c r="A378" t="s">
        <v>396</v>
      </c>
      <c r="B378" t="s">
        <v>10</v>
      </c>
      <c r="C378" s="1">
        <v>45027</v>
      </c>
      <c r="E378" t="s">
        <v>11</v>
      </c>
      <c r="F378" s="2">
        <v>50000</v>
      </c>
      <c r="G378">
        <v>23</v>
      </c>
      <c r="H378">
        <v>51</v>
      </c>
      <c r="I378" t="s">
        <v>12</v>
      </c>
      <c r="J378">
        <f>IF(Table1[[#This Row],[Status]]="Churned",1,0)</f>
        <v>0</v>
      </c>
      <c r="K378">
        <f t="shared" si="25"/>
        <v>0.50505050505050508</v>
      </c>
      <c r="L378">
        <f t="shared" si="26"/>
        <v>0.54</v>
      </c>
      <c r="M378" s="5">
        <f t="shared" si="27"/>
        <v>0.47368421052631576</v>
      </c>
      <c r="N378" s="5">
        <f t="shared" si="28"/>
        <v>0.37101010101010101</v>
      </c>
      <c r="O378" s="5" t="str">
        <f t="shared" si="29"/>
        <v>At-Risk</v>
      </c>
      <c r="P378" s="5">
        <f>IF(Table1[[#This Row],[Health Status]]="Churned",0,1)</f>
        <v>1</v>
      </c>
      <c r="Q378" s="5" t="str">
        <f>IF(Table1[[#This Row],[Subscription_End_Date]]="", "Active", "Churned")</f>
        <v>Active</v>
      </c>
      <c r="R378" s="5">
        <f ca="1">IF(Table1[[#This Row],[Subscription_End_Date]]="", DATEDIF(Table1[[#This Row],[Subscription_Start_Date]], TODAY(), "m"),
DATEDIF(Table1[[#This Row],[Subscription_Start_Date]], Table1[[#This Row],[Subscription_End_Date]], "m"))</f>
        <v>30</v>
      </c>
      <c r="S378" s="2">
        <f ca="1">Table1[[#This Row],[Monthly_Spend]] * Table1[[#This Row],[Customer Lifetime(Months)]]</f>
        <v>1500000</v>
      </c>
    </row>
    <row r="379" spans="1:19" x14ac:dyDescent="0.35">
      <c r="A379" t="s">
        <v>397</v>
      </c>
      <c r="B379" t="s">
        <v>31</v>
      </c>
      <c r="C379" s="1">
        <v>45529</v>
      </c>
      <c r="E379" t="s">
        <v>16</v>
      </c>
      <c r="F379" s="2">
        <v>20000</v>
      </c>
      <c r="G379">
        <v>1</v>
      </c>
      <c r="H379">
        <v>62</v>
      </c>
      <c r="I379" t="s">
        <v>12</v>
      </c>
      <c r="J379">
        <f>IF(Table1[[#This Row],[Status]]="Churned",1,0)</f>
        <v>0</v>
      </c>
      <c r="K379">
        <f t="shared" si="25"/>
        <v>0.61616161616161613</v>
      </c>
      <c r="L379">
        <f t="shared" si="26"/>
        <v>0.98</v>
      </c>
      <c r="M379" s="5">
        <f t="shared" si="27"/>
        <v>0.15789473684210525</v>
      </c>
      <c r="N379" s="5">
        <f t="shared" si="28"/>
        <v>0.61323232323232324</v>
      </c>
      <c r="O379" s="5" t="str">
        <f t="shared" si="29"/>
        <v>At-Risk</v>
      </c>
      <c r="P379" s="5">
        <f>IF(Table1[[#This Row],[Health Status]]="Churned",0,1)</f>
        <v>1</v>
      </c>
      <c r="Q379" s="5" t="str">
        <f>IF(Table1[[#This Row],[Subscription_End_Date]]="", "Active", "Churned")</f>
        <v>Active</v>
      </c>
      <c r="R379" s="5">
        <f ca="1">IF(Table1[[#This Row],[Subscription_End_Date]]="", DATEDIF(Table1[[#This Row],[Subscription_Start_Date]], TODAY(), "m"),
DATEDIF(Table1[[#This Row],[Subscription_Start_Date]], Table1[[#This Row],[Subscription_End_Date]], "m"))</f>
        <v>14</v>
      </c>
      <c r="S379" s="2">
        <f ca="1">Table1[[#This Row],[Monthly_Spend]] * Table1[[#This Row],[Customer Lifetime(Months)]]</f>
        <v>280000</v>
      </c>
    </row>
    <row r="380" spans="1:19" x14ac:dyDescent="0.35">
      <c r="A380" t="s">
        <v>398</v>
      </c>
      <c r="B380" t="s">
        <v>10</v>
      </c>
      <c r="C380" s="1">
        <v>45352</v>
      </c>
      <c r="E380" t="s">
        <v>23</v>
      </c>
      <c r="F380" s="2">
        <v>5000</v>
      </c>
      <c r="G380">
        <v>46</v>
      </c>
      <c r="H380">
        <v>19</v>
      </c>
      <c r="I380" t="s">
        <v>12</v>
      </c>
      <c r="J380">
        <f>IF(Table1[[#This Row],[Status]]="Churned",1,0)</f>
        <v>0</v>
      </c>
      <c r="K380">
        <f t="shared" si="25"/>
        <v>0.18181818181818182</v>
      </c>
      <c r="L380">
        <f t="shared" si="26"/>
        <v>7.999999999999996E-2</v>
      </c>
      <c r="M380" s="5">
        <f t="shared" si="27"/>
        <v>0</v>
      </c>
      <c r="N380" s="5">
        <f t="shared" si="28"/>
        <v>7.6363636363636356E-2</v>
      </c>
      <c r="O380" s="5" t="str">
        <f t="shared" si="29"/>
        <v>At-Risk</v>
      </c>
      <c r="P380" s="5">
        <f>IF(Table1[[#This Row],[Health Status]]="Churned",0,1)</f>
        <v>1</v>
      </c>
      <c r="Q380" s="5" t="str">
        <f>IF(Table1[[#This Row],[Subscription_End_Date]]="", "Active", "Churned")</f>
        <v>Active</v>
      </c>
      <c r="R380" s="5">
        <f ca="1">IF(Table1[[#This Row],[Subscription_End_Date]]="", DATEDIF(Table1[[#This Row],[Subscription_Start_Date]], TODAY(), "m"),
DATEDIF(Table1[[#This Row],[Subscription_Start_Date]], Table1[[#This Row],[Subscription_End_Date]], "m"))</f>
        <v>19</v>
      </c>
      <c r="S380" s="2">
        <f ca="1">Table1[[#This Row],[Monthly_Spend]] * Table1[[#This Row],[Customer Lifetime(Months)]]</f>
        <v>95000</v>
      </c>
    </row>
    <row r="381" spans="1:19" x14ac:dyDescent="0.35">
      <c r="A381" t="s">
        <v>399</v>
      </c>
      <c r="B381" t="s">
        <v>19</v>
      </c>
      <c r="C381" s="1">
        <v>45278</v>
      </c>
      <c r="E381" t="s">
        <v>23</v>
      </c>
      <c r="F381" s="2">
        <v>100000</v>
      </c>
      <c r="G381">
        <v>30</v>
      </c>
      <c r="H381">
        <v>45</v>
      </c>
      <c r="I381" t="s">
        <v>12</v>
      </c>
      <c r="J381">
        <f>IF(Table1[[#This Row],[Status]]="Churned",1,0)</f>
        <v>0</v>
      </c>
      <c r="K381">
        <f t="shared" si="25"/>
        <v>0.44444444444444442</v>
      </c>
      <c r="L381">
        <f t="shared" si="26"/>
        <v>0.4</v>
      </c>
      <c r="M381" s="5">
        <f t="shared" si="27"/>
        <v>1</v>
      </c>
      <c r="N381" s="5">
        <f t="shared" si="28"/>
        <v>0.28888888888888892</v>
      </c>
      <c r="O381" s="5" t="str">
        <f t="shared" si="29"/>
        <v>Healthy</v>
      </c>
      <c r="P381" s="5">
        <f>IF(Table1[[#This Row],[Health Status]]="Churned",0,1)</f>
        <v>1</v>
      </c>
      <c r="Q381" s="5" t="str">
        <f>IF(Table1[[#This Row],[Subscription_End_Date]]="", "Active", "Churned")</f>
        <v>Active</v>
      </c>
      <c r="R381" s="5">
        <f ca="1">IF(Table1[[#This Row],[Subscription_End_Date]]="", DATEDIF(Table1[[#This Row],[Subscription_Start_Date]], TODAY(), "m"),
DATEDIF(Table1[[#This Row],[Subscription_Start_Date]], Table1[[#This Row],[Subscription_End_Date]], "m"))</f>
        <v>22</v>
      </c>
      <c r="S381" s="2">
        <f ca="1">Table1[[#This Row],[Monthly_Spend]] * Table1[[#This Row],[Customer Lifetime(Months)]]</f>
        <v>2200000</v>
      </c>
    </row>
    <row r="382" spans="1:19" x14ac:dyDescent="0.35">
      <c r="A382" t="s">
        <v>400</v>
      </c>
      <c r="B382" t="s">
        <v>31</v>
      </c>
      <c r="C382" s="1">
        <v>45375</v>
      </c>
      <c r="E382" t="s">
        <v>11</v>
      </c>
      <c r="F382" s="2">
        <v>20000</v>
      </c>
      <c r="G382">
        <v>4</v>
      </c>
      <c r="H382">
        <v>39</v>
      </c>
      <c r="I382" t="s">
        <v>17</v>
      </c>
      <c r="J382">
        <f>IF(Table1[[#This Row],[Status]]="Churned",1,0)</f>
        <v>0</v>
      </c>
      <c r="K382">
        <f t="shared" si="25"/>
        <v>0.38383838383838381</v>
      </c>
      <c r="L382">
        <f t="shared" si="26"/>
        <v>0.92</v>
      </c>
      <c r="M382" s="5">
        <f t="shared" si="27"/>
        <v>0.15789473684210525</v>
      </c>
      <c r="N382" s="5">
        <f t="shared" si="28"/>
        <v>0.53676767676767678</v>
      </c>
      <c r="O382" s="5" t="str">
        <f t="shared" si="29"/>
        <v>At-Risk</v>
      </c>
      <c r="P382" s="5">
        <f>IF(Table1[[#This Row],[Health Status]]="Churned",0,1)</f>
        <v>1</v>
      </c>
      <c r="Q382" s="5" t="str">
        <f>IF(Table1[[#This Row],[Subscription_End_Date]]="", "Active", "Churned")</f>
        <v>Active</v>
      </c>
      <c r="R382" s="5">
        <f ca="1">IF(Table1[[#This Row],[Subscription_End_Date]]="", DATEDIF(Table1[[#This Row],[Subscription_Start_Date]], TODAY(), "m"),
DATEDIF(Table1[[#This Row],[Subscription_Start_Date]], Table1[[#This Row],[Subscription_End_Date]], "m"))</f>
        <v>19</v>
      </c>
      <c r="S382" s="2">
        <f ca="1">Table1[[#This Row],[Monthly_Spend]] * Table1[[#This Row],[Customer Lifetime(Months)]]</f>
        <v>380000</v>
      </c>
    </row>
    <row r="383" spans="1:19" x14ac:dyDescent="0.35">
      <c r="A383" t="s">
        <v>401</v>
      </c>
      <c r="B383" t="s">
        <v>10</v>
      </c>
      <c r="C383" s="1">
        <v>45044</v>
      </c>
      <c r="D383" s="1">
        <v>45425</v>
      </c>
      <c r="E383" t="s">
        <v>16</v>
      </c>
      <c r="F383" s="2">
        <v>5000</v>
      </c>
      <c r="G383">
        <v>43</v>
      </c>
      <c r="H383">
        <v>22</v>
      </c>
      <c r="I383" t="s">
        <v>28</v>
      </c>
      <c r="J383">
        <f>IF(Table1[[#This Row],[Status]]="Churned",1,0)</f>
        <v>1</v>
      </c>
      <c r="K383">
        <f t="shared" si="25"/>
        <v>0.21212121212121213</v>
      </c>
      <c r="L383">
        <f t="shared" si="26"/>
        <v>0.14000000000000001</v>
      </c>
      <c r="M383" s="5">
        <f t="shared" si="27"/>
        <v>0</v>
      </c>
      <c r="N383" s="5">
        <f t="shared" si="28"/>
        <v>0.41242424242424242</v>
      </c>
      <c r="O383" s="5" t="str">
        <f t="shared" si="29"/>
        <v>Churned</v>
      </c>
      <c r="P383" s="5">
        <f>IF(Table1[[#This Row],[Health Status]]="Churned",0,1)</f>
        <v>0</v>
      </c>
      <c r="Q383" s="5" t="str">
        <f>IF(Table1[[#This Row],[Subscription_End_Date]]="", "Active", "Churned")</f>
        <v>Churned</v>
      </c>
      <c r="R383" s="5">
        <f ca="1">IF(Table1[[#This Row],[Subscription_End_Date]]="", DATEDIF(Table1[[#This Row],[Subscription_Start_Date]], TODAY(), "m"),
DATEDIF(Table1[[#This Row],[Subscription_Start_Date]], Table1[[#This Row],[Subscription_End_Date]], "m"))</f>
        <v>12</v>
      </c>
      <c r="S383" s="2">
        <f ca="1">Table1[[#This Row],[Monthly_Spend]] * Table1[[#This Row],[Customer Lifetime(Months)]]</f>
        <v>60000</v>
      </c>
    </row>
    <row r="384" spans="1:19" x14ac:dyDescent="0.35">
      <c r="A384" t="s">
        <v>402</v>
      </c>
      <c r="B384" t="s">
        <v>27</v>
      </c>
      <c r="C384" s="1">
        <v>45105</v>
      </c>
      <c r="E384" t="s">
        <v>16</v>
      </c>
      <c r="F384" s="2">
        <v>100000</v>
      </c>
      <c r="G384">
        <v>27</v>
      </c>
      <c r="H384">
        <v>60</v>
      </c>
      <c r="I384" t="s">
        <v>17</v>
      </c>
      <c r="J384">
        <f>IF(Table1[[#This Row],[Status]]="Churned",1,0)</f>
        <v>0</v>
      </c>
      <c r="K384">
        <f t="shared" si="25"/>
        <v>0.59595959595959591</v>
      </c>
      <c r="L384">
        <f t="shared" si="26"/>
        <v>0.45999999999999996</v>
      </c>
      <c r="M384" s="5">
        <f t="shared" si="27"/>
        <v>1</v>
      </c>
      <c r="N384" s="5">
        <f t="shared" si="28"/>
        <v>0.34919191919191916</v>
      </c>
      <c r="O384" s="5" t="str">
        <f t="shared" si="29"/>
        <v>Healthy</v>
      </c>
      <c r="P384" s="5">
        <f>IF(Table1[[#This Row],[Health Status]]="Churned",0,1)</f>
        <v>1</v>
      </c>
      <c r="Q384" s="5" t="str">
        <f>IF(Table1[[#This Row],[Subscription_End_Date]]="", "Active", "Churned")</f>
        <v>Active</v>
      </c>
      <c r="R384" s="5">
        <f ca="1">IF(Table1[[#This Row],[Subscription_End_Date]]="", DATEDIF(Table1[[#This Row],[Subscription_Start_Date]], TODAY(), "m"),
DATEDIF(Table1[[#This Row],[Subscription_Start_Date]], Table1[[#This Row],[Subscription_End_Date]], "m"))</f>
        <v>28</v>
      </c>
      <c r="S384" s="2">
        <f ca="1">Table1[[#This Row],[Monthly_Spend]] * Table1[[#This Row],[Customer Lifetime(Months)]]</f>
        <v>2800000</v>
      </c>
    </row>
    <row r="385" spans="1:19" x14ac:dyDescent="0.35">
      <c r="A385" t="s">
        <v>403</v>
      </c>
      <c r="B385" t="s">
        <v>27</v>
      </c>
      <c r="C385" s="1">
        <v>45571</v>
      </c>
      <c r="E385" t="s">
        <v>23</v>
      </c>
      <c r="F385" s="2">
        <v>50000</v>
      </c>
      <c r="G385">
        <v>1</v>
      </c>
      <c r="H385">
        <v>95</v>
      </c>
      <c r="I385" t="s">
        <v>17</v>
      </c>
      <c r="J385">
        <f>IF(Table1[[#This Row],[Status]]="Churned",1,0)</f>
        <v>0</v>
      </c>
      <c r="K385">
        <f t="shared" si="25"/>
        <v>0.9494949494949495</v>
      </c>
      <c r="L385">
        <f t="shared" si="26"/>
        <v>0.98</v>
      </c>
      <c r="M385" s="5">
        <f t="shared" si="27"/>
        <v>0.47368421052631576</v>
      </c>
      <c r="N385" s="5">
        <f t="shared" si="28"/>
        <v>0.67989898989898989</v>
      </c>
      <c r="O385" s="5" t="str">
        <f t="shared" si="29"/>
        <v>At-Risk</v>
      </c>
      <c r="P385" s="5">
        <f>IF(Table1[[#This Row],[Health Status]]="Churned",0,1)</f>
        <v>1</v>
      </c>
      <c r="Q385" s="5" t="str">
        <f>IF(Table1[[#This Row],[Subscription_End_Date]]="", "Active", "Churned")</f>
        <v>Active</v>
      </c>
      <c r="R385" s="5">
        <f ca="1">IF(Table1[[#This Row],[Subscription_End_Date]]="", DATEDIF(Table1[[#This Row],[Subscription_Start_Date]], TODAY(), "m"),
DATEDIF(Table1[[#This Row],[Subscription_Start_Date]], Table1[[#This Row],[Subscription_End_Date]], "m"))</f>
        <v>12</v>
      </c>
      <c r="S385" s="2">
        <f ca="1">Table1[[#This Row],[Monthly_Spend]] * Table1[[#This Row],[Customer Lifetime(Months)]]</f>
        <v>600000</v>
      </c>
    </row>
    <row r="386" spans="1:19" x14ac:dyDescent="0.35">
      <c r="A386" t="s">
        <v>404</v>
      </c>
      <c r="B386" t="s">
        <v>14</v>
      </c>
      <c r="C386" s="1">
        <v>45387</v>
      </c>
      <c r="E386" t="s">
        <v>11</v>
      </c>
      <c r="F386" s="2">
        <v>5000</v>
      </c>
      <c r="G386">
        <v>45</v>
      </c>
      <c r="H386">
        <v>28</v>
      </c>
      <c r="I386" t="s">
        <v>17</v>
      </c>
      <c r="J386">
        <f>IF(Table1[[#This Row],[Status]]="Churned",1,0)</f>
        <v>0</v>
      </c>
      <c r="K386">
        <f t="shared" ref="K386:K449" si="30">(H386-MIN($H$2:$H$501))/(MAX($H$2:$H$501)-MIN($H$2:$H$501))</f>
        <v>0.27272727272727271</v>
      </c>
      <c r="L386">
        <f t="shared" ref="L386:L449" si="31">1 - ((G386-MIN($G$2:$G$501))/(MAX($G$2:$G$501)-MIN($G$2:$G$501)))</f>
        <v>9.9999999999999978E-2</v>
      </c>
      <c r="M386" s="5">
        <f t="shared" ref="M386:M449" si="32">(F386-MIN($F$2:$F$501))/(MAX($F$2:$F$501)-MIN($F$2:$F$501))</f>
        <v>0</v>
      </c>
      <c r="N386" s="5">
        <f t="shared" ref="N386:N449" si="33">(J386*0.3) + (K386*0.2) + (L386*0.5)</f>
        <v>0.10454545454545452</v>
      </c>
      <c r="O386" s="5" t="str">
        <f t="shared" ref="O386:O449" si="34">IF(I386="Churned", "Churned", IF(M386&gt;=0.6, "Healthy", "At-Risk"))</f>
        <v>At-Risk</v>
      </c>
      <c r="P386" s="5">
        <f>IF(Table1[[#This Row],[Health Status]]="Churned",0,1)</f>
        <v>1</v>
      </c>
      <c r="Q386" s="5" t="str">
        <f>IF(Table1[[#This Row],[Subscription_End_Date]]="", "Active", "Churned")</f>
        <v>Active</v>
      </c>
      <c r="R386" s="5">
        <f ca="1">IF(Table1[[#This Row],[Subscription_End_Date]]="", DATEDIF(Table1[[#This Row],[Subscription_Start_Date]], TODAY(), "m"),
DATEDIF(Table1[[#This Row],[Subscription_Start_Date]], Table1[[#This Row],[Subscription_End_Date]], "m"))</f>
        <v>18</v>
      </c>
      <c r="S386" s="2">
        <f ca="1">Table1[[#This Row],[Monthly_Spend]] * Table1[[#This Row],[Customer Lifetime(Months)]]</f>
        <v>90000</v>
      </c>
    </row>
    <row r="387" spans="1:19" x14ac:dyDescent="0.35">
      <c r="A387" t="s">
        <v>405</v>
      </c>
      <c r="B387" t="s">
        <v>27</v>
      </c>
      <c r="C387" s="1">
        <v>45647</v>
      </c>
      <c r="E387" t="s">
        <v>23</v>
      </c>
      <c r="F387" s="2">
        <v>100000</v>
      </c>
      <c r="G387">
        <v>6</v>
      </c>
      <c r="H387">
        <v>69</v>
      </c>
      <c r="I387" t="s">
        <v>12</v>
      </c>
      <c r="J387">
        <f>IF(Table1[[#This Row],[Status]]="Churned",1,0)</f>
        <v>0</v>
      </c>
      <c r="K387">
        <f t="shared" si="30"/>
        <v>0.68686868686868685</v>
      </c>
      <c r="L387">
        <f t="shared" si="31"/>
        <v>0.88</v>
      </c>
      <c r="M387" s="5">
        <f t="shared" si="32"/>
        <v>1</v>
      </c>
      <c r="N387" s="5">
        <f t="shared" si="33"/>
        <v>0.57737373737373732</v>
      </c>
      <c r="O387" s="5" t="str">
        <f t="shared" si="34"/>
        <v>Healthy</v>
      </c>
      <c r="P387" s="5">
        <f>IF(Table1[[#This Row],[Health Status]]="Churned",0,1)</f>
        <v>1</v>
      </c>
      <c r="Q387" s="5" t="str">
        <f>IF(Table1[[#This Row],[Subscription_End_Date]]="", "Active", "Churned")</f>
        <v>Active</v>
      </c>
      <c r="R387" s="5">
        <f ca="1">IF(Table1[[#This Row],[Subscription_End_Date]]="", DATEDIF(Table1[[#This Row],[Subscription_Start_Date]], TODAY(), "m"),
DATEDIF(Table1[[#This Row],[Subscription_Start_Date]], Table1[[#This Row],[Subscription_End_Date]], "m"))</f>
        <v>10</v>
      </c>
      <c r="S387" s="2">
        <f ca="1">Table1[[#This Row],[Monthly_Spend]] * Table1[[#This Row],[Customer Lifetime(Months)]]</f>
        <v>1000000</v>
      </c>
    </row>
    <row r="388" spans="1:19" x14ac:dyDescent="0.35">
      <c r="A388" t="s">
        <v>406</v>
      </c>
      <c r="B388" t="s">
        <v>27</v>
      </c>
      <c r="C388" s="1">
        <v>45260</v>
      </c>
      <c r="E388" t="s">
        <v>23</v>
      </c>
      <c r="F388" s="2">
        <v>20000</v>
      </c>
      <c r="G388">
        <v>42</v>
      </c>
      <c r="H388">
        <v>63</v>
      </c>
      <c r="I388" t="s">
        <v>12</v>
      </c>
      <c r="J388">
        <f>IF(Table1[[#This Row],[Status]]="Churned",1,0)</f>
        <v>0</v>
      </c>
      <c r="K388">
        <f t="shared" si="30"/>
        <v>0.6262626262626263</v>
      </c>
      <c r="L388">
        <f t="shared" si="31"/>
        <v>0.16000000000000003</v>
      </c>
      <c r="M388" s="5">
        <f t="shared" si="32"/>
        <v>0.15789473684210525</v>
      </c>
      <c r="N388" s="5">
        <f t="shared" si="33"/>
        <v>0.20525252525252527</v>
      </c>
      <c r="O388" s="5" t="str">
        <f t="shared" si="34"/>
        <v>At-Risk</v>
      </c>
      <c r="P388" s="5">
        <f>IF(Table1[[#This Row],[Health Status]]="Churned",0,1)</f>
        <v>1</v>
      </c>
      <c r="Q388" s="5" t="str">
        <f>IF(Table1[[#This Row],[Subscription_End_Date]]="", "Active", "Churned")</f>
        <v>Active</v>
      </c>
      <c r="R388" s="5">
        <f ca="1">IF(Table1[[#This Row],[Subscription_End_Date]]="", DATEDIF(Table1[[#This Row],[Subscription_Start_Date]], TODAY(), "m"),
DATEDIF(Table1[[#This Row],[Subscription_Start_Date]], Table1[[#This Row],[Subscription_End_Date]], "m"))</f>
        <v>22</v>
      </c>
      <c r="S388" s="2">
        <f ca="1">Table1[[#This Row],[Monthly_Spend]] * Table1[[#This Row],[Customer Lifetime(Months)]]</f>
        <v>440000</v>
      </c>
    </row>
    <row r="389" spans="1:19" x14ac:dyDescent="0.35">
      <c r="A389" t="s">
        <v>407</v>
      </c>
      <c r="B389" t="s">
        <v>14</v>
      </c>
      <c r="C389" s="1">
        <v>45247</v>
      </c>
      <c r="E389" t="s">
        <v>16</v>
      </c>
      <c r="F389" s="2">
        <v>100000</v>
      </c>
      <c r="G389">
        <v>7</v>
      </c>
      <c r="H389">
        <v>45</v>
      </c>
      <c r="I389" t="s">
        <v>17</v>
      </c>
      <c r="J389">
        <f>IF(Table1[[#This Row],[Status]]="Churned",1,0)</f>
        <v>0</v>
      </c>
      <c r="K389">
        <f t="shared" si="30"/>
        <v>0.44444444444444442</v>
      </c>
      <c r="L389">
        <f t="shared" si="31"/>
        <v>0.86</v>
      </c>
      <c r="M389" s="5">
        <f t="shared" si="32"/>
        <v>1</v>
      </c>
      <c r="N389" s="5">
        <f t="shared" si="33"/>
        <v>0.51888888888888884</v>
      </c>
      <c r="O389" s="5" t="str">
        <f t="shared" si="34"/>
        <v>Healthy</v>
      </c>
      <c r="P389" s="5">
        <f>IF(Table1[[#This Row],[Health Status]]="Churned",0,1)</f>
        <v>1</v>
      </c>
      <c r="Q389" s="5" t="str">
        <f>IF(Table1[[#This Row],[Subscription_End_Date]]="", "Active", "Churned")</f>
        <v>Active</v>
      </c>
      <c r="R389" s="5">
        <f ca="1">IF(Table1[[#This Row],[Subscription_End_Date]]="", DATEDIF(Table1[[#This Row],[Subscription_Start_Date]], TODAY(), "m"),
DATEDIF(Table1[[#This Row],[Subscription_Start_Date]], Table1[[#This Row],[Subscription_End_Date]], "m"))</f>
        <v>23</v>
      </c>
      <c r="S389" s="2">
        <f ca="1">Table1[[#This Row],[Monthly_Spend]] * Table1[[#This Row],[Customer Lifetime(Months)]]</f>
        <v>2300000</v>
      </c>
    </row>
    <row r="390" spans="1:19" x14ac:dyDescent="0.35">
      <c r="A390" t="s">
        <v>408</v>
      </c>
      <c r="B390" t="s">
        <v>19</v>
      </c>
      <c r="C390" s="1">
        <v>45559</v>
      </c>
      <c r="E390" t="s">
        <v>23</v>
      </c>
      <c r="F390" s="2">
        <v>100000</v>
      </c>
      <c r="G390">
        <v>37</v>
      </c>
      <c r="H390">
        <v>11</v>
      </c>
      <c r="I390" t="s">
        <v>17</v>
      </c>
      <c r="J390">
        <f>IF(Table1[[#This Row],[Status]]="Churned",1,0)</f>
        <v>0</v>
      </c>
      <c r="K390">
        <f t="shared" si="30"/>
        <v>0.10101010101010101</v>
      </c>
      <c r="L390">
        <f t="shared" si="31"/>
        <v>0.26</v>
      </c>
      <c r="M390" s="5">
        <f t="shared" si="32"/>
        <v>1</v>
      </c>
      <c r="N390" s="5">
        <f t="shared" si="33"/>
        <v>0.1502020202020202</v>
      </c>
      <c r="O390" s="5" t="str">
        <f t="shared" si="34"/>
        <v>Healthy</v>
      </c>
      <c r="P390" s="5">
        <f>IF(Table1[[#This Row],[Health Status]]="Churned",0,1)</f>
        <v>1</v>
      </c>
      <c r="Q390" s="5" t="str">
        <f>IF(Table1[[#This Row],[Subscription_End_Date]]="", "Active", "Churned")</f>
        <v>Active</v>
      </c>
      <c r="R390" s="5">
        <f ca="1">IF(Table1[[#This Row],[Subscription_End_Date]]="", DATEDIF(Table1[[#This Row],[Subscription_Start_Date]], TODAY(), "m"),
DATEDIF(Table1[[#This Row],[Subscription_Start_Date]], Table1[[#This Row],[Subscription_End_Date]], "m"))</f>
        <v>13</v>
      </c>
      <c r="S390" s="2">
        <f ca="1">Table1[[#This Row],[Monthly_Spend]] * Table1[[#This Row],[Customer Lifetime(Months)]]</f>
        <v>1300000</v>
      </c>
    </row>
    <row r="391" spans="1:19" x14ac:dyDescent="0.35">
      <c r="A391" t="s">
        <v>409</v>
      </c>
      <c r="B391" t="s">
        <v>27</v>
      </c>
      <c r="C391" s="1">
        <v>45047</v>
      </c>
      <c r="E391" t="s">
        <v>23</v>
      </c>
      <c r="F391" s="2">
        <v>10000</v>
      </c>
      <c r="G391">
        <v>23</v>
      </c>
      <c r="H391">
        <v>89</v>
      </c>
      <c r="I391" t="s">
        <v>12</v>
      </c>
      <c r="J391">
        <f>IF(Table1[[#This Row],[Status]]="Churned",1,0)</f>
        <v>0</v>
      </c>
      <c r="K391">
        <f t="shared" si="30"/>
        <v>0.88888888888888884</v>
      </c>
      <c r="L391">
        <f t="shared" si="31"/>
        <v>0.54</v>
      </c>
      <c r="M391" s="5">
        <f t="shared" si="32"/>
        <v>5.2631578947368418E-2</v>
      </c>
      <c r="N391" s="5">
        <f t="shared" si="33"/>
        <v>0.44777777777777783</v>
      </c>
      <c r="O391" s="5" t="str">
        <f t="shared" si="34"/>
        <v>At-Risk</v>
      </c>
      <c r="P391" s="5">
        <f>IF(Table1[[#This Row],[Health Status]]="Churned",0,1)</f>
        <v>1</v>
      </c>
      <c r="Q391" s="5" t="str">
        <f>IF(Table1[[#This Row],[Subscription_End_Date]]="", "Active", "Churned")</f>
        <v>Active</v>
      </c>
      <c r="R391" s="5">
        <f ca="1">IF(Table1[[#This Row],[Subscription_End_Date]]="", DATEDIF(Table1[[#This Row],[Subscription_Start_Date]], TODAY(), "m"),
DATEDIF(Table1[[#This Row],[Subscription_Start_Date]], Table1[[#This Row],[Subscription_End_Date]], "m"))</f>
        <v>29</v>
      </c>
      <c r="S391" s="2">
        <f ca="1">Table1[[#This Row],[Monthly_Spend]] * Table1[[#This Row],[Customer Lifetime(Months)]]</f>
        <v>290000</v>
      </c>
    </row>
    <row r="392" spans="1:19" x14ac:dyDescent="0.35">
      <c r="A392" t="s">
        <v>410</v>
      </c>
      <c r="B392" t="s">
        <v>27</v>
      </c>
      <c r="C392" s="1">
        <v>45324</v>
      </c>
      <c r="E392" t="s">
        <v>16</v>
      </c>
      <c r="F392" s="2">
        <v>100000</v>
      </c>
      <c r="G392">
        <v>24</v>
      </c>
      <c r="H392">
        <v>55</v>
      </c>
      <c r="I392" t="s">
        <v>12</v>
      </c>
      <c r="J392">
        <f>IF(Table1[[#This Row],[Status]]="Churned",1,0)</f>
        <v>0</v>
      </c>
      <c r="K392">
        <f t="shared" si="30"/>
        <v>0.54545454545454541</v>
      </c>
      <c r="L392">
        <f t="shared" si="31"/>
        <v>0.52</v>
      </c>
      <c r="M392" s="5">
        <f t="shared" si="32"/>
        <v>1</v>
      </c>
      <c r="N392" s="5">
        <f t="shared" si="33"/>
        <v>0.36909090909090908</v>
      </c>
      <c r="O392" s="5" t="str">
        <f t="shared" si="34"/>
        <v>Healthy</v>
      </c>
      <c r="P392" s="5">
        <f>IF(Table1[[#This Row],[Health Status]]="Churned",0,1)</f>
        <v>1</v>
      </c>
      <c r="Q392" s="5" t="str">
        <f>IF(Table1[[#This Row],[Subscription_End_Date]]="", "Active", "Churned")</f>
        <v>Active</v>
      </c>
      <c r="R392" s="5">
        <f ca="1">IF(Table1[[#This Row],[Subscription_End_Date]]="", DATEDIF(Table1[[#This Row],[Subscription_Start_Date]], TODAY(), "m"),
DATEDIF(Table1[[#This Row],[Subscription_Start_Date]], Table1[[#This Row],[Subscription_End_Date]], "m"))</f>
        <v>20</v>
      </c>
      <c r="S392" s="2">
        <f ca="1">Table1[[#This Row],[Monthly_Spend]] * Table1[[#This Row],[Customer Lifetime(Months)]]</f>
        <v>2000000</v>
      </c>
    </row>
    <row r="393" spans="1:19" x14ac:dyDescent="0.35">
      <c r="A393" t="s">
        <v>411</v>
      </c>
      <c r="B393" t="s">
        <v>27</v>
      </c>
      <c r="C393" s="1">
        <v>45577</v>
      </c>
      <c r="E393" t="s">
        <v>23</v>
      </c>
      <c r="F393" s="2">
        <v>100000</v>
      </c>
      <c r="G393">
        <v>10</v>
      </c>
      <c r="H393">
        <v>63</v>
      </c>
      <c r="I393" t="s">
        <v>12</v>
      </c>
      <c r="J393">
        <f>IF(Table1[[#This Row],[Status]]="Churned",1,0)</f>
        <v>0</v>
      </c>
      <c r="K393">
        <f t="shared" si="30"/>
        <v>0.6262626262626263</v>
      </c>
      <c r="L393">
        <f t="shared" si="31"/>
        <v>0.8</v>
      </c>
      <c r="M393" s="5">
        <f t="shared" si="32"/>
        <v>1</v>
      </c>
      <c r="N393" s="5">
        <f t="shared" si="33"/>
        <v>0.5252525252525253</v>
      </c>
      <c r="O393" s="5" t="str">
        <f t="shared" si="34"/>
        <v>Healthy</v>
      </c>
      <c r="P393" s="5">
        <f>IF(Table1[[#This Row],[Health Status]]="Churned",0,1)</f>
        <v>1</v>
      </c>
      <c r="Q393" s="5" t="str">
        <f>IF(Table1[[#This Row],[Subscription_End_Date]]="", "Active", "Churned")</f>
        <v>Active</v>
      </c>
      <c r="R393" s="5">
        <f ca="1">IF(Table1[[#This Row],[Subscription_End_Date]]="", DATEDIF(Table1[[#This Row],[Subscription_Start_Date]], TODAY(), "m"),
DATEDIF(Table1[[#This Row],[Subscription_Start_Date]], Table1[[#This Row],[Subscription_End_Date]], "m"))</f>
        <v>12</v>
      </c>
      <c r="S393" s="2">
        <f ca="1">Table1[[#This Row],[Monthly_Spend]] * Table1[[#This Row],[Customer Lifetime(Months)]]</f>
        <v>1200000</v>
      </c>
    </row>
    <row r="394" spans="1:19" x14ac:dyDescent="0.35">
      <c r="A394" t="s">
        <v>412</v>
      </c>
      <c r="B394" t="s">
        <v>19</v>
      </c>
      <c r="C394" s="1">
        <v>45118</v>
      </c>
      <c r="E394" t="s">
        <v>11</v>
      </c>
      <c r="F394" s="2">
        <v>100000</v>
      </c>
      <c r="G394">
        <v>3</v>
      </c>
      <c r="H394">
        <v>46</v>
      </c>
      <c r="I394" t="s">
        <v>17</v>
      </c>
      <c r="J394">
        <f>IF(Table1[[#This Row],[Status]]="Churned",1,0)</f>
        <v>0</v>
      </c>
      <c r="K394">
        <f t="shared" si="30"/>
        <v>0.45454545454545453</v>
      </c>
      <c r="L394">
        <f t="shared" si="31"/>
        <v>0.94</v>
      </c>
      <c r="M394" s="5">
        <f t="shared" si="32"/>
        <v>1</v>
      </c>
      <c r="N394" s="5">
        <f t="shared" si="33"/>
        <v>0.56090909090909091</v>
      </c>
      <c r="O394" s="5" t="str">
        <f t="shared" si="34"/>
        <v>Healthy</v>
      </c>
      <c r="P394" s="5">
        <f>IF(Table1[[#This Row],[Health Status]]="Churned",0,1)</f>
        <v>1</v>
      </c>
      <c r="Q394" s="5" t="str">
        <f>IF(Table1[[#This Row],[Subscription_End_Date]]="", "Active", "Churned")</f>
        <v>Active</v>
      </c>
      <c r="R394" s="5">
        <f ca="1">IF(Table1[[#This Row],[Subscription_End_Date]]="", DATEDIF(Table1[[#This Row],[Subscription_Start_Date]], TODAY(), "m"),
DATEDIF(Table1[[#This Row],[Subscription_Start_Date]], Table1[[#This Row],[Subscription_End_Date]], "m"))</f>
        <v>27</v>
      </c>
      <c r="S394" s="2">
        <f ca="1">Table1[[#This Row],[Monthly_Spend]] * Table1[[#This Row],[Customer Lifetime(Months)]]</f>
        <v>2700000</v>
      </c>
    </row>
    <row r="395" spans="1:19" x14ac:dyDescent="0.35">
      <c r="A395" t="s">
        <v>413</v>
      </c>
      <c r="B395" t="s">
        <v>10</v>
      </c>
      <c r="C395" s="1">
        <v>45066</v>
      </c>
      <c r="E395" t="s">
        <v>23</v>
      </c>
      <c r="F395" s="2">
        <v>100000</v>
      </c>
      <c r="G395">
        <v>32</v>
      </c>
      <c r="H395">
        <v>84</v>
      </c>
      <c r="I395" t="s">
        <v>17</v>
      </c>
      <c r="J395">
        <f>IF(Table1[[#This Row],[Status]]="Churned",1,0)</f>
        <v>0</v>
      </c>
      <c r="K395">
        <f t="shared" si="30"/>
        <v>0.83838383838383834</v>
      </c>
      <c r="L395">
        <f t="shared" si="31"/>
        <v>0.36</v>
      </c>
      <c r="M395" s="5">
        <f t="shared" si="32"/>
        <v>1</v>
      </c>
      <c r="N395" s="5">
        <f t="shared" si="33"/>
        <v>0.3476767676767677</v>
      </c>
      <c r="O395" s="5" t="str">
        <f t="shared" si="34"/>
        <v>Healthy</v>
      </c>
      <c r="P395" s="5">
        <f>IF(Table1[[#This Row],[Health Status]]="Churned",0,1)</f>
        <v>1</v>
      </c>
      <c r="Q395" s="5" t="str">
        <f>IF(Table1[[#This Row],[Subscription_End_Date]]="", "Active", "Churned")</f>
        <v>Active</v>
      </c>
      <c r="R395" s="5">
        <f ca="1">IF(Table1[[#This Row],[Subscription_End_Date]]="", DATEDIF(Table1[[#This Row],[Subscription_Start_Date]], TODAY(), "m"),
DATEDIF(Table1[[#This Row],[Subscription_Start_Date]], Table1[[#This Row],[Subscription_End_Date]], "m"))</f>
        <v>29</v>
      </c>
      <c r="S395" s="2">
        <f ca="1">Table1[[#This Row],[Monthly_Spend]] * Table1[[#This Row],[Customer Lifetime(Months)]]</f>
        <v>2900000</v>
      </c>
    </row>
    <row r="396" spans="1:19" x14ac:dyDescent="0.35">
      <c r="A396" t="s">
        <v>414</v>
      </c>
      <c r="B396" t="s">
        <v>31</v>
      </c>
      <c r="C396" s="1">
        <v>45628</v>
      </c>
      <c r="E396" t="s">
        <v>23</v>
      </c>
      <c r="F396" s="2">
        <v>50000</v>
      </c>
      <c r="G396">
        <v>10</v>
      </c>
      <c r="H396">
        <v>11</v>
      </c>
      <c r="I396" t="s">
        <v>17</v>
      </c>
      <c r="J396">
        <f>IF(Table1[[#This Row],[Status]]="Churned",1,0)</f>
        <v>0</v>
      </c>
      <c r="K396">
        <f t="shared" si="30"/>
        <v>0.10101010101010101</v>
      </c>
      <c r="L396">
        <f t="shared" si="31"/>
        <v>0.8</v>
      </c>
      <c r="M396" s="5">
        <f t="shared" si="32"/>
        <v>0.47368421052631576</v>
      </c>
      <c r="N396" s="5">
        <f t="shared" si="33"/>
        <v>0.42020202020202024</v>
      </c>
      <c r="O396" s="5" t="str">
        <f t="shared" si="34"/>
        <v>At-Risk</v>
      </c>
      <c r="P396" s="5">
        <f>IF(Table1[[#This Row],[Health Status]]="Churned",0,1)</f>
        <v>1</v>
      </c>
      <c r="Q396" s="5" t="str">
        <f>IF(Table1[[#This Row],[Subscription_End_Date]]="", "Active", "Churned")</f>
        <v>Active</v>
      </c>
      <c r="R396" s="5">
        <f ca="1">IF(Table1[[#This Row],[Subscription_End_Date]]="", DATEDIF(Table1[[#This Row],[Subscription_Start_Date]], TODAY(), "m"),
DATEDIF(Table1[[#This Row],[Subscription_Start_Date]], Table1[[#This Row],[Subscription_End_Date]], "m"))</f>
        <v>10</v>
      </c>
      <c r="S396" s="2">
        <f ca="1">Table1[[#This Row],[Monthly_Spend]] * Table1[[#This Row],[Customer Lifetime(Months)]]</f>
        <v>500000</v>
      </c>
    </row>
    <row r="397" spans="1:19" x14ac:dyDescent="0.35">
      <c r="A397" t="s">
        <v>415</v>
      </c>
      <c r="B397" t="s">
        <v>14</v>
      </c>
      <c r="C397" s="1">
        <v>45152</v>
      </c>
      <c r="E397" t="s">
        <v>11</v>
      </c>
      <c r="F397" s="2">
        <v>10000</v>
      </c>
      <c r="G397">
        <v>34</v>
      </c>
      <c r="H397">
        <v>37</v>
      </c>
      <c r="I397" t="s">
        <v>17</v>
      </c>
      <c r="J397">
        <f>IF(Table1[[#This Row],[Status]]="Churned",1,0)</f>
        <v>0</v>
      </c>
      <c r="K397">
        <f t="shared" si="30"/>
        <v>0.36363636363636365</v>
      </c>
      <c r="L397">
        <f t="shared" si="31"/>
        <v>0.31999999999999995</v>
      </c>
      <c r="M397" s="5">
        <f t="shared" si="32"/>
        <v>5.2631578947368418E-2</v>
      </c>
      <c r="N397" s="5">
        <f t="shared" si="33"/>
        <v>0.23272727272727273</v>
      </c>
      <c r="O397" s="5" t="str">
        <f t="shared" si="34"/>
        <v>At-Risk</v>
      </c>
      <c r="P397" s="5">
        <f>IF(Table1[[#This Row],[Health Status]]="Churned",0,1)</f>
        <v>1</v>
      </c>
      <c r="Q397" s="5" t="str">
        <f>IF(Table1[[#This Row],[Subscription_End_Date]]="", "Active", "Churned")</f>
        <v>Active</v>
      </c>
      <c r="R397" s="5">
        <f ca="1">IF(Table1[[#This Row],[Subscription_End_Date]]="", DATEDIF(Table1[[#This Row],[Subscription_Start_Date]], TODAY(), "m"),
DATEDIF(Table1[[#This Row],[Subscription_Start_Date]], Table1[[#This Row],[Subscription_End_Date]], "m"))</f>
        <v>26</v>
      </c>
      <c r="S397" s="2">
        <f ca="1">Table1[[#This Row],[Monthly_Spend]] * Table1[[#This Row],[Customer Lifetime(Months)]]</f>
        <v>260000</v>
      </c>
    </row>
    <row r="398" spans="1:19" x14ac:dyDescent="0.35">
      <c r="A398" t="s">
        <v>416</v>
      </c>
      <c r="B398" t="s">
        <v>27</v>
      </c>
      <c r="C398" s="1">
        <v>45506</v>
      </c>
      <c r="E398" t="s">
        <v>23</v>
      </c>
      <c r="F398" s="2">
        <v>100000</v>
      </c>
      <c r="G398">
        <v>32</v>
      </c>
      <c r="H398">
        <v>15</v>
      </c>
      <c r="I398" t="s">
        <v>17</v>
      </c>
      <c r="J398">
        <f>IF(Table1[[#This Row],[Status]]="Churned",1,0)</f>
        <v>0</v>
      </c>
      <c r="K398">
        <f t="shared" si="30"/>
        <v>0.14141414141414141</v>
      </c>
      <c r="L398">
        <f t="shared" si="31"/>
        <v>0.36</v>
      </c>
      <c r="M398" s="5">
        <f t="shared" si="32"/>
        <v>1</v>
      </c>
      <c r="N398" s="5">
        <f t="shared" si="33"/>
        <v>0.20828282828282829</v>
      </c>
      <c r="O398" s="5" t="str">
        <f t="shared" si="34"/>
        <v>Healthy</v>
      </c>
      <c r="P398" s="5">
        <f>IF(Table1[[#This Row],[Health Status]]="Churned",0,1)</f>
        <v>1</v>
      </c>
      <c r="Q398" s="5" t="str">
        <f>IF(Table1[[#This Row],[Subscription_End_Date]]="", "Active", "Churned")</f>
        <v>Active</v>
      </c>
      <c r="R398" s="5">
        <f ca="1">IF(Table1[[#This Row],[Subscription_End_Date]]="", DATEDIF(Table1[[#This Row],[Subscription_Start_Date]], TODAY(), "m"),
DATEDIF(Table1[[#This Row],[Subscription_Start_Date]], Table1[[#This Row],[Subscription_End_Date]], "m"))</f>
        <v>14</v>
      </c>
      <c r="S398" s="2">
        <f ca="1">Table1[[#This Row],[Monthly_Spend]] * Table1[[#This Row],[Customer Lifetime(Months)]]</f>
        <v>1400000</v>
      </c>
    </row>
    <row r="399" spans="1:19" x14ac:dyDescent="0.35">
      <c r="A399" t="s">
        <v>417</v>
      </c>
      <c r="B399" t="s">
        <v>14</v>
      </c>
      <c r="C399" s="1">
        <v>45201</v>
      </c>
      <c r="E399" t="s">
        <v>11</v>
      </c>
      <c r="F399" s="2">
        <v>100000</v>
      </c>
      <c r="G399">
        <v>48</v>
      </c>
      <c r="H399">
        <v>6</v>
      </c>
      <c r="I399" t="s">
        <v>17</v>
      </c>
      <c r="J399">
        <f>IF(Table1[[#This Row],[Status]]="Churned",1,0)</f>
        <v>0</v>
      </c>
      <c r="K399">
        <f t="shared" si="30"/>
        <v>5.0505050505050504E-2</v>
      </c>
      <c r="L399">
        <f t="shared" si="31"/>
        <v>4.0000000000000036E-2</v>
      </c>
      <c r="M399" s="5">
        <f t="shared" si="32"/>
        <v>1</v>
      </c>
      <c r="N399" s="5">
        <f t="shared" si="33"/>
        <v>3.0101010101010121E-2</v>
      </c>
      <c r="O399" s="5" t="str">
        <f t="shared" si="34"/>
        <v>Healthy</v>
      </c>
      <c r="P399" s="5">
        <f>IF(Table1[[#This Row],[Health Status]]="Churned",0,1)</f>
        <v>1</v>
      </c>
      <c r="Q399" s="5" t="str">
        <f>IF(Table1[[#This Row],[Subscription_End_Date]]="", "Active", "Churned")</f>
        <v>Active</v>
      </c>
      <c r="R399" s="5">
        <f ca="1">IF(Table1[[#This Row],[Subscription_End_Date]]="", DATEDIF(Table1[[#This Row],[Subscription_Start_Date]], TODAY(), "m"),
DATEDIF(Table1[[#This Row],[Subscription_Start_Date]], Table1[[#This Row],[Subscription_End_Date]], "m"))</f>
        <v>24</v>
      </c>
      <c r="S399" s="2">
        <f ca="1">Table1[[#This Row],[Monthly_Spend]] * Table1[[#This Row],[Customer Lifetime(Months)]]</f>
        <v>2400000</v>
      </c>
    </row>
    <row r="400" spans="1:19" x14ac:dyDescent="0.35">
      <c r="A400" t="s">
        <v>418</v>
      </c>
      <c r="B400" t="s">
        <v>31</v>
      </c>
      <c r="C400" s="1">
        <v>45150</v>
      </c>
      <c r="E400" t="s">
        <v>16</v>
      </c>
      <c r="F400" s="2">
        <v>10000</v>
      </c>
      <c r="G400">
        <v>19</v>
      </c>
      <c r="H400">
        <v>5</v>
      </c>
      <c r="I400" t="s">
        <v>12</v>
      </c>
      <c r="J400">
        <f>IF(Table1[[#This Row],[Status]]="Churned",1,0)</f>
        <v>0</v>
      </c>
      <c r="K400">
        <f t="shared" si="30"/>
        <v>4.0404040404040407E-2</v>
      </c>
      <c r="L400">
        <f t="shared" si="31"/>
        <v>0.62</v>
      </c>
      <c r="M400" s="5">
        <f t="shared" si="32"/>
        <v>5.2631578947368418E-2</v>
      </c>
      <c r="N400" s="5">
        <f t="shared" si="33"/>
        <v>0.31808080808080808</v>
      </c>
      <c r="O400" s="5" t="str">
        <f t="shared" si="34"/>
        <v>At-Risk</v>
      </c>
      <c r="P400" s="5">
        <f>IF(Table1[[#This Row],[Health Status]]="Churned",0,1)</f>
        <v>1</v>
      </c>
      <c r="Q400" s="5" t="str">
        <f>IF(Table1[[#This Row],[Subscription_End_Date]]="", "Active", "Churned")</f>
        <v>Active</v>
      </c>
      <c r="R400" s="5">
        <f ca="1">IF(Table1[[#This Row],[Subscription_End_Date]]="", DATEDIF(Table1[[#This Row],[Subscription_Start_Date]], TODAY(), "m"),
DATEDIF(Table1[[#This Row],[Subscription_Start_Date]], Table1[[#This Row],[Subscription_End_Date]], "m"))</f>
        <v>26</v>
      </c>
      <c r="S400" s="2">
        <f ca="1">Table1[[#This Row],[Monthly_Spend]] * Table1[[#This Row],[Customer Lifetime(Months)]]</f>
        <v>260000</v>
      </c>
    </row>
    <row r="401" spans="1:19" x14ac:dyDescent="0.35">
      <c r="A401" t="s">
        <v>419</v>
      </c>
      <c r="B401" t="s">
        <v>31</v>
      </c>
      <c r="C401" s="1">
        <v>45283</v>
      </c>
      <c r="E401" t="s">
        <v>23</v>
      </c>
      <c r="F401" s="2">
        <v>50000</v>
      </c>
      <c r="G401">
        <v>7</v>
      </c>
      <c r="H401">
        <v>100</v>
      </c>
      <c r="I401" t="s">
        <v>12</v>
      </c>
      <c r="J401">
        <f>IF(Table1[[#This Row],[Status]]="Churned",1,0)</f>
        <v>0</v>
      </c>
      <c r="K401">
        <f t="shared" si="30"/>
        <v>1</v>
      </c>
      <c r="L401">
        <f t="shared" si="31"/>
        <v>0.86</v>
      </c>
      <c r="M401" s="5">
        <f t="shared" si="32"/>
        <v>0.47368421052631576</v>
      </c>
      <c r="N401" s="5">
        <f t="shared" si="33"/>
        <v>0.63</v>
      </c>
      <c r="O401" s="5" t="str">
        <f t="shared" si="34"/>
        <v>At-Risk</v>
      </c>
      <c r="P401" s="5">
        <f>IF(Table1[[#This Row],[Health Status]]="Churned",0,1)</f>
        <v>1</v>
      </c>
      <c r="Q401" s="5" t="str">
        <f>IF(Table1[[#This Row],[Subscription_End_Date]]="", "Active", "Churned")</f>
        <v>Active</v>
      </c>
      <c r="R401" s="5">
        <f ca="1">IF(Table1[[#This Row],[Subscription_End_Date]]="", DATEDIF(Table1[[#This Row],[Subscription_Start_Date]], TODAY(), "m"),
DATEDIF(Table1[[#This Row],[Subscription_Start_Date]], Table1[[#This Row],[Subscription_End_Date]], "m"))</f>
        <v>22</v>
      </c>
      <c r="S401" s="2">
        <f ca="1">Table1[[#This Row],[Monthly_Spend]] * Table1[[#This Row],[Customer Lifetime(Months)]]</f>
        <v>1100000</v>
      </c>
    </row>
    <row r="402" spans="1:19" x14ac:dyDescent="0.35">
      <c r="A402" t="s">
        <v>420</v>
      </c>
      <c r="B402" t="s">
        <v>27</v>
      </c>
      <c r="C402" s="1">
        <v>45529</v>
      </c>
      <c r="E402" t="s">
        <v>11</v>
      </c>
      <c r="F402" s="2">
        <v>10000</v>
      </c>
      <c r="G402">
        <v>39</v>
      </c>
      <c r="H402">
        <v>18</v>
      </c>
      <c r="I402" t="s">
        <v>17</v>
      </c>
      <c r="J402">
        <f>IF(Table1[[#This Row],[Status]]="Churned",1,0)</f>
        <v>0</v>
      </c>
      <c r="K402">
        <f t="shared" si="30"/>
        <v>0.17171717171717171</v>
      </c>
      <c r="L402">
        <f t="shared" si="31"/>
        <v>0.21999999999999997</v>
      </c>
      <c r="M402" s="5">
        <f t="shared" si="32"/>
        <v>5.2631578947368418E-2</v>
      </c>
      <c r="N402" s="5">
        <f t="shared" si="33"/>
        <v>0.14434343434343433</v>
      </c>
      <c r="O402" s="5" t="str">
        <f t="shared" si="34"/>
        <v>At-Risk</v>
      </c>
      <c r="P402" s="5">
        <f>IF(Table1[[#This Row],[Health Status]]="Churned",0,1)</f>
        <v>1</v>
      </c>
      <c r="Q402" s="5" t="str">
        <f>IF(Table1[[#This Row],[Subscription_End_Date]]="", "Active", "Churned")</f>
        <v>Active</v>
      </c>
      <c r="R402" s="5">
        <f ca="1">IF(Table1[[#This Row],[Subscription_End_Date]]="", DATEDIF(Table1[[#This Row],[Subscription_Start_Date]], TODAY(), "m"),
DATEDIF(Table1[[#This Row],[Subscription_Start_Date]], Table1[[#This Row],[Subscription_End_Date]], "m"))</f>
        <v>14</v>
      </c>
      <c r="S402" s="2">
        <f ca="1">Table1[[#This Row],[Monthly_Spend]] * Table1[[#This Row],[Customer Lifetime(Months)]]</f>
        <v>140000</v>
      </c>
    </row>
    <row r="403" spans="1:19" x14ac:dyDescent="0.35">
      <c r="A403" t="s">
        <v>421</v>
      </c>
      <c r="B403" t="s">
        <v>27</v>
      </c>
      <c r="C403" s="1">
        <v>44987</v>
      </c>
      <c r="E403" t="s">
        <v>11</v>
      </c>
      <c r="F403" s="2">
        <v>100000</v>
      </c>
      <c r="G403">
        <v>34</v>
      </c>
      <c r="H403">
        <v>22</v>
      </c>
      <c r="I403" t="s">
        <v>17</v>
      </c>
      <c r="J403">
        <f>IF(Table1[[#This Row],[Status]]="Churned",1,0)</f>
        <v>0</v>
      </c>
      <c r="K403">
        <f t="shared" si="30"/>
        <v>0.21212121212121213</v>
      </c>
      <c r="L403">
        <f t="shared" si="31"/>
        <v>0.31999999999999995</v>
      </c>
      <c r="M403" s="5">
        <f t="shared" si="32"/>
        <v>1</v>
      </c>
      <c r="N403" s="5">
        <f t="shared" si="33"/>
        <v>0.2024242424242424</v>
      </c>
      <c r="O403" s="5" t="str">
        <f t="shared" si="34"/>
        <v>Healthy</v>
      </c>
      <c r="P403" s="5">
        <f>IF(Table1[[#This Row],[Health Status]]="Churned",0,1)</f>
        <v>1</v>
      </c>
      <c r="Q403" s="5" t="str">
        <f>IF(Table1[[#This Row],[Subscription_End_Date]]="", "Active", "Churned")</f>
        <v>Active</v>
      </c>
      <c r="R403" s="5">
        <f ca="1">IF(Table1[[#This Row],[Subscription_End_Date]]="", DATEDIF(Table1[[#This Row],[Subscription_Start_Date]], TODAY(), "m"),
DATEDIF(Table1[[#This Row],[Subscription_Start_Date]], Table1[[#This Row],[Subscription_End_Date]], "m"))</f>
        <v>31</v>
      </c>
      <c r="S403" s="2">
        <f ca="1">Table1[[#This Row],[Monthly_Spend]] * Table1[[#This Row],[Customer Lifetime(Months)]]</f>
        <v>3100000</v>
      </c>
    </row>
    <row r="404" spans="1:19" x14ac:dyDescent="0.35">
      <c r="A404" t="s">
        <v>422</v>
      </c>
      <c r="B404" t="s">
        <v>19</v>
      </c>
      <c r="C404" s="1">
        <v>45226</v>
      </c>
      <c r="E404" t="s">
        <v>16</v>
      </c>
      <c r="F404" s="2">
        <v>100000</v>
      </c>
      <c r="G404">
        <v>43</v>
      </c>
      <c r="H404">
        <v>13</v>
      </c>
      <c r="I404" t="s">
        <v>17</v>
      </c>
      <c r="J404">
        <f>IF(Table1[[#This Row],[Status]]="Churned",1,0)</f>
        <v>0</v>
      </c>
      <c r="K404">
        <f t="shared" si="30"/>
        <v>0.12121212121212122</v>
      </c>
      <c r="L404">
        <f t="shared" si="31"/>
        <v>0.14000000000000001</v>
      </c>
      <c r="M404" s="5">
        <f t="shared" si="32"/>
        <v>1</v>
      </c>
      <c r="N404" s="5">
        <f t="shared" si="33"/>
        <v>9.4242424242424253E-2</v>
      </c>
      <c r="O404" s="5" t="str">
        <f t="shared" si="34"/>
        <v>Healthy</v>
      </c>
      <c r="P404" s="5">
        <f>IF(Table1[[#This Row],[Health Status]]="Churned",0,1)</f>
        <v>1</v>
      </c>
      <c r="Q404" s="5" t="str">
        <f>IF(Table1[[#This Row],[Subscription_End_Date]]="", "Active", "Churned")</f>
        <v>Active</v>
      </c>
      <c r="R404" s="5">
        <f ca="1">IF(Table1[[#This Row],[Subscription_End_Date]]="", DATEDIF(Table1[[#This Row],[Subscription_Start_Date]], TODAY(), "m"),
DATEDIF(Table1[[#This Row],[Subscription_Start_Date]], Table1[[#This Row],[Subscription_End_Date]], "m"))</f>
        <v>24</v>
      </c>
      <c r="S404" s="2">
        <f ca="1">Table1[[#This Row],[Monthly_Spend]] * Table1[[#This Row],[Customer Lifetime(Months)]]</f>
        <v>2400000</v>
      </c>
    </row>
    <row r="405" spans="1:19" x14ac:dyDescent="0.35">
      <c r="A405" t="s">
        <v>423</v>
      </c>
      <c r="B405" t="s">
        <v>27</v>
      </c>
      <c r="C405" s="1">
        <v>44987</v>
      </c>
      <c r="E405" t="s">
        <v>23</v>
      </c>
      <c r="F405" s="2">
        <v>10000</v>
      </c>
      <c r="G405">
        <v>15</v>
      </c>
      <c r="H405">
        <v>19</v>
      </c>
      <c r="I405" t="s">
        <v>12</v>
      </c>
      <c r="J405">
        <f>IF(Table1[[#This Row],[Status]]="Churned",1,0)</f>
        <v>0</v>
      </c>
      <c r="K405">
        <f t="shared" si="30"/>
        <v>0.18181818181818182</v>
      </c>
      <c r="L405">
        <f t="shared" si="31"/>
        <v>0.7</v>
      </c>
      <c r="M405" s="5">
        <f t="shared" si="32"/>
        <v>5.2631578947368418E-2</v>
      </c>
      <c r="N405" s="5">
        <f t="shared" si="33"/>
        <v>0.38636363636363635</v>
      </c>
      <c r="O405" s="5" t="str">
        <f t="shared" si="34"/>
        <v>At-Risk</v>
      </c>
      <c r="P405" s="5">
        <f>IF(Table1[[#This Row],[Health Status]]="Churned",0,1)</f>
        <v>1</v>
      </c>
      <c r="Q405" s="5" t="str">
        <f>IF(Table1[[#This Row],[Subscription_End_Date]]="", "Active", "Churned")</f>
        <v>Active</v>
      </c>
      <c r="R405" s="5">
        <f ca="1">IF(Table1[[#This Row],[Subscription_End_Date]]="", DATEDIF(Table1[[#This Row],[Subscription_Start_Date]], TODAY(), "m"),
DATEDIF(Table1[[#This Row],[Subscription_Start_Date]], Table1[[#This Row],[Subscription_End_Date]], "m"))</f>
        <v>31</v>
      </c>
      <c r="S405" s="2">
        <f ca="1">Table1[[#This Row],[Monthly_Spend]] * Table1[[#This Row],[Customer Lifetime(Months)]]</f>
        <v>310000</v>
      </c>
    </row>
    <row r="406" spans="1:19" x14ac:dyDescent="0.35">
      <c r="A406" t="s">
        <v>424</v>
      </c>
      <c r="B406" t="s">
        <v>19</v>
      </c>
      <c r="C406" s="1">
        <v>45619</v>
      </c>
      <c r="E406" t="s">
        <v>11</v>
      </c>
      <c r="F406" s="2">
        <v>100000</v>
      </c>
      <c r="G406">
        <v>40</v>
      </c>
      <c r="H406">
        <v>35</v>
      </c>
      <c r="I406" t="s">
        <v>12</v>
      </c>
      <c r="J406">
        <f>IF(Table1[[#This Row],[Status]]="Churned",1,0)</f>
        <v>0</v>
      </c>
      <c r="K406">
        <f t="shared" si="30"/>
        <v>0.34343434343434343</v>
      </c>
      <c r="L406">
        <f t="shared" si="31"/>
        <v>0.19999999999999996</v>
      </c>
      <c r="M406" s="5">
        <f t="shared" si="32"/>
        <v>1</v>
      </c>
      <c r="N406" s="5">
        <f t="shared" si="33"/>
        <v>0.16868686868686866</v>
      </c>
      <c r="O406" s="5" t="str">
        <f t="shared" si="34"/>
        <v>Healthy</v>
      </c>
      <c r="P406" s="5">
        <f>IF(Table1[[#This Row],[Health Status]]="Churned",0,1)</f>
        <v>1</v>
      </c>
      <c r="Q406" s="5" t="str">
        <f>IF(Table1[[#This Row],[Subscription_End_Date]]="", "Active", "Churned")</f>
        <v>Active</v>
      </c>
      <c r="R406" s="5">
        <f ca="1">IF(Table1[[#This Row],[Subscription_End_Date]]="", DATEDIF(Table1[[#This Row],[Subscription_Start_Date]], TODAY(), "m"),
DATEDIF(Table1[[#This Row],[Subscription_Start_Date]], Table1[[#This Row],[Subscription_End_Date]], "m"))</f>
        <v>11</v>
      </c>
      <c r="S406" s="2">
        <f ca="1">Table1[[#This Row],[Monthly_Spend]] * Table1[[#This Row],[Customer Lifetime(Months)]]</f>
        <v>1100000</v>
      </c>
    </row>
    <row r="407" spans="1:19" x14ac:dyDescent="0.35">
      <c r="A407" t="s">
        <v>425</v>
      </c>
      <c r="B407" t="s">
        <v>31</v>
      </c>
      <c r="C407" s="1">
        <v>45389</v>
      </c>
      <c r="D407" s="1">
        <v>45514</v>
      </c>
      <c r="E407" t="s">
        <v>23</v>
      </c>
      <c r="F407" s="2">
        <v>50000</v>
      </c>
      <c r="G407">
        <v>32</v>
      </c>
      <c r="H407">
        <v>96</v>
      </c>
      <c r="I407" t="s">
        <v>28</v>
      </c>
      <c r="J407">
        <f>IF(Table1[[#This Row],[Status]]="Churned",1,0)</f>
        <v>1</v>
      </c>
      <c r="K407">
        <f t="shared" si="30"/>
        <v>0.95959595959595956</v>
      </c>
      <c r="L407">
        <f t="shared" si="31"/>
        <v>0.36</v>
      </c>
      <c r="M407" s="5">
        <f t="shared" si="32"/>
        <v>0.47368421052631576</v>
      </c>
      <c r="N407" s="5">
        <f t="shared" si="33"/>
        <v>0.67191919191919192</v>
      </c>
      <c r="O407" s="5" t="str">
        <f t="shared" si="34"/>
        <v>Churned</v>
      </c>
      <c r="P407" s="5">
        <f>IF(Table1[[#This Row],[Health Status]]="Churned",0,1)</f>
        <v>0</v>
      </c>
      <c r="Q407" s="5" t="str">
        <f>IF(Table1[[#This Row],[Subscription_End_Date]]="", "Active", "Churned")</f>
        <v>Churned</v>
      </c>
      <c r="R407" s="5">
        <f ca="1">IF(Table1[[#This Row],[Subscription_End_Date]]="", DATEDIF(Table1[[#This Row],[Subscription_Start_Date]], TODAY(), "m"),
DATEDIF(Table1[[#This Row],[Subscription_Start_Date]], Table1[[#This Row],[Subscription_End_Date]], "m"))</f>
        <v>4</v>
      </c>
      <c r="S407" s="2">
        <f ca="1">Table1[[#This Row],[Monthly_Spend]] * Table1[[#This Row],[Customer Lifetime(Months)]]</f>
        <v>200000</v>
      </c>
    </row>
    <row r="408" spans="1:19" x14ac:dyDescent="0.35">
      <c r="A408" t="s">
        <v>426</v>
      </c>
      <c r="B408" t="s">
        <v>19</v>
      </c>
      <c r="C408" s="1">
        <v>45304</v>
      </c>
      <c r="E408" t="s">
        <v>16</v>
      </c>
      <c r="F408" s="2">
        <v>20000</v>
      </c>
      <c r="G408">
        <v>37</v>
      </c>
      <c r="H408">
        <v>1</v>
      </c>
      <c r="I408" t="s">
        <v>17</v>
      </c>
      <c r="J408">
        <f>IF(Table1[[#This Row],[Status]]="Churned",1,0)</f>
        <v>0</v>
      </c>
      <c r="K408">
        <f t="shared" si="30"/>
        <v>0</v>
      </c>
      <c r="L408">
        <f t="shared" si="31"/>
        <v>0.26</v>
      </c>
      <c r="M408" s="5">
        <f t="shared" si="32"/>
        <v>0.15789473684210525</v>
      </c>
      <c r="N408" s="5">
        <f t="shared" si="33"/>
        <v>0.13</v>
      </c>
      <c r="O408" s="5" t="str">
        <f t="shared" si="34"/>
        <v>At-Risk</v>
      </c>
      <c r="P408" s="5">
        <f>IF(Table1[[#This Row],[Health Status]]="Churned",0,1)</f>
        <v>1</v>
      </c>
      <c r="Q408" s="5" t="str">
        <f>IF(Table1[[#This Row],[Subscription_End_Date]]="", "Active", "Churned")</f>
        <v>Active</v>
      </c>
      <c r="R408" s="5">
        <f ca="1">IF(Table1[[#This Row],[Subscription_End_Date]]="", DATEDIF(Table1[[#This Row],[Subscription_Start_Date]], TODAY(), "m"),
DATEDIF(Table1[[#This Row],[Subscription_Start_Date]], Table1[[#This Row],[Subscription_End_Date]], "m"))</f>
        <v>21</v>
      </c>
      <c r="S408" s="2">
        <f ca="1">Table1[[#This Row],[Monthly_Spend]] * Table1[[#This Row],[Customer Lifetime(Months)]]</f>
        <v>420000</v>
      </c>
    </row>
    <row r="409" spans="1:19" x14ac:dyDescent="0.35">
      <c r="A409" t="s">
        <v>427</v>
      </c>
      <c r="B409" t="s">
        <v>10</v>
      </c>
      <c r="C409" s="1">
        <v>45396</v>
      </c>
      <c r="E409" t="s">
        <v>16</v>
      </c>
      <c r="F409" s="2">
        <v>5000</v>
      </c>
      <c r="G409">
        <v>50</v>
      </c>
      <c r="H409">
        <v>69</v>
      </c>
      <c r="I409" t="s">
        <v>17</v>
      </c>
      <c r="J409">
        <f>IF(Table1[[#This Row],[Status]]="Churned",1,0)</f>
        <v>0</v>
      </c>
      <c r="K409">
        <f t="shared" si="30"/>
        <v>0.68686868686868685</v>
      </c>
      <c r="L409">
        <f t="shared" si="31"/>
        <v>0</v>
      </c>
      <c r="M409" s="5">
        <f t="shared" si="32"/>
        <v>0</v>
      </c>
      <c r="N409" s="5">
        <f t="shared" si="33"/>
        <v>0.13737373737373737</v>
      </c>
      <c r="O409" s="5" t="str">
        <f t="shared" si="34"/>
        <v>At-Risk</v>
      </c>
      <c r="P409" s="5">
        <f>IF(Table1[[#This Row],[Health Status]]="Churned",0,1)</f>
        <v>1</v>
      </c>
      <c r="Q409" s="5" t="str">
        <f>IF(Table1[[#This Row],[Subscription_End_Date]]="", "Active", "Churned")</f>
        <v>Active</v>
      </c>
      <c r="R409" s="5">
        <f ca="1">IF(Table1[[#This Row],[Subscription_End_Date]]="", DATEDIF(Table1[[#This Row],[Subscription_Start_Date]], TODAY(), "m"),
DATEDIF(Table1[[#This Row],[Subscription_Start_Date]], Table1[[#This Row],[Subscription_End_Date]], "m"))</f>
        <v>18</v>
      </c>
      <c r="S409" s="2">
        <f ca="1">Table1[[#This Row],[Monthly_Spend]] * Table1[[#This Row],[Customer Lifetime(Months)]]</f>
        <v>90000</v>
      </c>
    </row>
    <row r="410" spans="1:19" x14ac:dyDescent="0.35">
      <c r="A410" t="s">
        <v>428</v>
      </c>
      <c r="B410" t="s">
        <v>31</v>
      </c>
      <c r="C410" s="1">
        <v>45366</v>
      </c>
      <c r="E410" t="s">
        <v>11</v>
      </c>
      <c r="F410" s="2">
        <v>20000</v>
      </c>
      <c r="G410">
        <v>20</v>
      </c>
      <c r="H410">
        <v>37</v>
      </c>
      <c r="I410" t="s">
        <v>17</v>
      </c>
      <c r="J410">
        <f>IF(Table1[[#This Row],[Status]]="Churned",1,0)</f>
        <v>0</v>
      </c>
      <c r="K410">
        <f t="shared" si="30"/>
        <v>0.36363636363636365</v>
      </c>
      <c r="L410">
        <f t="shared" si="31"/>
        <v>0.6</v>
      </c>
      <c r="M410" s="5">
        <f t="shared" si="32"/>
        <v>0.15789473684210525</v>
      </c>
      <c r="N410" s="5">
        <f t="shared" si="33"/>
        <v>0.37272727272727274</v>
      </c>
      <c r="O410" s="5" t="str">
        <f t="shared" si="34"/>
        <v>At-Risk</v>
      </c>
      <c r="P410" s="5">
        <f>IF(Table1[[#This Row],[Health Status]]="Churned",0,1)</f>
        <v>1</v>
      </c>
      <c r="Q410" s="5" t="str">
        <f>IF(Table1[[#This Row],[Subscription_End_Date]]="", "Active", "Churned")</f>
        <v>Active</v>
      </c>
      <c r="R410" s="5">
        <f ca="1">IF(Table1[[#This Row],[Subscription_End_Date]]="", DATEDIF(Table1[[#This Row],[Subscription_Start_Date]], TODAY(), "m"),
DATEDIF(Table1[[#This Row],[Subscription_Start_Date]], Table1[[#This Row],[Subscription_End_Date]], "m"))</f>
        <v>19</v>
      </c>
      <c r="S410" s="2">
        <f ca="1">Table1[[#This Row],[Monthly_Spend]] * Table1[[#This Row],[Customer Lifetime(Months)]]</f>
        <v>380000</v>
      </c>
    </row>
    <row r="411" spans="1:19" x14ac:dyDescent="0.35">
      <c r="A411" t="s">
        <v>429</v>
      </c>
      <c r="B411" t="s">
        <v>19</v>
      </c>
      <c r="C411" s="1">
        <v>45518</v>
      </c>
      <c r="D411" s="1">
        <v>46044</v>
      </c>
      <c r="E411" t="s">
        <v>16</v>
      </c>
      <c r="F411" s="2">
        <v>20000</v>
      </c>
      <c r="G411">
        <v>43</v>
      </c>
      <c r="H411">
        <v>98</v>
      </c>
      <c r="I411" t="s">
        <v>28</v>
      </c>
      <c r="J411">
        <f>IF(Table1[[#This Row],[Status]]="Churned",1,0)</f>
        <v>1</v>
      </c>
      <c r="K411">
        <f t="shared" si="30"/>
        <v>0.97979797979797978</v>
      </c>
      <c r="L411">
        <f t="shared" si="31"/>
        <v>0.14000000000000001</v>
      </c>
      <c r="M411" s="5">
        <f t="shared" si="32"/>
        <v>0.15789473684210525</v>
      </c>
      <c r="N411" s="5">
        <f t="shared" si="33"/>
        <v>0.565959595959596</v>
      </c>
      <c r="O411" s="5" t="str">
        <f t="shared" si="34"/>
        <v>Churned</v>
      </c>
      <c r="P411" s="5">
        <f>IF(Table1[[#This Row],[Health Status]]="Churned",0,1)</f>
        <v>0</v>
      </c>
      <c r="Q411" s="5" t="str">
        <f>IF(Table1[[#This Row],[Subscription_End_Date]]="", "Active", "Churned")</f>
        <v>Churned</v>
      </c>
      <c r="R411" s="5">
        <f ca="1">IF(Table1[[#This Row],[Subscription_End_Date]]="", DATEDIF(Table1[[#This Row],[Subscription_Start_Date]], TODAY(), "m"),
DATEDIF(Table1[[#This Row],[Subscription_Start_Date]], Table1[[#This Row],[Subscription_End_Date]], "m"))</f>
        <v>17</v>
      </c>
      <c r="S411" s="2">
        <f ca="1">Table1[[#This Row],[Monthly_Spend]] * Table1[[#This Row],[Customer Lifetime(Months)]]</f>
        <v>340000</v>
      </c>
    </row>
    <row r="412" spans="1:19" x14ac:dyDescent="0.35">
      <c r="A412" t="s">
        <v>430</v>
      </c>
      <c r="B412" t="s">
        <v>10</v>
      </c>
      <c r="C412" s="1">
        <v>45028</v>
      </c>
      <c r="E412" t="s">
        <v>11</v>
      </c>
      <c r="F412" s="2">
        <v>5000</v>
      </c>
      <c r="G412">
        <v>7</v>
      </c>
      <c r="H412">
        <v>21</v>
      </c>
      <c r="I412" t="s">
        <v>17</v>
      </c>
      <c r="J412">
        <f>IF(Table1[[#This Row],[Status]]="Churned",1,0)</f>
        <v>0</v>
      </c>
      <c r="K412">
        <f t="shared" si="30"/>
        <v>0.20202020202020202</v>
      </c>
      <c r="L412">
        <f t="shared" si="31"/>
        <v>0.86</v>
      </c>
      <c r="M412" s="5">
        <f t="shared" si="32"/>
        <v>0</v>
      </c>
      <c r="N412" s="5">
        <f t="shared" si="33"/>
        <v>0.47040404040404038</v>
      </c>
      <c r="O412" s="5" t="str">
        <f t="shared" si="34"/>
        <v>At-Risk</v>
      </c>
      <c r="P412" s="5">
        <f>IF(Table1[[#This Row],[Health Status]]="Churned",0,1)</f>
        <v>1</v>
      </c>
      <c r="Q412" s="5" t="str">
        <f>IF(Table1[[#This Row],[Subscription_End_Date]]="", "Active", "Churned")</f>
        <v>Active</v>
      </c>
      <c r="R412" s="5">
        <f ca="1">IF(Table1[[#This Row],[Subscription_End_Date]]="", DATEDIF(Table1[[#This Row],[Subscription_Start_Date]], TODAY(), "m"),
DATEDIF(Table1[[#This Row],[Subscription_Start_Date]], Table1[[#This Row],[Subscription_End_Date]], "m"))</f>
        <v>30</v>
      </c>
      <c r="S412" s="2">
        <f ca="1">Table1[[#This Row],[Monthly_Spend]] * Table1[[#This Row],[Customer Lifetime(Months)]]</f>
        <v>150000</v>
      </c>
    </row>
    <row r="413" spans="1:19" x14ac:dyDescent="0.35">
      <c r="A413" t="s">
        <v>431</v>
      </c>
      <c r="B413" t="s">
        <v>31</v>
      </c>
      <c r="C413" s="1">
        <v>44927</v>
      </c>
      <c r="E413" t="s">
        <v>23</v>
      </c>
      <c r="F413" s="2">
        <v>10000</v>
      </c>
      <c r="G413">
        <v>44</v>
      </c>
      <c r="H413">
        <v>17</v>
      </c>
      <c r="I413" t="s">
        <v>17</v>
      </c>
      <c r="J413">
        <f>IF(Table1[[#This Row],[Status]]="Churned",1,0)</f>
        <v>0</v>
      </c>
      <c r="K413">
        <f t="shared" si="30"/>
        <v>0.16161616161616163</v>
      </c>
      <c r="L413">
        <f t="shared" si="31"/>
        <v>0.12</v>
      </c>
      <c r="M413" s="5">
        <f t="shared" si="32"/>
        <v>5.2631578947368418E-2</v>
      </c>
      <c r="N413" s="5">
        <f t="shared" si="33"/>
        <v>9.2323232323232335E-2</v>
      </c>
      <c r="O413" s="5" t="str">
        <f t="shared" si="34"/>
        <v>At-Risk</v>
      </c>
      <c r="P413" s="5">
        <f>IF(Table1[[#This Row],[Health Status]]="Churned",0,1)</f>
        <v>1</v>
      </c>
      <c r="Q413" s="5" t="str">
        <f>IF(Table1[[#This Row],[Subscription_End_Date]]="", "Active", "Churned")</f>
        <v>Active</v>
      </c>
      <c r="R413" s="5">
        <f ca="1">IF(Table1[[#This Row],[Subscription_End_Date]]="", DATEDIF(Table1[[#This Row],[Subscription_Start_Date]], TODAY(), "m"),
DATEDIF(Table1[[#This Row],[Subscription_Start_Date]], Table1[[#This Row],[Subscription_End_Date]], "m"))</f>
        <v>33</v>
      </c>
      <c r="S413" s="2">
        <f ca="1">Table1[[#This Row],[Monthly_Spend]] * Table1[[#This Row],[Customer Lifetime(Months)]]</f>
        <v>330000</v>
      </c>
    </row>
    <row r="414" spans="1:19" x14ac:dyDescent="0.35">
      <c r="A414" t="s">
        <v>432</v>
      </c>
      <c r="B414" t="s">
        <v>19</v>
      </c>
      <c r="C414" s="1">
        <v>45207</v>
      </c>
      <c r="E414" t="s">
        <v>11</v>
      </c>
      <c r="F414" s="2">
        <v>20000</v>
      </c>
      <c r="G414">
        <v>5</v>
      </c>
      <c r="H414">
        <v>48</v>
      </c>
      <c r="I414" t="s">
        <v>17</v>
      </c>
      <c r="J414">
        <f>IF(Table1[[#This Row],[Status]]="Churned",1,0)</f>
        <v>0</v>
      </c>
      <c r="K414">
        <f t="shared" si="30"/>
        <v>0.47474747474747475</v>
      </c>
      <c r="L414">
        <f t="shared" si="31"/>
        <v>0.9</v>
      </c>
      <c r="M414" s="5">
        <f t="shared" si="32"/>
        <v>0.15789473684210525</v>
      </c>
      <c r="N414" s="5">
        <f t="shared" si="33"/>
        <v>0.54494949494949496</v>
      </c>
      <c r="O414" s="5" t="str">
        <f t="shared" si="34"/>
        <v>At-Risk</v>
      </c>
      <c r="P414" s="5">
        <f>IF(Table1[[#This Row],[Health Status]]="Churned",0,1)</f>
        <v>1</v>
      </c>
      <c r="Q414" s="5" t="str">
        <f>IF(Table1[[#This Row],[Subscription_End_Date]]="", "Active", "Churned")</f>
        <v>Active</v>
      </c>
      <c r="R414" s="5">
        <f ca="1">IF(Table1[[#This Row],[Subscription_End_Date]]="", DATEDIF(Table1[[#This Row],[Subscription_Start_Date]], TODAY(), "m"),
DATEDIF(Table1[[#This Row],[Subscription_Start_Date]], Table1[[#This Row],[Subscription_End_Date]], "m"))</f>
        <v>24</v>
      </c>
      <c r="S414" s="2">
        <f ca="1">Table1[[#This Row],[Monthly_Spend]] * Table1[[#This Row],[Customer Lifetime(Months)]]</f>
        <v>480000</v>
      </c>
    </row>
    <row r="415" spans="1:19" x14ac:dyDescent="0.35">
      <c r="A415" t="s">
        <v>433</v>
      </c>
      <c r="B415" t="s">
        <v>27</v>
      </c>
      <c r="C415" s="1">
        <v>45332</v>
      </c>
      <c r="E415" t="s">
        <v>11</v>
      </c>
      <c r="F415" s="2">
        <v>50000</v>
      </c>
      <c r="G415">
        <v>41</v>
      </c>
      <c r="H415">
        <v>12</v>
      </c>
      <c r="I415" t="s">
        <v>12</v>
      </c>
      <c r="J415">
        <f>IF(Table1[[#This Row],[Status]]="Churned",1,0)</f>
        <v>0</v>
      </c>
      <c r="K415">
        <f t="shared" si="30"/>
        <v>0.1111111111111111</v>
      </c>
      <c r="L415">
        <f t="shared" si="31"/>
        <v>0.18000000000000005</v>
      </c>
      <c r="M415" s="5">
        <f t="shared" si="32"/>
        <v>0.47368421052631576</v>
      </c>
      <c r="N415" s="5">
        <f t="shared" si="33"/>
        <v>0.11222222222222225</v>
      </c>
      <c r="O415" s="5" t="str">
        <f t="shared" si="34"/>
        <v>At-Risk</v>
      </c>
      <c r="P415" s="5">
        <f>IF(Table1[[#This Row],[Health Status]]="Churned",0,1)</f>
        <v>1</v>
      </c>
      <c r="Q415" s="5" t="str">
        <f>IF(Table1[[#This Row],[Subscription_End_Date]]="", "Active", "Churned")</f>
        <v>Active</v>
      </c>
      <c r="R415" s="5">
        <f ca="1">IF(Table1[[#This Row],[Subscription_End_Date]]="", DATEDIF(Table1[[#This Row],[Subscription_Start_Date]], TODAY(), "m"),
DATEDIF(Table1[[#This Row],[Subscription_Start_Date]], Table1[[#This Row],[Subscription_End_Date]], "m"))</f>
        <v>20</v>
      </c>
      <c r="S415" s="2">
        <f ca="1">Table1[[#This Row],[Monthly_Spend]] * Table1[[#This Row],[Customer Lifetime(Months)]]</f>
        <v>1000000</v>
      </c>
    </row>
    <row r="416" spans="1:19" x14ac:dyDescent="0.35">
      <c r="A416" t="s">
        <v>434</v>
      </c>
      <c r="B416" t="s">
        <v>10</v>
      </c>
      <c r="C416" s="1">
        <v>45145</v>
      </c>
      <c r="E416" t="s">
        <v>11</v>
      </c>
      <c r="F416" s="2">
        <v>100000</v>
      </c>
      <c r="G416">
        <v>14</v>
      </c>
      <c r="H416">
        <v>67</v>
      </c>
      <c r="I416" t="s">
        <v>12</v>
      </c>
      <c r="J416">
        <f>IF(Table1[[#This Row],[Status]]="Churned",1,0)</f>
        <v>0</v>
      </c>
      <c r="K416">
        <f t="shared" si="30"/>
        <v>0.66666666666666663</v>
      </c>
      <c r="L416">
        <f t="shared" si="31"/>
        <v>0.72</v>
      </c>
      <c r="M416" s="5">
        <f t="shared" si="32"/>
        <v>1</v>
      </c>
      <c r="N416" s="5">
        <f t="shared" si="33"/>
        <v>0.49333333333333329</v>
      </c>
      <c r="O416" s="5" t="str">
        <f t="shared" si="34"/>
        <v>Healthy</v>
      </c>
      <c r="P416" s="5">
        <f>IF(Table1[[#This Row],[Health Status]]="Churned",0,1)</f>
        <v>1</v>
      </c>
      <c r="Q416" s="5" t="str">
        <f>IF(Table1[[#This Row],[Subscription_End_Date]]="", "Active", "Churned")</f>
        <v>Active</v>
      </c>
      <c r="R416" s="5">
        <f ca="1">IF(Table1[[#This Row],[Subscription_End_Date]]="", DATEDIF(Table1[[#This Row],[Subscription_Start_Date]], TODAY(), "m"),
DATEDIF(Table1[[#This Row],[Subscription_Start_Date]], Table1[[#This Row],[Subscription_End_Date]], "m"))</f>
        <v>26</v>
      </c>
      <c r="S416" s="2">
        <f ca="1">Table1[[#This Row],[Monthly_Spend]] * Table1[[#This Row],[Customer Lifetime(Months)]]</f>
        <v>2600000</v>
      </c>
    </row>
    <row r="417" spans="1:19" x14ac:dyDescent="0.35">
      <c r="A417" t="s">
        <v>435</v>
      </c>
      <c r="B417" t="s">
        <v>31</v>
      </c>
      <c r="C417" s="1">
        <v>44935</v>
      </c>
      <c r="E417" t="s">
        <v>11</v>
      </c>
      <c r="F417" s="2">
        <v>50000</v>
      </c>
      <c r="G417">
        <v>44</v>
      </c>
      <c r="H417">
        <v>17</v>
      </c>
      <c r="I417" t="s">
        <v>12</v>
      </c>
      <c r="J417">
        <f>IF(Table1[[#This Row],[Status]]="Churned",1,0)</f>
        <v>0</v>
      </c>
      <c r="K417">
        <f t="shared" si="30"/>
        <v>0.16161616161616163</v>
      </c>
      <c r="L417">
        <f t="shared" si="31"/>
        <v>0.12</v>
      </c>
      <c r="M417" s="5">
        <f t="shared" si="32"/>
        <v>0.47368421052631576</v>
      </c>
      <c r="N417" s="5">
        <f t="shared" si="33"/>
        <v>9.2323232323232335E-2</v>
      </c>
      <c r="O417" s="5" t="str">
        <f t="shared" si="34"/>
        <v>At-Risk</v>
      </c>
      <c r="P417" s="5">
        <f>IF(Table1[[#This Row],[Health Status]]="Churned",0,1)</f>
        <v>1</v>
      </c>
      <c r="Q417" s="5" t="str">
        <f>IF(Table1[[#This Row],[Subscription_End_Date]]="", "Active", "Churned")</f>
        <v>Active</v>
      </c>
      <c r="R417" s="5">
        <f ca="1">IF(Table1[[#This Row],[Subscription_End_Date]]="", DATEDIF(Table1[[#This Row],[Subscription_Start_Date]], TODAY(), "m"),
DATEDIF(Table1[[#This Row],[Subscription_Start_Date]], Table1[[#This Row],[Subscription_End_Date]], "m"))</f>
        <v>33</v>
      </c>
      <c r="S417" s="2">
        <f ca="1">Table1[[#This Row],[Monthly_Spend]] * Table1[[#This Row],[Customer Lifetime(Months)]]</f>
        <v>1650000</v>
      </c>
    </row>
    <row r="418" spans="1:19" x14ac:dyDescent="0.35">
      <c r="A418" t="s">
        <v>436</v>
      </c>
      <c r="B418" t="s">
        <v>31</v>
      </c>
      <c r="C418" s="1">
        <v>45161</v>
      </c>
      <c r="E418" t="s">
        <v>11</v>
      </c>
      <c r="F418" s="2">
        <v>5000</v>
      </c>
      <c r="G418">
        <v>20</v>
      </c>
      <c r="H418">
        <v>48</v>
      </c>
      <c r="I418" t="s">
        <v>12</v>
      </c>
      <c r="J418">
        <f>IF(Table1[[#This Row],[Status]]="Churned",1,0)</f>
        <v>0</v>
      </c>
      <c r="K418">
        <f t="shared" si="30"/>
        <v>0.47474747474747475</v>
      </c>
      <c r="L418">
        <f t="shared" si="31"/>
        <v>0.6</v>
      </c>
      <c r="M418" s="5">
        <f t="shared" si="32"/>
        <v>0</v>
      </c>
      <c r="N418" s="5">
        <f t="shared" si="33"/>
        <v>0.39494949494949494</v>
      </c>
      <c r="O418" s="5" t="str">
        <f t="shared" si="34"/>
        <v>At-Risk</v>
      </c>
      <c r="P418" s="5">
        <f>IF(Table1[[#This Row],[Health Status]]="Churned",0,1)</f>
        <v>1</v>
      </c>
      <c r="Q418" s="5" t="str">
        <f>IF(Table1[[#This Row],[Subscription_End_Date]]="", "Active", "Churned")</f>
        <v>Active</v>
      </c>
      <c r="R418" s="5">
        <f ca="1">IF(Table1[[#This Row],[Subscription_End_Date]]="", DATEDIF(Table1[[#This Row],[Subscription_Start_Date]], TODAY(), "m"),
DATEDIF(Table1[[#This Row],[Subscription_Start_Date]], Table1[[#This Row],[Subscription_End_Date]], "m"))</f>
        <v>26</v>
      </c>
      <c r="S418" s="2">
        <f ca="1">Table1[[#This Row],[Monthly_Spend]] * Table1[[#This Row],[Customer Lifetime(Months)]]</f>
        <v>130000</v>
      </c>
    </row>
    <row r="419" spans="1:19" x14ac:dyDescent="0.35">
      <c r="A419" t="s">
        <v>437</v>
      </c>
      <c r="B419" t="s">
        <v>19</v>
      </c>
      <c r="C419" s="1">
        <v>45318</v>
      </c>
      <c r="E419" t="s">
        <v>11</v>
      </c>
      <c r="F419" s="2">
        <v>10000</v>
      </c>
      <c r="G419">
        <v>4</v>
      </c>
      <c r="H419">
        <v>68</v>
      </c>
      <c r="I419" t="s">
        <v>12</v>
      </c>
      <c r="J419">
        <f>IF(Table1[[#This Row],[Status]]="Churned",1,0)</f>
        <v>0</v>
      </c>
      <c r="K419">
        <f t="shared" si="30"/>
        <v>0.6767676767676768</v>
      </c>
      <c r="L419">
        <f t="shared" si="31"/>
        <v>0.92</v>
      </c>
      <c r="M419" s="5">
        <f t="shared" si="32"/>
        <v>5.2631578947368418E-2</v>
      </c>
      <c r="N419" s="5">
        <f t="shared" si="33"/>
        <v>0.59535353535353541</v>
      </c>
      <c r="O419" s="5" t="str">
        <f t="shared" si="34"/>
        <v>At-Risk</v>
      </c>
      <c r="P419" s="5">
        <f>IF(Table1[[#This Row],[Health Status]]="Churned",0,1)</f>
        <v>1</v>
      </c>
      <c r="Q419" s="5" t="str">
        <f>IF(Table1[[#This Row],[Subscription_End_Date]]="", "Active", "Churned")</f>
        <v>Active</v>
      </c>
      <c r="R419" s="5">
        <f ca="1">IF(Table1[[#This Row],[Subscription_End_Date]]="", DATEDIF(Table1[[#This Row],[Subscription_Start_Date]], TODAY(), "m"),
DATEDIF(Table1[[#This Row],[Subscription_Start_Date]], Table1[[#This Row],[Subscription_End_Date]], "m"))</f>
        <v>21</v>
      </c>
      <c r="S419" s="2">
        <f ca="1">Table1[[#This Row],[Monthly_Spend]] * Table1[[#This Row],[Customer Lifetime(Months)]]</f>
        <v>210000</v>
      </c>
    </row>
    <row r="420" spans="1:19" x14ac:dyDescent="0.35">
      <c r="A420" t="s">
        <v>438</v>
      </c>
      <c r="B420" t="s">
        <v>14</v>
      </c>
      <c r="C420" s="1">
        <v>45551</v>
      </c>
      <c r="E420" t="s">
        <v>11</v>
      </c>
      <c r="F420" s="2">
        <v>20000</v>
      </c>
      <c r="G420">
        <v>46</v>
      </c>
      <c r="H420">
        <v>28</v>
      </c>
      <c r="I420" t="s">
        <v>17</v>
      </c>
      <c r="J420">
        <f>IF(Table1[[#This Row],[Status]]="Churned",1,0)</f>
        <v>0</v>
      </c>
      <c r="K420">
        <f t="shared" si="30"/>
        <v>0.27272727272727271</v>
      </c>
      <c r="L420">
        <f t="shared" si="31"/>
        <v>7.999999999999996E-2</v>
      </c>
      <c r="M420" s="5">
        <f t="shared" si="32"/>
        <v>0.15789473684210525</v>
      </c>
      <c r="N420" s="5">
        <f t="shared" si="33"/>
        <v>9.4545454545454516E-2</v>
      </c>
      <c r="O420" s="5" t="str">
        <f t="shared" si="34"/>
        <v>At-Risk</v>
      </c>
      <c r="P420" s="5">
        <f>IF(Table1[[#This Row],[Health Status]]="Churned",0,1)</f>
        <v>1</v>
      </c>
      <c r="Q420" s="5" t="str">
        <f>IF(Table1[[#This Row],[Subscription_End_Date]]="", "Active", "Churned")</f>
        <v>Active</v>
      </c>
      <c r="R420" s="5">
        <f ca="1">IF(Table1[[#This Row],[Subscription_End_Date]]="", DATEDIF(Table1[[#This Row],[Subscription_Start_Date]], TODAY(), "m"),
DATEDIF(Table1[[#This Row],[Subscription_Start_Date]], Table1[[#This Row],[Subscription_End_Date]], "m"))</f>
        <v>13</v>
      </c>
      <c r="S420" s="2">
        <f ca="1">Table1[[#This Row],[Monthly_Spend]] * Table1[[#This Row],[Customer Lifetime(Months)]]</f>
        <v>260000</v>
      </c>
    </row>
    <row r="421" spans="1:19" x14ac:dyDescent="0.35">
      <c r="A421" t="s">
        <v>439</v>
      </c>
      <c r="B421" t="s">
        <v>27</v>
      </c>
      <c r="C421" s="1">
        <v>45557</v>
      </c>
      <c r="E421" t="s">
        <v>23</v>
      </c>
      <c r="F421" s="2">
        <v>5000</v>
      </c>
      <c r="G421">
        <v>6</v>
      </c>
      <c r="H421">
        <v>18</v>
      </c>
      <c r="I421" t="s">
        <v>12</v>
      </c>
      <c r="J421">
        <f>IF(Table1[[#This Row],[Status]]="Churned",1,0)</f>
        <v>0</v>
      </c>
      <c r="K421">
        <f t="shared" si="30"/>
        <v>0.17171717171717171</v>
      </c>
      <c r="L421">
        <f t="shared" si="31"/>
        <v>0.88</v>
      </c>
      <c r="M421" s="5">
        <f t="shared" si="32"/>
        <v>0</v>
      </c>
      <c r="N421" s="5">
        <f t="shared" si="33"/>
        <v>0.47434343434343434</v>
      </c>
      <c r="O421" s="5" t="str">
        <f t="shared" si="34"/>
        <v>At-Risk</v>
      </c>
      <c r="P421" s="5">
        <f>IF(Table1[[#This Row],[Health Status]]="Churned",0,1)</f>
        <v>1</v>
      </c>
      <c r="Q421" s="5" t="str">
        <f>IF(Table1[[#This Row],[Subscription_End_Date]]="", "Active", "Churned")</f>
        <v>Active</v>
      </c>
      <c r="R421" s="5">
        <f ca="1">IF(Table1[[#This Row],[Subscription_End_Date]]="", DATEDIF(Table1[[#This Row],[Subscription_Start_Date]], TODAY(), "m"),
DATEDIF(Table1[[#This Row],[Subscription_Start_Date]], Table1[[#This Row],[Subscription_End_Date]], "m"))</f>
        <v>13</v>
      </c>
      <c r="S421" s="2">
        <f ca="1">Table1[[#This Row],[Monthly_Spend]] * Table1[[#This Row],[Customer Lifetime(Months)]]</f>
        <v>65000</v>
      </c>
    </row>
    <row r="422" spans="1:19" x14ac:dyDescent="0.35">
      <c r="A422" t="s">
        <v>440</v>
      </c>
      <c r="B422" t="s">
        <v>10</v>
      </c>
      <c r="C422" s="1">
        <v>45320</v>
      </c>
      <c r="E422" t="s">
        <v>16</v>
      </c>
      <c r="F422" s="2">
        <v>20000</v>
      </c>
      <c r="G422">
        <v>50</v>
      </c>
      <c r="H422">
        <v>18</v>
      </c>
      <c r="I422" t="s">
        <v>17</v>
      </c>
      <c r="J422">
        <f>IF(Table1[[#This Row],[Status]]="Churned",1,0)</f>
        <v>0</v>
      </c>
      <c r="K422">
        <f t="shared" si="30"/>
        <v>0.17171717171717171</v>
      </c>
      <c r="L422">
        <f t="shared" si="31"/>
        <v>0</v>
      </c>
      <c r="M422" s="5">
        <f t="shared" si="32"/>
        <v>0.15789473684210525</v>
      </c>
      <c r="N422" s="5">
        <f t="shared" si="33"/>
        <v>3.4343434343434343E-2</v>
      </c>
      <c r="O422" s="5" t="str">
        <f t="shared" si="34"/>
        <v>At-Risk</v>
      </c>
      <c r="P422" s="5">
        <f>IF(Table1[[#This Row],[Health Status]]="Churned",0,1)</f>
        <v>1</v>
      </c>
      <c r="Q422" s="5" t="str">
        <f>IF(Table1[[#This Row],[Subscription_End_Date]]="", "Active", "Churned")</f>
        <v>Active</v>
      </c>
      <c r="R422" s="5">
        <f ca="1">IF(Table1[[#This Row],[Subscription_End_Date]]="", DATEDIF(Table1[[#This Row],[Subscription_Start_Date]], TODAY(), "m"),
DATEDIF(Table1[[#This Row],[Subscription_Start_Date]], Table1[[#This Row],[Subscription_End_Date]], "m"))</f>
        <v>21</v>
      </c>
      <c r="S422" s="2">
        <f ca="1">Table1[[#This Row],[Monthly_Spend]] * Table1[[#This Row],[Customer Lifetime(Months)]]</f>
        <v>420000</v>
      </c>
    </row>
    <row r="423" spans="1:19" x14ac:dyDescent="0.35">
      <c r="A423" t="s">
        <v>441</v>
      </c>
      <c r="B423" t="s">
        <v>27</v>
      </c>
      <c r="C423" s="1">
        <v>45587</v>
      </c>
      <c r="D423" s="1">
        <v>46183</v>
      </c>
      <c r="E423" t="s">
        <v>23</v>
      </c>
      <c r="F423" s="2">
        <v>100000</v>
      </c>
      <c r="G423">
        <v>38</v>
      </c>
      <c r="H423">
        <v>93</v>
      </c>
      <c r="I423" t="s">
        <v>28</v>
      </c>
      <c r="J423">
        <f>IF(Table1[[#This Row],[Status]]="Churned",1,0)</f>
        <v>1</v>
      </c>
      <c r="K423">
        <f t="shared" si="30"/>
        <v>0.92929292929292928</v>
      </c>
      <c r="L423">
        <f t="shared" si="31"/>
        <v>0.24</v>
      </c>
      <c r="M423" s="5">
        <f t="shared" si="32"/>
        <v>1</v>
      </c>
      <c r="N423" s="5">
        <f t="shared" si="33"/>
        <v>0.60585858585858587</v>
      </c>
      <c r="O423" s="5" t="str">
        <f t="shared" si="34"/>
        <v>Churned</v>
      </c>
      <c r="P423" s="5">
        <f>IF(Table1[[#This Row],[Health Status]]="Churned",0,1)</f>
        <v>0</v>
      </c>
      <c r="Q423" s="5" t="str">
        <f>IF(Table1[[#This Row],[Subscription_End_Date]]="", "Active", "Churned")</f>
        <v>Churned</v>
      </c>
      <c r="R423" s="5">
        <f ca="1">IF(Table1[[#This Row],[Subscription_End_Date]]="", DATEDIF(Table1[[#This Row],[Subscription_Start_Date]], TODAY(), "m"),
DATEDIF(Table1[[#This Row],[Subscription_Start_Date]], Table1[[#This Row],[Subscription_End_Date]], "m"))</f>
        <v>19</v>
      </c>
      <c r="S423" s="2">
        <f ca="1">Table1[[#This Row],[Monthly_Spend]] * Table1[[#This Row],[Customer Lifetime(Months)]]</f>
        <v>1900000</v>
      </c>
    </row>
    <row r="424" spans="1:19" x14ac:dyDescent="0.35">
      <c r="A424" t="s">
        <v>442</v>
      </c>
      <c r="B424" t="s">
        <v>14</v>
      </c>
      <c r="C424" s="1">
        <v>45634</v>
      </c>
      <c r="D424" s="1">
        <v>46338</v>
      </c>
      <c r="E424" t="s">
        <v>23</v>
      </c>
      <c r="F424" s="2">
        <v>20000</v>
      </c>
      <c r="G424">
        <v>13</v>
      </c>
      <c r="H424">
        <v>67</v>
      </c>
      <c r="I424" t="s">
        <v>28</v>
      </c>
      <c r="J424">
        <f>IF(Table1[[#This Row],[Status]]="Churned",1,0)</f>
        <v>1</v>
      </c>
      <c r="K424">
        <f t="shared" si="30"/>
        <v>0.66666666666666663</v>
      </c>
      <c r="L424">
        <f t="shared" si="31"/>
        <v>0.74</v>
      </c>
      <c r="M424" s="5">
        <f t="shared" si="32"/>
        <v>0.15789473684210525</v>
      </c>
      <c r="N424" s="5">
        <f t="shared" si="33"/>
        <v>0.80333333333333334</v>
      </c>
      <c r="O424" s="5" t="str">
        <f t="shared" si="34"/>
        <v>Churned</v>
      </c>
      <c r="P424" s="5">
        <f>IF(Table1[[#This Row],[Health Status]]="Churned",0,1)</f>
        <v>0</v>
      </c>
      <c r="Q424" s="5" t="str">
        <f>IF(Table1[[#This Row],[Subscription_End_Date]]="", "Active", "Churned")</f>
        <v>Churned</v>
      </c>
      <c r="R424" s="5">
        <f ca="1">IF(Table1[[#This Row],[Subscription_End_Date]]="", DATEDIF(Table1[[#This Row],[Subscription_Start_Date]], TODAY(), "m"),
DATEDIF(Table1[[#This Row],[Subscription_Start_Date]], Table1[[#This Row],[Subscription_End_Date]], "m"))</f>
        <v>23</v>
      </c>
      <c r="S424" s="2">
        <f ca="1">Table1[[#This Row],[Monthly_Spend]] * Table1[[#This Row],[Customer Lifetime(Months)]]</f>
        <v>460000</v>
      </c>
    </row>
    <row r="425" spans="1:19" x14ac:dyDescent="0.35">
      <c r="A425" t="s">
        <v>443</v>
      </c>
      <c r="B425" t="s">
        <v>14</v>
      </c>
      <c r="C425" s="1">
        <v>45120</v>
      </c>
      <c r="E425" t="s">
        <v>16</v>
      </c>
      <c r="F425" s="2">
        <v>5000</v>
      </c>
      <c r="G425">
        <v>50</v>
      </c>
      <c r="H425">
        <v>31</v>
      </c>
      <c r="I425" t="s">
        <v>17</v>
      </c>
      <c r="J425">
        <f>IF(Table1[[#This Row],[Status]]="Churned",1,0)</f>
        <v>0</v>
      </c>
      <c r="K425">
        <f t="shared" si="30"/>
        <v>0.30303030303030304</v>
      </c>
      <c r="L425">
        <f t="shared" si="31"/>
        <v>0</v>
      </c>
      <c r="M425" s="5">
        <f t="shared" si="32"/>
        <v>0</v>
      </c>
      <c r="N425" s="5">
        <f t="shared" si="33"/>
        <v>6.0606060606060608E-2</v>
      </c>
      <c r="O425" s="5" t="str">
        <f t="shared" si="34"/>
        <v>At-Risk</v>
      </c>
      <c r="P425" s="5">
        <f>IF(Table1[[#This Row],[Health Status]]="Churned",0,1)</f>
        <v>1</v>
      </c>
      <c r="Q425" s="5" t="str">
        <f>IF(Table1[[#This Row],[Subscription_End_Date]]="", "Active", "Churned")</f>
        <v>Active</v>
      </c>
      <c r="R425" s="5">
        <f ca="1">IF(Table1[[#This Row],[Subscription_End_Date]]="", DATEDIF(Table1[[#This Row],[Subscription_Start_Date]], TODAY(), "m"),
DATEDIF(Table1[[#This Row],[Subscription_Start_Date]], Table1[[#This Row],[Subscription_End_Date]], "m"))</f>
        <v>27</v>
      </c>
      <c r="S425" s="2">
        <f ca="1">Table1[[#This Row],[Monthly_Spend]] * Table1[[#This Row],[Customer Lifetime(Months)]]</f>
        <v>135000</v>
      </c>
    </row>
    <row r="426" spans="1:19" x14ac:dyDescent="0.35">
      <c r="A426" t="s">
        <v>444</v>
      </c>
      <c r="B426" t="s">
        <v>31</v>
      </c>
      <c r="C426" s="1">
        <v>45042</v>
      </c>
      <c r="E426" t="s">
        <v>23</v>
      </c>
      <c r="F426" s="2">
        <v>100000</v>
      </c>
      <c r="G426">
        <v>0</v>
      </c>
      <c r="H426">
        <v>47</v>
      </c>
      <c r="I426" t="s">
        <v>12</v>
      </c>
      <c r="J426">
        <f>IF(Table1[[#This Row],[Status]]="Churned",1,0)</f>
        <v>0</v>
      </c>
      <c r="K426">
        <f t="shared" si="30"/>
        <v>0.46464646464646464</v>
      </c>
      <c r="L426">
        <f t="shared" si="31"/>
        <v>1</v>
      </c>
      <c r="M426" s="5">
        <f t="shared" si="32"/>
        <v>1</v>
      </c>
      <c r="N426" s="5">
        <f t="shared" si="33"/>
        <v>0.59292929292929297</v>
      </c>
      <c r="O426" s="5" t="str">
        <f t="shared" si="34"/>
        <v>Healthy</v>
      </c>
      <c r="P426" s="5">
        <f>IF(Table1[[#This Row],[Health Status]]="Churned",0,1)</f>
        <v>1</v>
      </c>
      <c r="Q426" s="5" t="str">
        <f>IF(Table1[[#This Row],[Subscription_End_Date]]="", "Active", "Churned")</f>
        <v>Active</v>
      </c>
      <c r="R426" s="5">
        <f ca="1">IF(Table1[[#This Row],[Subscription_End_Date]]="", DATEDIF(Table1[[#This Row],[Subscription_Start_Date]], TODAY(), "m"),
DATEDIF(Table1[[#This Row],[Subscription_Start_Date]], Table1[[#This Row],[Subscription_End_Date]], "m"))</f>
        <v>30</v>
      </c>
      <c r="S426" s="2">
        <f ca="1">Table1[[#This Row],[Monthly_Spend]] * Table1[[#This Row],[Customer Lifetime(Months)]]</f>
        <v>3000000</v>
      </c>
    </row>
    <row r="427" spans="1:19" x14ac:dyDescent="0.35">
      <c r="A427" t="s">
        <v>445</v>
      </c>
      <c r="B427" t="s">
        <v>19</v>
      </c>
      <c r="C427" s="1">
        <v>45323</v>
      </c>
      <c r="E427" t="s">
        <v>11</v>
      </c>
      <c r="F427" s="2">
        <v>20000</v>
      </c>
      <c r="G427">
        <v>34</v>
      </c>
      <c r="H427">
        <v>88</v>
      </c>
      <c r="I427" t="s">
        <v>17</v>
      </c>
      <c r="J427">
        <f>IF(Table1[[#This Row],[Status]]="Churned",1,0)</f>
        <v>0</v>
      </c>
      <c r="K427">
        <f t="shared" si="30"/>
        <v>0.87878787878787878</v>
      </c>
      <c r="L427">
        <f t="shared" si="31"/>
        <v>0.31999999999999995</v>
      </c>
      <c r="M427" s="5">
        <f t="shared" si="32"/>
        <v>0.15789473684210525</v>
      </c>
      <c r="N427" s="5">
        <f t="shared" si="33"/>
        <v>0.33575757575757575</v>
      </c>
      <c r="O427" s="5" t="str">
        <f t="shared" si="34"/>
        <v>At-Risk</v>
      </c>
      <c r="P427" s="5">
        <f>IF(Table1[[#This Row],[Health Status]]="Churned",0,1)</f>
        <v>1</v>
      </c>
      <c r="Q427" s="5" t="str">
        <f>IF(Table1[[#This Row],[Subscription_End_Date]]="", "Active", "Churned")</f>
        <v>Active</v>
      </c>
      <c r="R427" s="5">
        <f ca="1">IF(Table1[[#This Row],[Subscription_End_Date]]="", DATEDIF(Table1[[#This Row],[Subscription_Start_Date]], TODAY(), "m"),
DATEDIF(Table1[[#This Row],[Subscription_Start_Date]], Table1[[#This Row],[Subscription_End_Date]], "m"))</f>
        <v>20</v>
      </c>
      <c r="S427" s="2">
        <f ca="1">Table1[[#This Row],[Monthly_Spend]] * Table1[[#This Row],[Customer Lifetime(Months)]]</f>
        <v>400000</v>
      </c>
    </row>
    <row r="428" spans="1:19" x14ac:dyDescent="0.35">
      <c r="A428" t="s">
        <v>446</v>
      </c>
      <c r="B428" t="s">
        <v>27</v>
      </c>
      <c r="C428" s="1">
        <v>45001</v>
      </c>
      <c r="D428" s="1">
        <v>45100</v>
      </c>
      <c r="E428" t="s">
        <v>23</v>
      </c>
      <c r="F428" s="2">
        <v>5000</v>
      </c>
      <c r="G428">
        <v>16</v>
      </c>
      <c r="H428">
        <v>28</v>
      </c>
      <c r="I428" t="s">
        <v>28</v>
      </c>
      <c r="J428">
        <f>IF(Table1[[#This Row],[Status]]="Churned",1,0)</f>
        <v>1</v>
      </c>
      <c r="K428">
        <f t="shared" si="30"/>
        <v>0.27272727272727271</v>
      </c>
      <c r="L428">
        <f t="shared" si="31"/>
        <v>0.67999999999999994</v>
      </c>
      <c r="M428" s="5">
        <f t="shared" si="32"/>
        <v>0</v>
      </c>
      <c r="N428" s="5">
        <f t="shared" si="33"/>
        <v>0.69454545454545458</v>
      </c>
      <c r="O428" s="5" t="str">
        <f t="shared" si="34"/>
        <v>Churned</v>
      </c>
      <c r="P428" s="5">
        <f>IF(Table1[[#This Row],[Health Status]]="Churned",0,1)</f>
        <v>0</v>
      </c>
      <c r="Q428" s="5" t="str">
        <f>IF(Table1[[#This Row],[Subscription_End_Date]]="", "Active", "Churned")</f>
        <v>Churned</v>
      </c>
      <c r="R428" s="5">
        <f ca="1">IF(Table1[[#This Row],[Subscription_End_Date]]="", DATEDIF(Table1[[#This Row],[Subscription_Start_Date]], TODAY(), "m"),
DATEDIF(Table1[[#This Row],[Subscription_Start_Date]], Table1[[#This Row],[Subscription_End_Date]], "m"))</f>
        <v>3</v>
      </c>
      <c r="S428" s="2">
        <f ca="1">Table1[[#This Row],[Monthly_Spend]] * Table1[[#This Row],[Customer Lifetime(Months)]]</f>
        <v>15000</v>
      </c>
    </row>
    <row r="429" spans="1:19" x14ac:dyDescent="0.35">
      <c r="A429" t="s">
        <v>447</v>
      </c>
      <c r="B429" t="s">
        <v>10</v>
      </c>
      <c r="C429" s="1">
        <v>45334</v>
      </c>
      <c r="E429" t="s">
        <v>11</v>
      </c>
      <c r="F429" s="2">
        <v>50000</v>
      </c>
      <c r="G429">
        <v>44</v>
      </c>
      <c r="H429">
        <v>52</v>
      </c>
      <c r="I429" t="s">
        <v>17</v>
      </c>
      <c r="J429">
        <f>IF(Table1[[#This Row],[Status]]="Churned",1,0)</f>
        <v>0</v>
      </c>
      <c r="K429">
        <f t="shared" si="30"/>
        <v>0.51515151515151514</v>
      </c>
      <c r="L429">
        <f t="shared" si="31"/>
        <v>0.12</v>
      </c>
      <c r="M429" s="5">
        <f t="shared" si="32"/>
        <v>0.47368421052631576</v>
      </c>
      <c r="N429" s="5">
        <f t="shared" si="33"/>
        <v>0.16303030303030303</v>
      </c>
      <c r="O429" s="5" t="str">
        <f t="shared" si="34"/>
        <v>At-Risk</v>
      </c>
      <c r="P429" s="5">
        <f>IF(Table1[[#This Row],[Health Status]]="Churned",0,1)</f>
        <v>1</v>
      </c>
      <c r="Q429" s="5" t="str">
        <f>IF(Table1[[#This Row],[Subscription_End_Date]]="", "Active", "Churned")</f>
        <v>Active</v>
      </c>
      <c r="R429" s="5">
        <f ca="1">IF(Table1[[#This Row],[Subscription_End_Date]]="", DATEDIF(Table1[[#This Row],[Subscription_Start_Date]], TODAY(), "m"),
DATEDIF(Table1[[#This Row],[Subscription_Start_Date]], Table1[[#This Row],[Subscription_End_Date]], "m"))</f>
        <v>20</v>
      </c>
      <c r="S429" s="2">
        <f ca="1">Table1[[#This Row],[Monthly_Spend]] * Table1[[#This Row],[Customer Lifetime(Months)]]</f>
        <v>1000000</v>
      </c>
    </row>
    <row r="430" spans="1:19" x14ac:dyDescent="0.35">
      <c r="A430" t="s">
        <v>448</v>
      </c>
      <c r="B430" t="s">
        <v>10</v>
      </c>
      <c r="C430" s="1">
        <v>45476</v>
      </c>
      <c r="E430" t="s">
        <v>16</v>
      </c>
      <c r="F430" s="2">
        <v>20000</v>
      </c>
      <c r="G430">
        <v>5</v>
      </c>
      <c r="H430">
        <v>40</v>
      </c>
      <c r="I430" t="s">
        <v>12</v>
      </c>
      <c r="J430">
        <f>IF(Table1[[#This Row],[Status]]="Churned",1,0)</f>
        <v>0</v>
      </c>
      <c r="K430">
        <f t="shared" si="30"/>
        <v>0.39393939393939392</v>
      </c>
      <c r="L430">
        <f t="shared" si="31"/>
        <v>0.9</v>
      </c>
      <c r="M430" s="5">
        <f t="shared" si="32"/>
        <v>0.15789473684210525</v>
      </c>
      <c r="N430" s="5">
        <f t="shared" si="33"/>
        <v>0.52878787878787881</v>
      </c>
      <c r="O430" s="5" t="str">
        <f t="shared" si="34"/>
        <v>At-Risk</v>
      </c>
      <c r="P430" s="5">
        <f>IF(Table1[[#This Row],[Health Status]]="Churned",0,1)</f>
        <v>1</v>
      </c>
      <c r="Q430" s="5" t="str">
        <f>IF(Table1[[#This Row],[Subscription_End_Date]]="", "Active", "Churned")</f>
        <v>Active</v>
      </c>
      <c r="R430" s="5">
        <f ca="1">IF(Table1[[#This Row],[Subscription_End_Date]]="", DATEDIF(Table1[[#This Row],[Subscription_Start_Date]], TODAY(), "m"),
DATEDIF(Table1[[#This Row],[Subscription_Start_Date]], Table1[[#This Row],[Subscription_End_Date]], "m"))</f>
        <v>15</v>
      </c>
      <c r="S430" s="2">
        <f ca="1">Table1[[#This Row],[Monthly_Spend]] * Table1[[#This Row],[Customer Lifetime(Months)]]</f>
        <v>300000</v>
      </c>
    </row>
    <row r="431" spans="1:19" x14ac:dyDescent="0.35">
      <c r="A431" t="s">
        <v>449</v>
      </c>
      <c r="B431" t="s">
        <v>10</v>
      </c>
      <c r="C431" s="1">
        <v>45135</v>
      </c>
      <c r="E431" t="s">
        <v>16</v>
      </c>
      <c r="F431" s="2">
        <v>100000</v>
      </c>
      <c r="G431">
        <v>20</v>
      </c>
      <c r="H431">
        <v>51</v>
      </c>
      <c r="I431" t="s">
        <v>12</v>
      </c>
      <c r="J431">
        <f>IF(Table1[[#This Row],[Status]]="Churned",1,0)</f>
        <v>0</v>
      </c>
      <c r="K431">
        <f t="shared" si="30"/>
        <v>0.50505050505050508</v>
      </c>
      <c r="L431">
        <f t="shared" si="31"/>
        <v>0.6</v>
      </c>
      <c r="M431" s="5">
        <f t="shared" si="32"/>
        <v>1</v>
      </c>
      <c r="N431" s="5">
        <f t="shared" si="33"/>
        <v>0.40101010101010104</v>
      </c>
      <c r="O431" s="5" t="str">
        <f t="shared" si="34"/>
        <v>Healthy</v>
      </c>
      <c r="P431" s="5">
        <f>IF(Table1[[#This Row],[Health Status]]="Churned",0,1)</f>
        <v>1</v>
      </c>
      <c r="Q431" s="5" t="str">
        <f>IF(Table1[[#This Row],[Subscription_End_Date]]="", "Active", "Churned")</f>
        <v>Active</v>
      </c>
      <c r="R431" s="5">
        <f ca="1">IF(Table1[[#This Row],[Subscription_End_Date]]="", DATEDIF(Table1[[#This Row],[Subscription_Start_Date]], TODAY(), "m"),
DATEDIF(Table1[[#This Row],[Subscription_Start_Date]], Table1[[#This Row],[Subscription_End_Date]], "m"))</f>
        <v>27</v>
      </c>
      <c r="S431" s="2">
        <f ca="1">Table1[[#This Row],[Monthly_Spend]] * Table1[[#This Row],[Customer Lifetime(Months)]]</f>
        <v>2700000</v>
      </c>
    </row>
    <row r="432" spans="1:19" x14ac:dyDescent="0.35">
      <c r="A432" t="s">
        <v>450</v>
      </c>
      <c r="B432" t="s">
        <v>14</v>
      </c>
      <c r="C432" s="1">
        <v>45592</v>
      </c>
      <c r="E432" t="s">
        <v>16</v>
      </c>
      <c r="F432" s="2">
        <v>20000</v>
      </c>
      <c r="G432">
        <v>44</v>
      </c>
      <c r="H432">
        <v>56</v>
      </c>
      <c r="I432" t="s">
        <v>12</v>
      </c>
      <c r="J432">
        <f>IF(Table1[[#This Row],[Status]]="Churned",1,0)</f>
        <v>0</v>
      </c>
      <c r="K432">
        <f t="shared" si="30"/>
        <v>0.55555555555555558</v>
      </c>
      <c r="L432">
        <f t="shared" si="31"/>
        <v>0.12</v>
      </c>
      <c r="M432" s="5">
        <f t="shared" si="32"/>
        <v>0.15789473684210525</v>
      </c>
      <c r="N432" s="5">
        <f t="shared" si="33"/>
        <v>0.1711111111111111</v>
      </c>
      <c r="O432" s="5" t="str">
        <f t="shared" si="34"/>
        <v>At-Risk</v>
      </c>
      <c r="P432" s="5">
        <f>IF(Table1[[#This Row],[Health Status]]="Churned",0,1)</f>
        <v>1</v>
      </c>
      <c r="Q432" s="5" t="str">
        <f>IF(Table1[[#This Row],[Subscription_End_Date]]="", "Active", "Churned")</f>
        <v>Active</v>
      </c>
      <c r="R432" s="5">
        <f ca="1">IF(Table1[[#This Row],[Subscription_End_Date]]="", DATEDIF(Table1[[#This Row],[Subscription_Start_Date]], TODAY(), "m"),
DATEDIF(Table1[[#This Row],[Subscription_Start_Date]], Table1[[#This Row],[Subscription_End_Date]], "m"))</f>
        <v>12</v>
      </c>
      <c r="S432" s="2">
        <f ca="1">Table1[[#This Row],[Monthly_Spend]] * Table1[[#This Row],[Customer Lifetime(Months)]]</f>
        <v>240000</v>
      </c>
    </row>
    <row r="433" spans="1:19" x14ac:dyDescent="0.35">
      <c r="A433" t="s">
        <v>451</v>
      </c>
      <c r="B433" t="s">
        <v>27</v>
      </c>
      <c r="C433" s="1">
        <v>45177</v>
      </c>
      <c r="E433" t="s">
        <v>11</v>
      </c>
      <c r="F433" s="2">
        <v>5000</v>
      </c>
      <c r="G433">
        <v>29</v>
      </c>
      <c r="H433">
        <v>79</v>
      </c>
      <c r="I433" t="s">
        <v>17</v>
      </c>
      <c r="J433">
        <f>IF(Table1[[#This Row],[Status]]="Churned",1,0)</f>
        <v>0</v>
      </c>
      <c r="K433">
        <f t="shared" si="30"/>
        <v>0.78787878787878785</v>
      </c>
      <c r="L433">
        <f t="shared" si="31"/>
        <v>0.42000000000000004</v>
      </c>
      <c r="M433" s="5">
        <f t="shared" si="32"/>
        <v>0</v>
      </c>
      <c r="N433" s="5">
        <f t="shared" si="33"/>
        <v>0.36757575757575761</v>
      </c>
      <c r="O433" s="5" t="str">
        <f t="shared" si="34"/>
        <v>At-Risk</v>
      </c>
      <c r="P433" s="5">
        <f>IF(Table1[[#This Row],[Health Status]]="Churned",0,1)</f>
        <v>1</v>
      </c>
      <c r="Q433" s="5" t="str">
        <f>IF(Table1[[#This Row],[Subscription_End_Date]]="", "Active", "Churned")</f>
        <v>Active</v>
      </c>
      <c r="R433" s="5">
        <f ca="1">IF(Table1[[#This Row],[Subscription_End_Date]]="", DATEDIF(Table1[[#This Row],[Subscription_Start_Date]], TODAY(), "m"),
DATEDIF(Table1[[#This Row],[Subscription_Start_Date]], Table1[[#This Row],[Subscription_End_Date]], "m"))</f>
        <v>25</v>
      </c>
      <c r="S433" s="2">
        <f ca="1">Table1[[#This Row],[Monthly_Spend]] * Table1[[#This Row],[Customer Lifetime(Months)]]</f>
        <v>125000</v>
      </c>
    </row>
    <row r="434" spans="1:19" x14ac:dyDescent="0.35">
      <c r="A434" t="s">
        <v>452</v>
      </c>
      <c r="B434" t="s">
        <v>14</v>
      </c>
      <c r="C434" s="1">
        <v>45243</v>
      </c>
      <c r="E434" t="s">
        <v>11</v>
      </c>
      <c r="F434" s="2">
        <v>5000</v>
      </c>
      <c r="G434">
        <v>0</v>
      </c>
      <c r="H434">
        <v>91</v>
      </c>
      <c r="I434" t="s">
        <v>12</v>
      </c>
      <c r="J434">
        <f>IF(Table1[[#This Row],[Status]]="Churned",1,0)</f>
        <v>0</v>
      </c>
      <c r="K434">
        <f t="shared" si="30"/>
        <v>0.90909090909090906</v>
      </c>
      <c r="L434">
        <f t="shared" si="31"/>
        <v>1</v>
      </c>
      <c r="M434" s="5">
        <f t="shared" si="32"/>
        <v>0</v>
      </c>
      <c r="N434" s="5">
        <f t="shared" si="33"/>
        <v>0.68181818181818188</v>
      </c>
      <c r="O434" s="5" t="str">
        <f t="shared" si="34"/>
        <v>At-Risk</v>
      </c>
      <c r="P434" s="5">
        <f>IF(Table1[[#This Row],[Health Status]]="Churned",0,1)</f>
        <v>1</v>
      </c>
      <c r="Q434" s="5" t="str">
        <f>IF(Table1[[#This Row],[Subscription_End_Date]]="", "Active", "Churned")</f>
        <v>Active</v>
      </c>
      <c r="R434" s="5">
        <f ca="1">IF(Table1[[#This Row],[Subscription_End_Date]]="", DATEDIF(Table1[[#This Row],[Subscription_Start_Date]], TODAY(), "m"),
DATEDIF(Table1[[#This Row],[Subscription_Start_Date]], Table1[[#This Row],[Subscription_End_Date]], "m"))</f>
        <v>23</v>
      </c>
      <c r="S434" s="2">
        <f ca="1">Table1[[#This Row],[Monthly_Spend]] * Table1[[#This Row],[Customer Lifetime(Months)]]</f>
        <v>115000</v>
      </c>
    </row>
    <row r="435" spans="1:19" x14ac:dyDescent="0.35">
      <c r="A435" t="s">
        <v>453</v>
      </c>
      <c r="B435" t="s">
        <v>27</v>
      </c>
      <c r="C435" s="1">
        <v>44938</v>
      </c>
      <c r="D435" s="1">
        <v>45323</v>
      </c>
      <c r="E435" t="s">
        <v>16</v>
      </c>
      <c r="F435" s="2">
        <v>100000</v>
      </c>
      <c r="G435">
        <v>33</v>
      </c>
      <c r="H435">
        <v>93</v>
      </c>
      <c r="I435" t="s">
        <v>28</v>
      </c>
      <c r="J435">
        <f>IF(Table1[[#This Row],[Status]]="Churned",1,0)</f>
        <v>1</v>
      </c>
      <c r="K435">
        <f t="shared" si="30"/>
        <v>0.92929292929292928</v>
      </c>
      <c r="L435">
        <f t="shared" si="31"/>
        <v>0.33999999999999997</v>
      </c>
      <c r="M435" s="5">
        <f t="shared" si="32"/>
        <v>1</v>
      </c>
      <c r="N435" s="5">
        <f t="shared" si="33"/>
        <v>0.65585858585858592</v>
      </c>
      <c r="O435" s="5" t="str">
        <f t="shared" si="34"/>
        <v>Churned</v>
      </c>
      <c r="P435" s="5">
        <f>IF(Table1[[#This Row],[Health Status]]="Churned",0,1)</f>
        <v>0</v>
      </c>
      <c r="Q435" s="5" t="str">
        <f>IF(Table1[[#This Row],[Subscription_End_Date]]="", "Active", "Churned")</f>
        <v>Churned</v>
      </c>
      <c r="R435" s="5">
        <f ca="1">IF(Table1[[#This Row],[Subscription_End_Date]]="", DATEDIF(Table1[[#This Row],[Subscription_Start_Date]], TODAY(), "m"),
DATEDIF(Table1[[#This Row],[Subscription_Start_Date]], Table1[[#This Row],[Subscription_End_Date]], "m"))</f>
        <v>12</v>
      </c>
      <c r="S435" s="2">
        <f ca="1">Table1[[#This Row],[Monthly_Spend]] * Table1[[#This Row],[Customer Lifetime(Months)]]</f>
        <v>1200000</v>
      </c>
    </row>
    <row r="436" spans="1:19" x14ac:dyDescent="0.35">
      <c r="A436" t="s">
        <v>454</v>
      </c>
      <c r="B436" t="s">
        <v>19</v>
      </c>
      <c r="C436" s="1">
        <v>45307</v>
      </c>
      <c r="E436" t="s">
        <v>11</v>
      </c>
      <c r="F436" s="2">
        <v>5000</v>
      </c>
      <c r="G436">
        <v>49</v>
      </c>
      <c r="H436">
        <v>4</v>
      </c>
      <c r="I436" t="s">
        <v>17</v>
      </c>
      <c r="J436">
        <f>IF(Table1[[#This Row],[Status]]="Churned",1,0)</f>
        <v>0</v>
      </c>
      <c r="K436">
        <f t="shared" si="30"/>
        <v>3.0303030303030304E-2</v>
      </c>
      <c r="L436">
        <f t="shared" si="31"/>
        <v>2.0000000000000018E-2</v>
      </c>
      <c r="M436" s="5">
        <f t="shared" si="32"/>
        <v>0</v>
      </c>
      <c r="N436" s="5">
        <f t="shared" si="33"/>
        <v>1.606060606060607E-2</v>
      </c>
      <c r="O436" s="5" t="str">
        <f t="shared" si="34"/>
        <v>At-Risk</v>
      </c>
      <c r="P436" s="5">
        <f>IF(Table1[[#This Row],[Health Status]]="Churned",0,1)</f>
        <v>1</v>
      </c>
      <c r="Q436" s="5" t="str">
        <f>IF(Table1[[#This Row],[Subscription_End_Date]]="", "Active", "Churned")</f>
        <v>Active</v>
      </c>
      <c r="R436" s="5">
        <f ca="1">IF(Table1[[#This Row],[Subscription_End_Date]]="", DATEDIF(Table1[[#This Row],[Subscription_Start_Date]], TODAY(), "m"),
DATEDIF(Table1[[#This Row],[Subscription_Start_Date]], Table1[[#This Row],[Subscription_End_Date]], "m"))</f>
        <v>21</v>
      </c>
      <c r="S436" s="2">
        <f ca="1">Table1[[#This Row],[Monthly_Spend]] * Table1[[#This Row],[Customer Lifetime(Months)]]</f>
        <v>105000</v>
      </c>
    </row>
    <row r="437" spans="1:19" x14ac:dyDescent="0.35">
      <c r="A437" t="s">
        <v>455</v>
      </c>
      <c r="B437" t="s">
        <v>19</v>
      </c>
      <c r="C437" s="1">
        <v>45205</v>
      </c>
      <c r="E437" t="s">
        <v>23</v>
      </c>
      <c r="F437" s="2">
        <v>100000</v>
      </c>
      <c r="G437">
        <v>40</v>
      </c>
      <c r="H437">
        <v>10</v>
      </c>
      <c r="I437" t="s">
        <v>17</v>
      </c>
      <c r="J437">
        <f>IF(Table1[[#This Row],[Status]]="Churned",1,0)</f>
        <v>0</v>
      </c>
      <c r="K437">
        <f t="shared" si="30"/>
        <v>9.0909090909090912E-2</v>
      </c>
      <c r="L437">
        <f t="shared" si="31"/>
        <v>0.19999999999999996</v>
      </c>
      <c r="M437" s="5">
        <f t="shared" si="32"/>
        <v>1</v>
      </c>
      <c r="N437" s="5">
        <f t="shared" si="33"/>
        <v>0.11818181818181817</v>
      </c>
      <c r="O437" s="5" t="str">
        <f t="shared" si="34"/>
        <v>Healthy</v>
      </c>
      <c r="P437" s="5">
        <f>IF(Table1[[#This Row],[Health Status]]="Churned",0,1)</f>
        <v>1</v>
      </c>
      <c r="Q437" s="5" t="str">
        <f>IF(Table1[[#This Row],[Subscription_End_Date]]="", "Active", "Churned")</f>
        <v>Active</v>
      </c>
      <c r="R437" s="5">
        <f ca="1">IF(Table1[[#This Row],[Subscription_End_Date]]="", DATEDIF(Table1[[#This Row],[Subscription_Start_Date]], TODAY(), "m"),
DATEDIF(Table1[[#This Row],[Subscription_Start_Date]], Table1[[#This Row],[Subscription_End_Date]], "m"))</f>
        <v>24</v>
      </c>
      <c r="S437" s="2">
        <f ca="1">Table1[[#This Row],[Monthly_Spend]] * Table1[[#This Row],[Customer Lifetime(Months)]]</f>
        <v>2400000</v>
      </c>
    </row>
    <row r="438" spans="1:19" x14ac:dyDescent="0.35">
      <c r="A438" t="s">
        <v>456</v>
      </c>
      <c r="B438" t="s">
        <v>31</v>
      </c>
      <c r="C438" s="1">
        <v>45450</v>
      </c>
      <c r="E438" t="s">
        <v>23</v>
      </c>
      <c r="F438" s="2">
        <v>100000</v>
      </c>
      <c r="G438">
        <v>10</v>
      </c>
      <c r="H438">
        <v>48</v>
      </c>
      <c r="I438" t="s">
        <v>17</v>
      </c>
      <c r="J438">
        <f>IF(Table1[[#This Row],[Status]]="Churned",1,0)</f>
        <v>0</v>
      </c>
      <c r="K438">
        <f t="shared" si="30"/>
        <v>0.47474747474747475</v>
      </c>
      <c r="L438">
        <f t="shared" si="31"/>
        <v>0.8</v>
      </c>
      <c r="M438" s="5">
        <f t="shared" si="32"/>
        <v>1</v>
      </c>
      <c r="N438" s="5">
        <f t="shared" si="33"/>
        <v>0.49494949494949497</v>
      </c>
      <c r="O438" s="5" t="str">
        <f t="shared" si="34"/>
        <v>Healthy</v>
      </c>
      <c r="P438" s="5">
        <f>IF(Table1[[#This Row],[Health Status]]="Churned",0,1)</f>
        <v>1</v>
      </c>
      <c r="Q438" s="5" t="str">
        <f>IF(Table1[[#This Row],[Subscription_End_Date]]="", "Active", "Churned")</f>
        <v>Active</v>
      </c>
      <c r="R438" s="5">
        <f ca="1">IF(Table1[[#This Row],[Subscription_End_Date]]="", DATEDIF(Table1[[#This Row],[Subscription_Start_Date]], TODAY(), "m"),
DATEDIF(Table1[[#This Row],[Subscription_Start_Date]], Table1[[#This Row],[Subscription_End_Date]], "m"))</f>
        <v>16</v>
      </c>
      <c r="S438" s="2">
        <f ca="1">Table1[[#This Row],[Monthly_Spend]] * Table1[[#This Row],[Customer Lifetime(Months)]]</f>
        <v>1600000</v>
      </c>
    </row>
    <row r="439" spans="1:19" x14ac:dyDescent="0.35">
      <c r="A439" t="s">
        <v>457</v>
      </c>
      <c r="B439" t="s">
        <v>27</v>
      </c>
      <c r="C439" s="1">
        <v>45032</v>
      </c>
      <c r="E439" t="s">
        <v>23</v>
      </c>
      <c r="F439" s="2">
        <v>10000</v>
      </c>
      <c r="G439">
        <v>47</v>
      </c>
      <c r="H439">
        <v>66</v>
      </c>
      <c r="I439" t="s">
        <v>12</v>
      </c>
      <c r="J439">
        <f>IF(Table1[[#This Row],[Status]]="Churned",1,0)</f>
        <v>0</v>
      </c>
      <c r="K439">
        <f t="shared" si="30"/>
        <v>0.65656565656565657</v>
      </c>
      <c r="L439">
        <f t="shared" si="31"/>
        <v>6.0000000000000053E-2</v>
      </c>
      <c r="M439" s="5">
        <f t="shared" si="32"/>
        <v>5.2631578947368418E-2</v>
      </c>
      <c r="N439" s="5">
        <f t="shared" si="33"/>
        <v>0.16131313131313135</v>
      </c>
      <c r="O439" s="5" t="str">
        <f t="shared" si="34"/>
        <v>At-Risk</v>
      </c>
      <c r="P439" s="5">
        <f>IF(Table1[[#This Row],[Health Status]]="Churned",0,1)</f>
        <v>1</v>
      </c>
      <c r="Q439" s="5" t="str">
        <f>IF(Table1[[#This Row],[Subscription_End_Date]]="", "Active", "Churned")</f>
        <v>Active</v>
      </c>
      <c r="R439" s="5">
        <f ca="1">IF(Table1[[#This Row],[Subscription_End_Date]]="", DATEDIF(Table1[[#This Row],[Subscription_Start_Date]], TODAY(), "m"),
DATEDIF(Table1[[#This Row],[Subscription_Start_Date]], Table1[[#This Row],[Subscription_End_Date]], "m"))</f>
        <v>30</v>
      </c>
      <c r="S439" s="2">
        <f ca="1">Table1[[#This Row],[Monthly_Spend]] * Table1[[#This Row],[Customer Lifetime(Months)]]</f>
        <v>300000</v>
      </c>
    </row>
    <row r="440" spans="1:19" x14ac:dyDescent="0.35">
      <c r="A440" t="s">
        <v>458</v>
      </c>
      <c r="B440" t="s">
        <v>10</v>
      </c>
      <c r="C440" s="1">
        <v>44939</v>
      </c>
      <c r="E440" t="s">
        <v>11</v>
      </c>
      <c r="F440" s="2">
        <v>20000</v>
      </c>
      <c r="G440">
        <v>24</v>
      </c>
      <c r="H440">
        <v>20</v>
      </c>
      <c r="I440" t="s">
        <v>17</v>
      </c>
      <c r="J440">
        <f>IF(Table1[[#This Row],[Status]]="Churned",1,0)</f>
        <v>0</v>
      </c>
      <c r="K440">
        <f t="shared" si="30"/>
        <v>0.19191919191919191</v>
      </c>
      <c r="L440">
        <f t="shared" si="31"/>
        <v>0.52</v>
      </c>
      <c r="M440" s="5">
        <f t="shared" si="32"/>
        <v>0.15789473684210525</v>
      </c>
      <c r="N440" s="5">
        <f t="shared" si="33"/>
        <v>0.29838383838383842</v>
      </c>
      <c r="O440" s="5" t="str">
        <f t="shared" si="34"/>
        <v>At-Risk</v>
      </c>
      <c r="P440" s="5">
        <f>IF(Table1[[#This Row],[Health Status]]="Churned",0,1)</f>
        <v>1</v>
      </c>
      <c r="Q440" s="5" t="str">
        <f>IF(Table1[[#This Row],[Subscription_End_Date]]="", "Active", "Churned")</f>
        <v>Active</v>
      </c>
      <c r="R440" s="5">
        <f ca="1">IF(Table1[[#This Row],[Subscription_End_Date]]="", DATEDIF(Table1[[#This Row],[Subscription_Start_Date]], TODAY(), "m"),
DATEDIF(Table1[[#This Row],[Subscription_Start_Date]], Table1[[#This Row],[Subscription_End_Date]], "m"))</f>
        <v>33</v>
      </c>
      <c r="S440" s="2">
        <f ca="1">Table1[[#This Row],[Monthly_Spend]] * Table1[[#This Row],[Customer Lifetime(Months)]]</f>
        <v>660000</v>
      </c>
    </row>
    <row r="441" spans="1:19" x14ac:dyDescent="0.35">
      <c r="A441" t="s">
        <v>459</v>
      </c>
      <c r="B441" t="s">
        <v>27</v>
      </c>
      <c r="C441" s="1">
        <v>45493</v>
      </c>
      <c r="E441" t="s">
        <v>11</v>
      </c>
      <c r="F441" s="2">
        <v>10000</v>
      </c>
      <c r="G441">
        <v>20</v>
      </c>
      <c r="H441">
        <v>32</v>
      </c>
      <c r="I441" t="s">
        <v>17</v>
      </c>
      <c r="J441">
        <f>IF(Table1[[#This Row],[Status]]="Churned",1,0)</f>
        <v>0</v>
      </c>
      <c r="K441">
        <f t="shared" si="30"/>
        <v>0.31313131313131315</v>
      </c>
      <c r="L441">
        <f t="shared" si="31"/>
        <v>0.6</v>
      </c>
      <c r="M441" s="5">
        <f t="shared" si="32"/>
        <v>5.2631578947368418E-2</v>
      </c>
      <c r="N441" s="5">
        <f t="shared" si="33"/>
        <v>0.36262626262626263</v>
      </c>
      <c r="O441" s="5" t="str">
        <f t="shared" si="34"/>
        <v>At-Risk</v>
      </c>
      <c r="P441" s="5">
        <f>IF(Table1[[#This Row],[Health Status]]="Churned",0,1)</f>
        <v>1</v>
      </c>
      <c r="Q441" s="5" t="str">
        <f>IF(Table1[[#This Row],[Subscription_End_Date]]="", "Active", "Churned")</f>
        <v>Active</v>
      </c>
      <c r="R441" s="5">
        <f ca="1">IF(Table1[[#This Row],[Subscription_End_Date]]="", DATEDIF(Table1[[#This Row],[Subscription_Start_Date]], TODAY(), "m"),
DATEDIF(Table1[[#This Row],[Subscription_Start_Date]], Table1[[#This Row],[Subscription_End_Date]], "m"))</f>
        <v>15</v>
      </c>
      <c r="S441" s="2">
        <f ca="1">Table1[[#This Row],[Monthly_Spend]] * Table1[[#This Row],[Customer Lifetime(Months)]]</f>
        <v>150000</v>
      </c>
    </row>
    <row r="442" spans="1:19" x14ac:dyDescent="0.35">
      <c r="A442" t="s">
        <v>460</v>
      </c>
      <c r="B442" t="s">
        <v>31</v>
      </c>
      <c r="C442" s="1">
        <v>45254</v>
      </c>
      <c r="E442" t="s">
        <v>16</v>
      </c>
      <c r="F442" s="2">
        <v>100000</v>
      </c>
      <c r="G442">
        <v>23</v>
      </c>
      <c r="H442">
        <v>16</v>
      </c>
      <c r="I442" t="s">
        <v>12</v>
      </c>
      <c r="J442">
        <f>IF(Table1[[#This Row],[Status]]="Churned",1,0)</f>
        <v>0</v>
      </c>
      <c r="K442">
        <f t="shared" si="30"/>
        <v>0.15151515151515152</v>
      </c>
      <c r="L442">
        <f t="shared" si="31"/>
        <v>0.54</v>
      </c>
      <c r="M442" s="5">
        <f t="shared" si="32"/>
        <v>1</v>
      </c>
      <c r="N442" s="5">
        <f t="shared" si="33"/>
        <v>0.30030303030303029</v>
      </c>
      <c r="O442" s="5" t="str">
        <f t="shared" si="34"/>
        <v>Healthy</v>
      </c>
      <c r="P442" s="5">
        <f>IF(Table1[[#This Row],[Health Status]]="Churned",0,1)</f>
        <v>1</v>
      </c>
      <c r="Q442" s="5" t="str">
        <f>IF(Table1[[#This Row],[Subscription_End_Date]]="", "Active", "Churned")</f>
        <v>Active</v>
      </c>
      <c r="R442" s="5">
        <f ca="1">IF(Table1[[#This Row],[Subscription_End_Date]]="", DATEDIF(Table1[[#This Row],[Subscription_Start_Date]], TODAY(), "m"),
DATEDIF(Table1[[#This Row],[Subscription_Start_Date]], Table1[[#This Row],[Subscription_End_Date]], "m"))</f>
        <v>23</v>
      </c>
      <c r="S442" s="2">
        <f ca="1">Table1[[#This Row],[Monthly_Spend]] * Table1[[#This Row],[Customer Lifetime(Months)]]</f>
        <v>2300000</v>
      </c>
    </row>
    <row r="443" spans="1:19" x14ac:dyDescent="0.35">
      <c r="A443" t="s">
        <v>461</v>
      </c>
      <c r="B443" t="s">
        <v>14</v>
      </c>
      <c r="C443" s="1">
        <v>44980</v>
      </c>
      <c r="D443" s="1">
        <v>45538</v>
      </c>
      <c r="E443" t="s">
        <v>16</v>
      </c>
      <c r="F443" s="2">
        <v>5000</v>
      </c>
      <c r="G443">
        <v>25</v>
      </c>
      <c r="H443">
        <v>9</v>
      </c>
      <c r="I443" t="s">
        <v>28</v>
      </c>
      <c r="J443">
        <f>IF(Table1[[#This Row],[Status]]="Churned",1,0)</f>
        <v>1</v>
      </c>
      <c r="K443">
        <f t="shared" si="30"/>
        <v>8.0808080808080815E-2</v>
      </c>
      <c r="L443">
        <f t="shared" si="31"/>
        <v>0.5</v>
      </c>
      <c r="M443" s="5">
        <f t="shared" si="32"/>
        <v>0</v>
      </c>
      <c r="N443" s="5">
        <f t="shared" si="33"/>
        <v>0.56616161616161609</v>
      </c>
      <c r="O443" s="5" t="str">
        <f t="shared" si="34"/>
        <v>Churned</v>
      </c>
      <c r="P443" s="5">
        <f>IF(Table1[[#This Row],[Health Status]]="Churned",0,1)</f>
        <v>0</v>
      </c>
      <c r="Q443" s="5" t="str">
        <f>IF(Table1[[#This Row],[Subscription_End_Date]]="", "Active", "Churned")</f>
        <v>Churned</v>
      </c>
      <c r="R443" s="5">
        <f ca="1">IF(Table1[[#This Row],[Subscription_End_Date]]="", DATEDIF(Table1[[#This Row],[Subscription_Start_Date]], TODAY(), "m"),
DATEDIF(Table1[[#This Row],[Subscription_Start_Date]], Table1[[#This Row],[Subscription_End_Date]], "m"))</f>
        <v>18</v>
      </c>
      <c r="S443" s="2">
        <f ca="1">Table1[[#This Row],[Monthly_Spend]] * Table1[[#This Row],[Customer Lifetime(Months)]]</f>
        <v>90000</v>
      </c>
    </row>
    <row r="444" spans="1:19" x14ac:dyDescent="0.35">
      <c r="A444" t="s">
        <v>462</v>
      </c>
      <c r="B444" t="s">
        <v>31</v>
      </c>
      <c r="C444" s="1">
        <v>45245</v>
      </c>
      <c r="E444" t="s">
        <v>23</v>
      </c>
      <c r="F444" s="2">
        <v>5000</v>
      </c>
      <c r="G444">
        <v>23</v>
      </c>
      <c r="H444">
        <v>26</v>
      </c>
      <c r="I444" t="s">
        <v>17</v>
      </c>
      <c r="J444">
        <f>IF(Table1[[#This Row],[Status]]="Churned",1,0)</f>
        <v>0</v>
      </c>
      <c r="K444">
        <f t="shared" si="30"/>
        <v>0.25252525252525254</v>
      </c>
      <c r="L444">
        <f t="shared" si="31"/>
        <v>0.54</v>
      </c>
      <c r="M444" s="5">
        <f t="shared" si="32"/>
        <v>0</v>
      </c>
      <c r="N444" s="5">
        <f t="shared" si="33"/>
        <v>0.32050505050505051</v>
      </c>
      <c r="O444" s="5" t="str">
        <f t="shared" si="34"/>
        <v>At-Risk</v>
      </c>
      <c r="P444" s="5">
        <f>IF(Table1[[#This Row],[Health Status]]="Churned",0,1)</f>
        <v>1</v>
      </c>
      <c r="Q444" s="5" t="str">
        <f>IF(Table1[[#This Row],[Subscription_End_Date]]="", "Active", "Churned")</f>
        <v>Active</v>
      </c>
      <c r="R444" s="5">
        <f ca="1">IF(Table1[[#This Row],[Subscription_End_Date]]="", DATEDIF(Table1[[#This Row],[Subscription_Start_Date]], TODAY(), "m"),
DATEDIF(Table1[[#This Row],[Subscription_Start_Date]], Table1[[#This Row],[Subscription_End_Date]], "m"))</f>
        <v>23</v>
      </c>
      <c r="S444" s="2">
        <f ca="1">Table1[[#This Row],[Monthly_Spend]] * Table1[[#This Row],[Customer Lifetime(Months)]]</f>
        <v>115000</v>
      </c>
    </row>
    <row r="445" spans="1:19" x14ac:dyDescent="0.35">
      <c r="A445" t="s">
        <v>463</v>
      </c>
      <c r="B445" t="s">
        <v>19</v>
      </c>
      <c r="C445" s="1">
        <v>45238</v>
      </c>
      <c r="E445" t="s">
        <v>16</v>
      </c>
      <c r="F445" s="2">
        <v>50000</v>
      </c>
      <c r="G445">
        <v>23</v>
      </c>
      <c r="H445">
        <v>76</v>
      </c>
      <c r="I445" t="s">
        <v>12</v>
      </c>
      <c r="J445">
        <f>IF(Table1[[#This Row],[Status]]="Churned",1,0)</f>
        <v>0</v>
      </c>
      <c r="K445">
        <f t="shared" si="30"/>
        <v>0.75757575757575757</v>
      </c>
      <c r="L445">
        <f t="shared" si="31"/>
        <v>0.54</v>
      </c>
      <c r="M445" s="5">
        <f t="shared" si="32"/>
        <v>0.47368421052631576</v>
      </c>
      <c r="N445" s="5">
        <f t="shared" si="33"/>
        <v>0.42151515151515151</v>
      </c>
      <c r="O445" s="5" t="str">
        <f t="shared" si="34"/>
        <v>At-Risk</v>
      </c>
      <c r="P445" s="5">
        <f>IF(Table1[[#This Row],[Health Status]]="Churned",0,1)</f>
        <v>1</v>
      </c>
      <c r="Q445" s="5" t="str">
        <f>IF(Table1[[#This Row],[Subscription_End_Date]]="", "Active", "Churned")</f>
        <v>Active</v>
      </c>
      <c r="R445" s="5">
        <f ca="1">IF(Table1[[#This Row],[Subscription_End_Date]]="", DATEDIF(Table1[[#This Row],[Subscription_Start_Date]], TODAY(), "m"),
DATEDIF(Table1[[#This Row],[Subscription_Start_Date]], Table1[[#This Row],[Subscription_End_Date]], "m"))</f>
        <v>23</v>
      </c>
      <c r="S445" s="2">
        <f ca="1">Table1[[#This Row],[Monthly_Spend]] * Table1[[#This Row],[Customer Lifetime(Months)]]</f>
        <v>1150000</v>
      </c>
    </row>
    <row r="446" spans="1:19" x14ac:dyDescent="0.35">
      <c r="A446" t="s">
        <v>464</v>
      </c>
      <c r="B446" t="s">
        <v>31</v>
      </c>
      <c r="C446" s="1">
        <v>45486</v>
      </c>
      <c r="E446" t="s">
        <v>11</v>
      </c>
      <c r="F446" s="2">
        <v>10000</v>
      </c>
      <c r="G446">
        <v>0</v>
      </c>
      <c r="H446">
        <v>53</v>
      </c>
      <c r="I446" t="s">
        <v>12</v>
      </c>
      <c r="J446">
        <f>IF(Table1[[#This Row],[Status]]="Churned",1,0)</f>
        <v>0</v>
      </c>
      <c r="K446">
        <f t="shared" si="30"/>
        <v>0.5252525252525253</v>
      </c>
      <c r="L446">
        <f t="shared" si="31"/>
        <v>1</v>
      </c>
      <c r="M446" s="5">
        <f t="shared" si="32"/>
        <v>5.2631578947368418E-2</v>
      </c>
      <c r="N446" s="5">
        <f t="shared" si="33"/>
        <v>0.60505050505050506</v>
      </c>
      <c r="O446" s="5" t="str">
        <f t="shared" si="34"/>
        <v>At-Risk</v>
      </c>
      <c r="P446" s="5">
        <f>IF(Table1[[#This Row],[Health Status]]="Churned",0,1)</f>
        <v>1</v>
      </c>
      <c r="Q446" s="5" t="str">
        <f>IF(Table1[[#This Row],[Subscription_End_Date]]="", "Active", "Churned")</f>
        <v>Active</v>
      </c>
      <c r="R446" s="5">
        <f ca="1">IF(Table1[[#This Row],[Subscription_End_Date]]="", DATEDIF(Table1[[#This Row],[Subscription_Start_Date]], TODAY(), "m"),
DATEDIF(Table1[[#This Row],[Subscription_Start_Date]], Table1[[#This Row],[Subscription_End_Date]], "m"))</f>
        <v>15</v>
      </c>
      <c r="S446" s="2">
        <f ca="1">Table1[[#This Row],[Monthly_Spend]] * Table1[[#This Row],[Customer Lifetime(Months)]]</f>
        <v>150000</v>
      </c>
    </row>
    <row r="447" spans="1:19" x14ac:dyDescent="0.35">
      <c r="A447" t="s">
        <v>465</v>
      </c>
      <c r="B447" t="s">
        <v>10</v>
      </c>
      <c r="C447" s="1">
        <v>45481</v>
      </c>
      <c r="E447" t="s">
        <v>11</v>
      </c>
      <c r="F447" s="2">
        <v>20000</v>
      </c>
      <c r="G447">
        <v>0</v>
      </c>
      <c r="H447">
        <v>98</v>
      </c>
      <c r="I447" t="s">
        <v>12</v>
      </c>
      <c r="J447">
        <f>IF(Table1[[#This Row],[Status]]="Churned",1,0)</f>
        <v>0</v>
      </c>
      <c r="K447">
        <f t="shared" si="30"/>
        <v>0.97979797979797978</v>
      </c>
      <c r="L447">
        <f t="shared" si="31"/>
        <v>1</v>
      </c>
      <c r="M447" s="5">
        <f t="shared" si="32"/>
        <v>0.15789473684210525</v>
      </c>
      <c r="N447" s="5">
        <f t="shared" si="33"/>
        <v>0.695959595959596</v>
      </c>
      <c r="O447" s="5" t="str">
        <f t="shared" si="34"/>
        <v>At-Risk</v>
      </c>
      <c r="P447" s="5">
        <f>IF(Table1[[#This Row],[Health Status]]="Churned",0,1)</f>
        <v>1</v>
      </c>
      <c r="Q447" s="5" t="str">
        <f>IF(Table1[[#This Row],[Subscription_End_Date]]="", "Active", "Churned")</f>
        <v>Active</v>
      </c>
      <c r="R447" s="5">
        <f ca="1">IF(Table1[[#This Row],[Subscription_End_Date]]="", DATEDIF(Table1[[#This Row],[Subscription_Start_Date]], TODAY(), "m"),
DATEDIF(Table1[[#This Row],[Subscription_Start_Date]], Table1[[#This Row],[Subscription_End_Date]], "m"))</f>
        <v>15</v>
      </c>
      <c r="S447" s="2">
        <f ca="1">Table1[[#This Row],[Monthly_Spend]] * Table1[[#This Row],[Customer Lifetime(Months)]]</f>
        <v>300000</v>
      </c>
    </row>
    <row r="448" spans="1:19" x14ac:dyDescent="0.35">
      <c r="A448" t="s">
        <v>466</v>
      </c>
      <c r="B448" t="s">
        <v>31</v>
      </c>
      <c r="C448" s="1">
        <v>45241</v>
      </c>
      <c r="D448" s="1">
        <v>45813</v>
      </c>
      <c r="E448" t="s">
        <v>16</v>
      </c>
      <c r="F448" s="2">
        <v>10000</v>
      </c>
      <c r="G448">
        <v>26</v>
      </c>
      <c r="H448">
        <v>63</v>
      </c>
      <c r="I448" t="s">
        <v>28</v>
      </c>
      <c r="J448">
        <f>IF(Table1[[#This Row],[Status]]="Churned",1,0)</f>
        <v>1</v>
      </c>
      <c r="K448">
        <f t="shared" si="30"/>
        <v>0.6262626262626263</v>
      </c>
      <c r="L448">
        <f t="shared" si="31"/>
        <v>0.48</v>
      </c>
      <c r="M448" s="5">
        <f t="shared" si="32"/>
        <v>5.2631578947368418E-2</v>
      </c>
      <c r="N448" s="5">
        <f t="shared" si="33"/>
        <v>0.66525252525252521</v>
      </c>
      <c r="O448" s="5" t="str">
        <f t="shared" si="34"/>
        <v>Churned</v>
      </c>
      <c r="P448" s="5">
        <f>IF(Table1[[#This Row],[Health Status]]="Churned",0,1)</f>
        <v>0</v>
      </c>
      <c r="Q448" s="5" t="str">
        <f>IF(Table1[[#This Row],[Subscription_End_Date]]="", "Active", "Churned")</f>
        <v>Churned</v>
      </c>
      <c r="R448" s="5">
        <f ca="1">IF(Table1[[#This Row],[Subscription_End_Date]]="", DATEDIF(Table1[[#This Row],[Subscription_Start_Date]], TODAY(), "m"),
DATEDIF(Table1[[#This Row],[Subscription_Start_Date]], Table1[[#This Row],[Subscription_End_Date]], "m"))</f>
        <v>18</v>
      </c>
      <c r="S448" s="2">
        <f ca="1">Table1[[#This Row],[Monthly_Spend]] * Table1[[#This Row],[Customer Lifetime(Months)]]</f>
        <v>180000</v>
      </c>
    </row>
    <row r="449" spans="1:19" x14ac:dyDescent="0.35">
      <c r="A449" t="s">
        <v>467</v>
      </c>
      <c r="B449" t="s">
        <v>10</v>
      </c>
      <c r="C449" s="1">
        <v>45655</v>
      </c>
      <c r="E449" t="s">
        <v>11</v>
      </c>
      <c r="F449" s="2">
        <v>10000</v>
      </c>
      <c r="G449">
        <v>33</v>
      </c>
      <c r="H449">
        <v>53</v>
      </c>
      <c r="I449" t="s">
        <v>12</v>
      </c>
      <c r="J449">
        <f>IF(Table1[[#This Row],[Status]]="Churned",1,0)</f>
        <v>0</v>
      </c>
      <c r="K449">
        <f t="shared" si="30"/>
        <v>0.5252525252525253</v>
      </c>
      <c r="L449">
        <f t="shared" si="31"/>
        <v>0.33999999999999997</v>
      </c>
      <c r="M449" s="5">
        <f t="shared" si="32"/>
        <v>5.2631578947368418E-2</v>
      </c>
      <c r="N449" s="5">
        <f t="shared" si="33"/>
        <v>0.27505050505050505</v>
      </c>
      <c r="O449" s="5" t="str">
        <f t="shared" si="34"/>
        <v>At-Risk</v>
      </c>
      <c r="P449" s="5">
        <f>IF(Table1[[#This Row],[Health Status]]="Churned",0,1)</f>
        <v>1</v>
      </c>
      <c r="Q449" s="5" t="str">
        <f>IF(Table1[[#This Row],[Subscription_End_Date]]="", "Active", "Churned")</f>
        <v>Active</v>
      </c>
      <c r="R449" s="5">
        <f ca="1">IF(Table1[[#This Row],[Subscription_End_Date]]="", DATEDIF(Table1[[#This Row],[Subscription_Start_Date]], TODAY(), "m"),
DATEDIF(Table1[[#This Row],[Subscription_Start_Date]], Table1[[#This Row],[Subscription_End_Date]], "m"))</f>
        <v>10</v>
      </c>
      <c r="S449" s="2">
        <f ca="1">Table1[[#This Row],[Monthly_Spend]] * Table1[[#This Row],[Customer Lifetime(Months)]]</f>
        <v>100000</v>
      </c>
    </row>
    <row r="450" spans="1:19" x14ac:dyDescent="0.35">
      <c r="A450" t="s">
        <v>468</v>
      </c>
      <c r="B450" t="s">
        <v>19</v>
      </c>
      <c r="C450" s="1">
        <v>45013</v>
      </c>
      <c r="E450" t="s">
        <v>23</v>
      </c>
      <c r="F450" s="2">
        <v>50000</v>
      </c>
      <c r="G450">
        <v>4</v>
      </c>
      <c r="H450">
        <v>76</v>
      </c>
      <c r="I450" t="s">
        <v>12</v>
      </c>
      <c r="J450">
        <f>IF(Table1[[#This Row],[Status]]="Churned",1,0)</f>
        <v>0</v>
      </c>
      <c r="K450">
        <f t="shared" ref="K450:K501" si="35">(H450-MIN($H$2:$H$501))/(MAX($H$2:$H$501)-MIN($H$2:$H$501))</f>
        <v>0.75757575757575757</v>
      </c>
      <c r="L450">
        <f t="shared" ref="L450:L501" si="36">1 - ((G450-MIN($G$2:$G$501))/(MAX($G$2:$G$501)-MIN($G$2:$G$501)))</f>
        <v>0.92</v>
      </c>
      <c r="M450" s="5">
        <f t="shared" ref="M450:M501" si="37">(F450-MIN($F$2:$F$501))/(MAX($F$2:$F$501)-MIN($F$2:$F$501))</f>
        <v>0.47368421052631576</v>
      </c>
      <c r="N450" s="5">
        <f t="shared" ref="N450:N501" si="38">(J450*0.3) + (K450*0.2) + (L450*0.5)</f>
        <v>0.61151515151515157</v>
      </c>
      <c r="O450" s="5" t="str">
        <f t="shared" ref="O450:O501" si="39">IF(I450="Churned", "Churned", IF(M450&gt;=0.6, "Healthy", "At-Risk"))</f>
        <v>At-Risk</v>
      </c>
      <c r="P450" s="5">
        <f>IF(Table1[[#This Row],[Health Status]]="Churned",0,1)</f>
        <v>1</v>
      </c>
      <c r="Q450" s="5" t="str">
        <f>IF(Table1[[#This Row],[Subscription_End_Date]]="", "Active", "Churned")</f>
        <v>Active</v>
      </c>
      <c r="R450" s="5">
        <f ca="1">IF(Table1[[#This Row],[Subscription_End_Date]]="", DATEDIF(Table1[[#This Row],[Subscription_Start_Date]], TODAY(), "m"),
DATEDIF(Table1[[#This Row],[Subscription_Start_Date]], Table1[[#This Row],[Subscription_End_Date]], "m"))</f>
        <v>31</v>
      </c>
      <c r="S450" s="2">
        <f ca="1">Table1[[#This Row],[Monthly_Spend]] * Table1[[#This Row],[Customer Lifetime(Months)]]</f>
        <v>1550000</v>
      </c>
    </row>
    <row r="451" spans="1:19" x14ac:dyDescent="0.35">
      <c r="A451" t="s">
        <v>469</v>
      </c>
      <c r="B451" t="s">
        <v>14</v>
      </c>
      <c r="C451" s="1">
        <v>45372</v>
      </c>
      <c r="E451" t="s">
        <v>11</v>
      </c>
      <c r="F451" s="2">
        <v>10000</v>
      </c>
      <c r="G451">
        <v>18</v>
      </c>
      <c r="H451">
        <v>34</v>
      </c>
      <c r="I451" t="s">
        <v>12</v>
      </c>
      <c r="J451">
        <f>IF(Table1[[#This Row],[Status]]="Churned",1,0)</f>
        <v>0</v>
      </c>
      <c r="K451">
        <f t="shared" si="35"/>
        <v>0.33333333333333331</v>
      </c>
      <c r="L451">
        <f t="shared" si="36"/>
        <v>0.64</v>
      </c>
      <c r="M451" s="5">
        <f t="shared" si="37"/>
        <v>5.2631578947368418E-2</v>
      </c>
      <c r="N451" s="5">
        <f t="shared" si="38"/>
        <v>0.38666666666666666</v>
      </c>
      <c r="O451" s="5" t="str">
        <f t="shared" si="39"/>
        <v>At-Risk</v>
      </c>
      <c r="P451" s="5">
        <f>IF(Table1[[#This Row],[Health Status]]="Churned",0,1)</f>
        <v>1</v>
      </c>
      <c r="Q451" s="5" t="str">
        <f>IF(Table1[[#This Row],[Subscription_End_Date]]="", "Active", "Churned")</f>
        <v>Active</v>
      </c>
      <c r="R451" s="5">
        <f ca="1">IF(Table1[[#This Row],[Subscription_End_Date]]="", DATEDIF(Table1[[#This Row],[Subscription_Start_Date]], TODAY(), "m"),
DATEDIF(Table1[[#This Row],[Subscription_Start_Date]], Table1[[#This Row],[Subscription_End_Date]], "m"))</f>
        <v>19</v>
      </c>
      <c r="S451" s="2">
        <f ca="1">Table1[[#This Row],[Monthly_Spend]] * Table1[[#This Row],[Customer Lifetime(Months)]]</f>
        <v>190000</v>
      </c>
    </row>
    <row r="452" spans="1:19" x14ac:dyDescent="0.35">
      <c r="A452" t="s">
        <v>470</v>
      </c>
      <c r="B452" t="s">
        <v>19</v>
      </c>
      <c r="C452" s="1">
        <v>45644</v>
      </c>
      <c r="E452" t="s">
        <v>23</v>
      </c>
      <c r="F452" s="2">
        <v>20000</v>
      </c>
      <c r="G452">
        <v>28</v>
      </c>
      <c r="H452">
        <v>35</v>
      </c>
      <c r="I452" t="s">
        <v>17</v>
      </c>
      <c r="J452">
        <f>IF(Table1[[#This Row],[Status]]="Churned",1,0)</f>
        <v>0</v>
      </c>
      <c r="K452">
        <f t="shared" si="35"/>
        <v>0.34343434343434343</v>
      </c>
      <c r="L452">
        <f t="shared" si="36"/>
        <v>0.43999999999999995</v>
      </c>
      <c r="M452" s="5">
        <f t="shared" si="37"/>
        <v>0.15789473684210525</v>
      </c>
      <c r="N452" s="5">
        <f t="shared" si="38"/>
        <v>0.28868686868686866</v>
      </c>
      <c r="O452" s="5" t="str">
        <f t="shared" si="39"/>
        <v>At-Risk</v>
      </c>
      <c r="P452" s="5">
        <f>IF(Table1[[#This Row],[Health Status]]="Churned",0,1)</f>
        <v>1</v>
      </c>
      <c r="Q452" s="5" t="str">
        <f>IF(Table1[[#This Row],[Subscription_End_Date]]="", "Active", "Churned")</f>
        <v>Active</v>
      </c>
      <c r="R452" s="5">
        <f ca="1">IF(Table1[[#This Row],[Subscription_End_Date]]="", DATEDIF(Table1[[#This Row],[Subscription_Start_Date]], TODAY(), "m"),
DATEDIF(Table1[[#This Row],[Subscription_Start_Date]], Table1[[#This Row],[Subscription_End_Date]], "m"))</f>
        <v>10</v>
      </c>
      <c r="S452" s="2">
        <f ca="1">Table1[[#This Row],[Monthly_Spend]] * Table1[[#This Row],[Customer Lifetime(Months)]]</f>
        <v>200000</v>
      </c>
    </row>
    <row r="453" spans="1:19" x14ac:dyDescent="0.35">
      <c r="A453" t="s">
        <v>471</v>
      </c>
      <c r="B453" t="s">
        <v>27</v>
      </c>
      <c r="C453" s="1">
        <v>45134</v>
      </c>
      <c r="E453" t="s">
        <v>11</v>
      </c>
      <c r="F453" s="2">
        <v>10000</v>
      </c>
      <c r="G453">
        <v>6</v>
      </c>
      <c r="H453">
        <v>22</v>
      </c>
      <c r="I453" t="s">
        <v>12</v>
      </c>
      <c r="J453">
        <f>IF(Table1[[#This Row],[Status]]="Churned",1,0)</f>
        <v>0</v>
      </c>
      <c r="K453">
        <f t="shared" si="35"/>
        <v>0.21212121212121213</v>
      </c>
      <c r="L453">
        <f t="shared" si="36"/>
        <v>0.88</v>
      </c>
      <c r="M453" s="5">
        <f t="shared" si="37"/>
        <v>5.2631578947368418E-2</v>
      </c>
      <c r="N453" s="5">
        <f t="shared" si="38"/>
        <v>0.48242424242424242</v>
      </c>
      <c r="O453" s="5" t="str">
        <f t="shared" si="39"/>
        <v>At-Risk</v>
      </c>
      <c r="P453" s="5">
        <f>IF(Table1[[#This Row],[Health Status]]="Churned",0,1)</f>
        <v>1</v>
      </c>
      <c r="Q453" s="5" t="str">
        <f>IF(Table1[[#This Row],[Subscription_End_Date]]="", "Active", "Churned")</f>
        <v>Active</v>
      </c>
      <c r="R453" s="5">
        <f ca="1">IF(Table1[[#This Row],[Subscription_End_Date]]="", DATEDIF(Table1[[#This Row],[Subscription_Start_Date]], TODAY(), "m"),
DATEDIF(Table1[[#This Row],[Subscription_Start_Date]], Table1[[#This Row],[Subscription_End_Date]], "m"))</f>
        <v>27</v>
      </c>
      <c r="S453" s="2">
        <f ca="1">Table1[[#This Row],[Monthly_Spend]] * Table1[[#This Row],[Customer Lifetime(Months)]]</f>
        <v>270000</v>
      </c>
    </row>
    <row r="454" spans="1:19" x14ac:dyDescent="0.35">
      <c r="A454" t="s">
        <v>472</v>
      </c>
      <c r="B454" t="s">
        <v>31</v>
      </c>
      <c r="C454" s="1">
        <v>45248</v>
      </c>
      <c r="E454" t="s">
        <v>23</v>
      </c>
      <c r="F454" s="2">
        <v>10000</v>
      </c>
      <c r="G454">
        <v>28</v>
      </c>
      <c r="H454">
        <v>40</v>
      </c>
      <c r="I454" t="s">
        <v>17</v>
      </c>
      <c r="J454">
        <f>IF(Table1[[#This Row],[Status]]="Churned",1,0)</f>
        <v>0</v>
      </c>
      <c r="K454">
        <f t="shared" si="35"/>
        <v>0.39393939393939392</v>
      </c>
      <c r="L454">
        <f t="shared" si="36"/>
        <v>0.43999999999999995</v>
      </c>
      <c r="M454" s="5">
        <f t="shared" si="37"/>
        <v>5.2631578947368418E-2</v>
      </c>
      <c r="N454" s="5">
        <f t="shared" si="38"/>
        <v>0.29878787878787877</v>
      </c>
      <c r="O454" s="5" t="str">
        <f t="shared" si="39"/>
        <v>At-Risk</v>
      </c>
      <c r="P454" s="5">
        <f>IF(Table1[[#This Row],[Health Status]]="Churned",0,1)</f>
        <v>1</v>
      </c>
      <c r="Q454" s="5" t="str">
        <f>IF(Table1[[#This Row],[Subscription_End_Date]]="", "Active", "Churned")</f>
        <v>Active</v>
      </c>
      <c r="R454" s="5">
        <f ca="1">IF(Table1[[#This Row],[Subscription_End_Date]]="", DATEDIF(Table1[[#This Row],[Subscription_Start_Date]], TODAY(), "m"),
DATEDIF(Table1[[#This Row],[Subscription_Start_Date]], Table1[[#This Row],[Subscription_End_Date]], "m"))</f>
        <v>23</v>
      </c>
      <c r="S454" s="2">
        <f ca="1">Table1[[#This Row],[Monthly_Spend]] * Table1[[#This Row],[Customer Lifetime(Months)]]</f>
        <v>230000</v>
      </c>
    </row>
    <row r="455" spans="1:19" x14ac:dyDescent="0.35">
      <c r="A455" t="s">
        <v>473</v>
      </c>
      <c r="B455" t="s">
        <v>31</v>
      </c>
      <c r="C455" s="1">
        <v>45049</v>
      </c>
      <c r="D455" s="1">
        <v>45390</v>
      </c>
      <c r="E455" t="s">
        <v>23</v>
      </c>
      <c r="F455" s="2">
        <v>100000</v>
      </c>
      <c r="G455">
        <v>2</v>
      </c>
      <c r="H455">
        <v>28</v>
      </c>
      <c r="I455" t="s">
        <v>28</v>
      </c>
      <c r="J455">
        <f>IF(Table1[[#This Row],[Status]]="Churned",1,0)</f>
        <v>1</v>
      </c>
      <c r="K455">
        <f t="shared" si="35"/>
        <v>0.27272727272727271</v>
      </c>
      <c r="L455">
        <f t="shared" si="36"/>
        <v>0.96</v>
      </c>
      <c r="M455" s="5">
        <f t="shared" si="37"/>
        <v>1</v>
      </c>
      <c r="N455" s="5">
        <f t="shared" si="38"/>
        <v>0.83454545454545448</v>
      </c>
      <c r="O455" s="5" t="str">
        <f t="shared" si="39"/>
        <v>Churned</v>
      </c>
      <c r="P455" s="5">
        <f>IF(Table1[[#This Row],[Health Status]]="Churned",0,1)</f>
        <v>0</v>
      </c>
      <c r="Q455" s="5" t="str">
        <f>IF(Table1[[#This Row],[Subscription_End_Date]]="", "Active", "Churned")</f>
        <v>Churned</v>
      </c>
      <c r="R455" s="5">
        <f ca="1">IF(Table1[[#This Row],[Subscription_End_Date]]="", DATEDIF(Table1[[#This Row],[Subscription_Start_Date]], TODAY(), "m"),
DATEDIF(Table1[[#This Row],[Subscription_Start_Date]], Table1[[#This Row],[Subscription_End_Date]], "m"))</f>
        <v>11</v>
      </c>
      <c r="S455" s="2">
        <f ca="1">Table1[[#This Row],[Monthly_Spend]] * Table1[[#This Row],[Customer Lifetime(Months)]]</f>
        <v>1100000</v>
      </c>
    </row>
    <row r="456" spans="1:19" x14ac:dyDescent="0.35">
      <c r="A456" t="s">
        <v>474</v>
      </c>
      <c r="B456" t="s">
        <v>19</v>
      </c>
      <c r="C456" s="1">
        <v>45020</v>
      </c>
      <c r="E456" t="s">
        <v>11</v>
      </c>
      <c r="F456" s="2">
        <v>50000</v>
      </c>
      <c r="G456">
        <v>32</v>
      </c>
      <c r="H456">
        <v>7</v>
      </c>
      <c r="I456" t="s">
        <v>17</v>
      </c>
      <c r="J456">
        <f>IF(Table1[[#This Row],[Status]]="Churned",1,0)</f>
        <v>0</v>
      </c>
      <c r="K456">
        <f t="shared" si="35"/>
        <v>6.0606060606060608E-2</v>
      </c>
      <c r="L456">
        <f t="shared" si="36"/>
        <v>0.36</v>
      </c>
      <c r="M456" s="5">
        <f t="shared" si="37"/>
        <v>0.47368421052631576</v>
      </c>
      <c r="N456" s="5">
        <f t="shared" si="38"/>
        <v>0.19212121212121211</v>
      </c>
      <c r="O456" s="5" t="str">
        <f t="shared" si="39"/>
        <v>At-Risk</v>
      </c>
      <c r="P456" s="5">
        <f>IF(Table1[[#This Row],[Health Status]]="Churned",0,1)</f>
        <v>1</v>
      </c>
      <c r="Q456" s="5" t="str">
        <f>IF(Table1[[#This Row],[Subscription_End_Date]]="", "Active", "Churned")</f>
        <v>Active</v>
      </c>
      <c r="R456" s="5">
        <f ca="1">IF(Table1[[#This Row],[Subscription_End_Date]]="", DATEDIF(Table1[[#This Row],[Subscription_Start_Date]], TODAY(), "m"),
DATEDIF(Table1[[#This Row],[Subscription_Start_Date]], Table1[[#This Row],[Subscription_End_Date]], "m"))</f>
        <v>30</v>
      </c>
      <c r="S456" s="2">
        <f ca="1">Table1[[#This Row],[Monthly_Spend]] * Table1[[#This Row],[Customer Lifetime(Months)]]</f>
        <v>1500000</v>
      </c>
    </row>
    <row r="457" spans="1:19" x14ac:dyDescent="0.35">
      <c r="A457" t="s">
        <v>475</v>
      </c>
      <c r="B457" t="s">
        <v>19</v>
      </c>
      <c r="C457" s="1">
        <v>45105</v>
      </c>
      <c r="D457" s="1">
        <v>45549</v>
      </c>
      <c r="E457" t="s">
        <v>23</v>
      </c>
      <c r="F457" s="2">
        <v>50000</v>
      </c>
      <c r="G457">
        <v>35</v>
      </c>
      <c r="H457">
        <v>96</v>
      </c>
      <c r="I457" t="s">
        <v>28</v>
      </c>
      <c r="J457">
        <f>IF(Table1[[#This Row],[Status]]="Churned",1,0)</f>
        <v>1</v>
      </c>
      <c r="K457">
        <f t="shared" si="35"/>
        <v>0.95959595959595956</v>
      </c>
      <c r="L457">
        <f t="shared" si="36"/>
        <v>0.30000000000000004</v>
      </c>
      <c r="M457" s="5">
        <f t="shared" si="37"/>
        <v>0.47368421052631576</v>
      </c>
      <c r="N457" s="5">
        <f t="shared" si="38"/>
        <v>0.641919191919192</v>
      </c>
      <c r="O457" s="5" t="str">
        <f t="shared" si="39"/>
        <v>Churned</v>
      </c>
      <c r="P457" s="5">
        <f>IF(Table1[[#This Row],[Health Status]]="Churned",0,1)</f>
        <v>0</v>
      </c>
      <c r="Q457" s="5" t="str">
        <f>IF(Table1[[#This Row],[Subscription_End_Date]]="", "Active", "Churned")</f>
        <v>Churned</v>
      </c>
      <c r="R457" s="5">
        <f ca="1">IF(Table1[[#This Row],[Subscription_End_Date]]="", DATEDIF(Table1[[#This Row],[Subscription_Start_Date]], TODAY(), "m"),
DATEDIF(Table1[[#This Row],[Subscription_Start_Date]], Table1[[#This Row],[Subscription_End_Date]], "m"))</f>
        <v>14</v>
      </c>
      <c r="S457" s="2">
        <f ca="1">Table1[[#This Row],[Monthly_Spend]] * Table1[[#This Row],[Customer Lifetime(Months)]]</f>
        <v>700000</v>
      </c>
    </row>
    <row r="458" spans="1:19" x14ac:dyDescent="0.35">
      <c r="A458" t="s">
        <v>476</v>
      </c>
      <c r="B458" t="s">
        <v>14</v>
      </c>
      <c r="C458" s="1">
        <v>45023</v>
      </c>
      <c r="E458" t="s">
        <v>11</v>
      </c>
      <c r="F458" s="2">
        <v>5000</v>
      </c>
      <c r="G458">
        <v>0</v>
      </c>
      <c r="H458">
        <v>8</v>
      </c>
      <c r="I458" t="s">
        <v>12</v>
      </c>
      <c r="J458">
        <f>IF(Table1[[#This Row],[Status]]="Churned",1,0)</f>
        <v>0</v>
      </c>
      <c r="K458">
        <f t="shared" si="35"/>
        <v>7.0707070707070704E-2</v>
      </c>
      <c r="L458">
        <f t="shared" si="36"/>
        <v>1</v>
      </c>
      <c r="M458" s="5">
        <f t="shared" si="37"/>
        <v>0</v>
      </c>
      <c r="N458" s="5">
        <f t="shared" si="38"/>
        <v>0.51414141414141412</v>
      </c>
      <c r="O458" s="5" t="str">
        <f t="shared" si="39"/>
        <v>At-Risk</v>
      </c>
      <c r="P458" s="5">
        <f>IF(Table1[[#This Row],[Health Status]]="Churned",0,1)</f>
        <v>1</v>
      </c>
      <c r="Q458" s="5" t="str">
        <f>IF(Table1[[#This Row],[Subscription_End_Date]]="", "Active", "Churned")</f>
        <v>Active</v>
      </c>
      <c r="R458" s="5">
        <f ca="1">IF(Table1[[#This Row],[Subscription_End_Date]]="", DATEDIF(Table1[[#This Row],[Subscription_Start_Date]], TODAY(), "m"),
DATEDIF(Table1[[#This Row],[Subscription_Start_Date]], Table1[[#This Row],[Subscription_End_Date]], "m"))</f>
        <v>30</v>
      </c>
      <c r="S458" s="2">
        <f ca="1">Table1[[#This Row],[Monthly_Spend]] * Table1[[#This Row],[Customer Lifetime(Months)]]</f>
        <v>150000</v>
      </c>
    </row>
    <row r="459" spans="1:19" x14ac:dyDescent="0.35">
      <c r="A459" t="s">
        <v>477</v>
      </c>
      <c r="B459" t="s">
        <v>27</v>
      </c>
      <c r="C459" s="1">
        <v>45129</v>
      </c>
      <c r="E459" t="s">
        <v>11</v>
      </c>
      <c r="F459" s="2">
        <v>5000</v>
      </c>
      <c r="G459">
        <v>37</v>
      </c>
      <c r="H459">
        <v>76</v>
      </c>
      <c r="I459" t="s">
        <v>17</v>
      </c>
      <c r="J459">
        <f>IF(Table1[[#This Row],[Status]]="Churned",1,0)</f>
        <v>0</v>
      </c>
      <c r="K459">
        <f t="shared" si="35"/>
        <v>0.75757575757575757</v>
      </c>
      <c r="L459">
        <f t="shared" si="36"/>
        <v>0.26</v>
      </c>
      <c r="M459" s="5">
        <f t="shared" si="37"/>
        <v>0</v>
      </c>
      <c r="N459" s="5">
        <f t="shared" si="38"/>
        <v>0.2815151515151515</v>
      </c>
      <c r="O459" s="5" t="str">
        <f t="shared" si="39"/>
        <v>At-Risk</v>
      </c>
      <c r="P459" s="5">
        <f>IF(Table1[[#This Row],[Health Status]]="Churned",0,1)</f>
        <v>1</v>
      </c>
      <c r="Q459" s="5" t="str">
        <f>IF(Table1[[#This Row],[Subscription_End_Date]]="", "Active", "Churned")</f>
        <v>Active</v>
      </c>
      <c r="R459" s="5">
        <f ca="1">IF(Table1[[#This Row],[Subscription_End_Date]]="", DATEDIF(Table1[[#This Row],[Subscription_Start_Date]], TODAY(), "m"),
DATEDIF(Table1[[#This Row],[Subscription_Start_Date]], Table1[[#This Row],[Subscription_End_Date]], "m"))</f>
        <v>27</v>
      </c>
      <c r="S459" s="2">
        <f ca="1">Table1[[#This Row],[Monthly_Spend]] * Table1[[#This Row],[Customer Lifetime(Months)]]</f>
        <v>135000</v>
      </c>
    </row>
    <row r="460" spans="1:19" x14ac:dyDescent="0.35">
      <c r="A460" t="s">
        <v>478</v>
      </c>
      <c r="B460" t="s">
        <v>19</v>
      </c>
      <c r="C460" s="1">
        <v>44949</v>
      </c>
      <c r="E460" t="s">
        <v>11</v>
      </c>
      <c r="F460" s="2">
        <v>50000</v>
      </c>
      <c r="G460">
        <v>8</v>
      </c>
      <c r="H460">
        <v>12</v>
      </c>
      <c r="I460" t="s">
        <v>12</v>
      </c>
      <c r="J460">
        <f>IF(Table1[[#This Row],[Status]]="Churned",1,0)</f>
        <v>0</v>
      </c>
      <c r="K460">
        <f t="shared" si="35"/>
        <v>0.1111111111111111</v>
      </c>
      <c r="L460">
        <f t="shared" si="36"/>
        <v>0.84</v>
      </c>
      <c r="M460" s="5">
        <f t="shared" si="37"/>
        <v>0.47368421052631576</v>
      </c>
      <c r="N460" s="5">
        <f t="shared" si="38"/>
        <v>0.44222222222222218</v>
      </c>
      <c r="O460" s="5" t="str">
        <f t="shared" si="39"/>
        <v>At-Risk</v>
      </c>
      <c r="P460" s="5">
        <f>IF(Table1[[#This Row],[Health Status]]="Churned",0,1)</f>
        <v>1</v>
      </c>
      <c r="Q460" s="5" t="str">
        <f>IF(Table1[[#This Row],[Subscription_End_Date]]="", "Active", "Churned")</f>
        <v>Active</v>
      </c>
      <c r="R460" s="5">
        <f ca="1">IF(Table1[[#This Row],[Subscription_End_Date]]="", DATEDIF(Table1[[#This Row],[Subscription_Start_Date]], TODAY(), "m"),
DATEDIF(Table1[[#This Row],[Subscription_Start_Date]], Table1[[#This Row],[Subscription_End_Date]], "m"))</f>
        <v>33</v>
      </c>
      <c r="S460" s="2">
        <f ca="1">Table1[[#This Row],[Monthly_Spend]] * Table1[[#This Row],[Customer Lifetime(Months)]]</f>
        <v>1650000</v>
      </c>
    </row>
    <row r="461" spans="1:19" x14ac:dyDescent="0.35">
      <c r="A461" t="s">
        <v>479</v>
      </c>
      <c r="B461" t="s">
        <v>19</v>
      </c>
      <c r="C461" s="1">
        <v>44970</v>
      </c>
      <c r="E461" t="s">
        <v>11</v>
      </c>
      <c r="F461" s="2">
        <v>10000</v>
      </c>
      <c r="G461">
        <v>36</v>
      </c>
      <c r="H461">
        <v>56</v>
      </c>
      <c r="I461" t="s">
        <v>12</v>
      </c>
      <c r="J461">
        <f>IF(Table1[[#This Row],[Status]]="Churned",1,0)</f>
        <v>0</v>
      </c>
      <c r="K461">
        <f t="shared" si="35"/>
        <v>0.55555555555555558</v>
      </c>
      <c r="L461">
        <f t="shared" si="36"/>
        <v>0.28000000000000003</v>
      </c>
      <c r="M461" s="5">
        <f t="shared" si="37"/>
        <v>5.2631578947368418E-2</v>
      </c>
      <c r="N461" s="5">
        <f t="shared" si="38"/>
        <v>0.25111111111111112</v>
      </c>
      <c r="O461" s="5" t="str">
        <f t="shared" si="39"/>
        <v>At-Risk</v>
      </c>
      <c r="P461" s="5">
        <f>IF(Table1[[#This Row],[Health Status]]="Churned",0,1)</f>
        <v>1</v>
      </c>
      <c r="Q461" s="5" t="str">
        <f>IF(Table1[[#This Row],[Subscription_End_Date]]="", "Active", "Churned")</f>
        <v>Active</v>
      </c>
      <c r="R461" s="5">
        <f ca="1">IF(Table1[[#This Row],[Subscription_End_Date]]="", DATEDIF(Table1[[#This Row],[Subscription_Start_Date]], TODAY(), "m"),
DATEDIF(Table1[[#This Row],[Subscription_Start_Date]], Table1[[#This Row],[Subscription_End_Date]], "m"))</f>
        <v>32</v>
      </c>
      <c r="S461" s="2">
        <f ca="1">Table1[[#This Row],[Monthly_Spend]] * Table1[[#This Row],[Customer Lifetime(Months)]]</f>
        <v>320000</v>
      </c>
    </row>
    <row r="462" spans="1:19" x14ac:dyDescent="0.35">
      <c r="A462" t="s">
        <v>480</v>
      </c>
      <c r="B462" t="s">
        <v>31</v>
      </c>
      <c r="C462" s="1">
        <v>44957</v>
      </c>
      <c r="E462" t="s">
        <v>23</v>
      </c>
      <c r="F462" s="2">
        <v>10000</v>
      </c>
      <c r="G462">
        <v>22</v>
      </c>
      <c r="H462">
        <v>28</v>
      </c>
      <c r="I462" t="s">
        <v>17</v>
      </c>
      <c r="J462">
        <f>IF(Table1[[#This Row],[Status]]="Churned",1,0)</f>
        <v>0</v>
      </c>
      <c r="K462">
        <f t="shared" si="35"/>
        <v>0.27272727272727271</v>
      </c>
      <c r="L462">
        <f t="shared" si="36"/>
        <v>0.56000000000000005</v>
      </c>
      <c r="M462" s="5">
        <f t="shared" si="37"/>
        <v>5.2631578947368418E-2</v>
      </c>
      <c r="N462" s="5">
        <f t="shared" si="38"/>
        <v>0.33454545454545459</v>
      </c>
      <c r="O462" s="5" t="str">
        <f t="shared" si="39"/>
        <v>At-Risk</v>
      </c>
      <c r="P462" s="5">
        <f>IF(Table1[[#This Row],[Health Status]]="Churned",0,1)</f>
        <v>1</v>
      </c>
      <c r="Q462" s="5" t="str">
        <f>IF(Table1[[#This Row],[Subscription_End_Date]]="", "Active", "Churned")</f>
        <v>Active</v>
      </c>
      <c r="R462" s="5">
        <f ca="1">IF(Table1[[#This Row],[Subscription_End_Date]]="", DATEDIF(Table1[[#This Row],[Subscription_Start_Date]], TODAY(), "m"),
DATEDIF(Table1[[#This Row],[Subscription_Start_Date]], Table1[[#This Row],[Subscription_End_Date]], "m"))</f>
        <v>32</v>
      </c>
      <c r="S462" s="2">
        <f ca="1">Table1[[#This Row],[Monthly_Spend]] * Table1[[#This Row],[Customer Lifetime(Months)]]</f>
        <v>320000</v>
      </c>
    </row>
    <row r="463" spans="1:19" x14ac:dyDescent="0.35">
      <c r="A463" t="s">
        <v>481</v>
      </c>
      <c r="B463" t="s">
        <v>27</v>
      </c>
      <c r="C463" s="1">
        <v>45213</v>
      </c>
      <c r="E463" t="s">
        <v>23</v>
      </c>
      <c r="F463" s="2">
        <v>5000</v>
      </c>
      <c r="G463">
        <v>39</v>
      </c>
      <c r="H463">
        <v>80</v>
      </c>
      <c r="I463" t="s">
        <v>12</v>
      </c>
      <c r="J463">
        <f>IF(Table1[[#This Row],[Status]]="Churned",1,0)</f>
        <v>0</v>
      </c>
      <c r="K463">
        <f t="shared" si="35"/>
        <v>0.79797979797979801</v>
      </c>
      <c r="L463">
        <f t="shared" si="36"/>
        <v>0.21999999999999997</v>
      </c>
      <c r="M463" s="5">
        <f t="shared" si="37"/>
        <v>0</v>
      </c>
      <c r="N463" s="5">
        <f t="shared" si="38"/>
        <v>0.26959595959595961</v>
      </c>
      <c r="O463" s="5" t="str">
        <f t="shared" si="39"/>
        <v>At-Risk</v>
      </c>
      <c r="P463" s="5">
        <f>IF(Table1[[#This Row],[Health Status]]="Churned",0,1)</f>
        <v>1</v>
      </c>
      <c r="Q463" s="5" t="str">
        <f>IF(Table1[[#This Row],[Subscription_End_Date]]="", "Active", "Churned")</f>
        <v>Active</v>
      </c>
      <c r="R463" s="5">
        <f ca="1">IF(Table1[[#This Row],[Subscription_End_Date]]="", DATEDIF(Table1[[#This Row],[Subscription_Start_Date]], TODAY(), "m"),
DATEDIF(Table1[[#This Row],[Subscription_Start_Date]], Table1[[#This Row],[Subscription_End_Date]], "m"))</f>
        <v>24</v>
      </c>
      <c r="S463" s="2">
        <f ca="1">Table1[[#This Row],[Monthly_Spend]] * Table1[[#This Row],[Customer Lifetime(Months)]]</f>
        <v>120000</v>
      </c>
    </row>
    <row r="464" spans="1:19" x14ac:dyDescent="0.35">
      <c r="A464" t="s">
        <v>482</v>
      </c>
      <c r="B464" t="s">
        <v>14</v>
      </c>
      <c r="C464" s="1">
        <v>45589</v>
      </c>
      <c r="E464" t="s">
        <v>11</v>
      </c>
      <c r="F464" s="2">
        <v>100000</v>
      </c>
      <c r="G464">
        <v>30</v>
      </c>
      <c r="H464">
        <v>8</v>
      </c>
      <c r="I464" t="s">
        <v>17</v>
      </c>
      <c r="J464">
        <f>IF(Table1[[#This Row],[Status]]="Churned",1,0)</f>
        <v>0</v>
      </c>
      <c r="K464">
        <f t="shared" si="35"/>
        <v>7.0707070707070704E-2</v>
      </c>
      <c r="L464">
        <f t="shared" si="36"/>
        <v>0.4</v>
      </c>
      <c r="M464" s="5">
        <f t="shared" si="37"/>
        <v>1</v>
      </c>
      <c r="N464" s="5">
        <f t="shared" si="38"/>
        <v>0.21414141414141416</v>
      </c>
      <c r="O464" s="5" t="str">
        <f t="shared" si="39"/>
        <v>Healthy</v>
      </c>
      <c r="P464" s="5">
        <f>IF(Table1[[#This Row],[Health Status]]="Churned",0,1)</f>
        <v>1</v>
      </c>
      <c r="Q464" s="5" t="str">
        <f>IF(Table1[[#This Row],[Subscription_End_Date]]="", "Active", "Churned")</f>
        <v>Active</v>
      </c>
      <c r="R464" s="5">
        <f ca="1">IF(Table1[[#This Row],[Subscription_End_Date]]="", DATEDIF(Table1[[#This Row],[Subscription_Start_Date]], TODAY(), "m"),
DATEDIF(Table1[[#This Row],[Subscription_Start_Date]], Table1[[#This Row],[Subscription_End_Date]], "m"))</f>
        <v>12</v>
      </c>
      <c r="S464" s="2">
        <f ca="1">Table1[[#This Row],[Monthly_Spend]] * Table1[[#This Row],[Customer Lifetime(Months)]]</f>
        <v>1200000</v>
      </c>
    </row>
    <row r="465" spans="1:19" x14ac:dyDescent="0.35">
      <c r="A465" t="s">
        <v>483</v>
      </c>
      <c r="B465" t="s">
        <v>10</v>
      </c>
      <c r="C465" s="1">
        <v>45319</v>
      </c>
      <c r="E465" t="s">
        <v>23</v>
      </c>
      <c r="F465" s="2">
        <v>100000</v>
      </c>
      <c r="G465">
        <v>15</v>
      </c>
      <c r="H465">
        <v>81</v>
      </c>
      <c r="I465" t="s">
        <v>12</v>
      </c>
      <c r="J465">
        <f>IF(Table1[[#This Row],[Status]]="Churned",1,0)</f>
        <v>0</v>
      </c>
      <c r="K465">
        <f t="shared" si="35"/>
        <v>0.80808080808080807</v>
      </c>
      <c r="L465">
        <f t="shared" si="36"/>
        <v>0.7</v>
      </c>
      <c r="M465" s="5">
        <f t="shared" si="37"/>
        <v>1</v>
      </c>
      <c r="N465" s="5">
        <f t="shared" si="38"/>
        <v>0.51161616161616164</v>
      </c>
      <c r="O465" s="5" t="str">
        <f t="shared" si="39"/>
        <v>Healthy</v>
      </c>
      <c r="P465" s="5">
        <f>IF(Table1[[#This Row],[Health Status]]="Churned",0,1)</f>
        <v>1</v>
      </c>
      <c r="Q465" s="5" t="str">
        <f>IF(Table1[[#This Row],[Subscription_End_Date]]="", "Active", "Churned")</f>
        <v>Active</v>
      </c>
      <c r="R465" s="5">
        <f ca="1">IF(Table1[[#This Row],[Subscription_End_Date]]="", DATEDIF(Table1[[#This Row],[Subscription_Start_Date]], TODAY(), "m"),
DATEDIF(Table1[[#This Row],[Subscription_Start_Date]], Table1[[#This Row],[Subscription_End_Date]], "m"))</f>
        <v>21</v>
      </c>
      <c r="S465" s="2">
        <f ca="1">Table1[[#This Row],[Monthly_Spend]] * Table1[[#This Row],[Customer Lifetime(Months)]]</f>
        <v>2100000</v>
      </c>
    </row>
    <row r="466" spans="1:19" x14ac:dyDescent="0.35">
      <c r="A466" t="s">
        <v>484</v>
      </c>
      <c r="B466" t="s">
        <v>14</v>
      </c>
      <c r="C466" s="1">
        <v>45318</v>
      </c>
      <c r="E466" t="s">
        <v>11</v>
      </c>
      <c r="F466" s="2">
        <v>50000</v>
      </c>
      <c r="G466">
        <v>34</v>
      </c>
      <c r="H466">
        <v>63</v>
      </c>
      <c r="I466" t="s">
        <v>17</v>
      </c>
      <c r="J466">
        <f>IF(Table1[[#This Row],[Status]]="Churned",1,0)</f>
        <v>0</v>
      </c>
      <c r="K466">
        <f t="shared" si="35"/>
        <v>0.6262626262626263</v>
      </c>
      <c r="L466">
        <f t="shared" si="36"/>
        <v>0.31999999999999995</v>
      </c>
      <c r="M466" s="5">
        <f t="shared" si="37"/>
        <v>0.47368421052631576</v>
      </c>
      <c r="N466" s="5">
        <f t="shared" si="38"/>
        <v>0.2852525252525252</v>
      </c>
      <c r="O466" s="5" t="str">
        <f t="shared" si="39"/>
        <v>At-Risk</v>
      </c>
      <c r="P466" s="5">
        <f>IF(Table1[[#This Row],[Health Status]]="Churned",0,1)</f>
        <v>1</v>
      </c>
      <c r="Q466" s="5" t="str">
        <f>IF(Table1[[#This Row],[Subscription_End_Date]]="", "Active", "Churned")</f>
        <v>Active</v>
      </c>
      <c r="R466" s="5">
        <f ca="1">IF(Table1[[#This Row],[Subscription_End_Date]]="", DATEDIF(Table1[[#This Row],[Subscription_Start_Date]], TODAY(), "m"),
DATEDIF(Table1[[#This Row],[Subscription_Start_Date]], Table1[[#This Row],[Subscription_End_Date]], "m"))</f>
        <v>21</v>
      </c>
      <c r="S466" s="2">
        <f ca="1">Table1[[#This Row],[Monthly_Spend]] * Table1[[#This Row],[Customer Lifetime(Months)]]</f>
        <v>1050000</v>
      </c>
    </row>
    <row r="467" spans="1:19" x14ac:dyDescent="0.35">
      <c r="A467" t="s">
        <v>485</v>
      </c>
      <c r="B467" t="s">
        <v>19</v>
      </c>
      <c r="C467" s="1">
        <v>45441</v>
      </c>
      <c r="E467" t="s">
        <v>16</v>
      </c>
      <c r="F467" s="2">
        <v>10000</v>
      </c>
      <c r="G467">
        <v>1</v>
      </c>
      <c r="H467">
        <v>41</v>
      </c>
      <c r="I467" t="s">
        <v>17</v>
      </c>
      <c r="J467">
        <f>IF(Table1[[#This Row],[Status]]="Churned",1,0)</f>
        <v>0</v>
      </c>
      <c r="K467">
        <f t="shared" si="35"/>
        <v>0.40404040404040403</v>
      </c>
      <c r="L467">
        <f t="shared" si="36"/>
        <v>0.98</v>
      </c>
      <c r="M467" s="5">
        <f t="shared" si="37"/>
        <v>5.2631578947368418E-2</v>
      </c>
      <c r="N467" s="5">
        <f t="shared" si="38"/>
        <v>0.57080808080808076</v>
      </c>
      <c r="O467" s="5" t="str">
        <f t="shared" si="39"/>
        <v>At-Risk</v>
      </c>
      <c r="P467" s="5">
        <f>IF(Table1[[#This Row],[Health Status]]="Churned",0,1)</f>
        <v>1</v>
      </c>
      <c r="Q467" s="5" t="str">
        <f>IF(Table1[[#This Row],[Subscription_End_Date]]="", "Active", "Churned")</f>
        <v>Active</v>
      </c>
      <c r="R467" s="5">
        <f ca="1">IF(Table1[[#This Row],[Subscription_End_Date]]="", DATEDIF(Table1[[#This Row],[Subscription_Start_Date]], TODAY(), "m"),
DATEDIF(Table1[[#This Row],[Subscription_Start_Date]], Table1[[#This Row],[Subscription_End_Date]], "m"))</f>
        <v>17</v>
      </c>
      <c r="S467" s="2">
        <f ca="1">Table1[[#This Row],[Monthly_Spend]] * Table1[[#This Row],[Customer Lifetime(Months)]]</f>
        <v>170000</v>
      </c>
    </row>
    <row r="468" spans="1:19" x14ac:dyDescent="0.35">
      <c r="A468" t="s">
        <v>486</v>
      </c>
      <c r="B468" t="s">
        <v>14</v>
      </c>
      <c r="C468" s="1">
        <v>44957</v>
      </c>
      <c r="E468" t="s">
        <v>11</v>
      </c>
      <c r="F468" s="2">
        <v>5000</v>
      </c>
      <c r="G468">
        <v>30</v>
      </c>
      <c r="H468">
        <v>68</v>
      </c>
      <c r="I468" t="s">
        <v>17</v>
      </c>
      <c r="J468">
        <f>IF(Table1[[#This Row],[Status]]="Churned",1,0)</f>
        <v>0</v>
      </c>
      <c r="K468">
        <f t="shared" si="35"/>
        <v>0.6767676767676768</v>
      </c>
      <c r="L468">
        <f t="shared" si="36"/>
        <v>0.4</v>
      </c>
      <c r="M468" s="5">
        <f t="shared" si="37"/>
        <v>0</v>
      </c>
      <c r="N468" s="5">
        <f t="shared" si="38"/>
        <v>0.3353535353535354</v>
      </c>
      <c r="O468" s="5" t="str">
        <f t="shared" si="39"/>
        <v>At-Risk</v>
      </c>
      <c r="P468" s="5">
        <f>IF(Table1[[#This Row],[Health Status]]="Churned",0,1)</f>
        <v>1</v>
      </c>
      <c r="Q468" s="5" t="str">
        <f>IF(Table1[[#This Row],[Subscription_End_Date]]="", "Active", "Churned")</f>
        <v>Active</v>
      </c>
      <c r="R468" s="5">
        <f ca="1">IF(Table1[[#This Row],[Subscription_End_Date]]="", DATEDIF(Table1[[#This Row],[Subscription_Start_Date]], TODAY(), "m"),
DATEDIF(Table1[[#This Row],[Subscription_Start_Date]], Table1[[#This Row],[Subscription_End_Date]], "m"))</f>
        <v>32</v>
      </c>
      <c r="S468" s="2">
        <f ca="1">Table1[[#This Row],[Monthly_Spend]] * Table1[[#This Row],[Customer Lifetime(Months)]]</f>
        <v>160000</v>
      </c>
    </row>
    <row r="469" spans="1:19" x14ac:dyDescent="0.35">
      <c r="A469" t="s">
        <v>487</v>
      </c>
      <c r="B469" t="s">
        <v>19</v>
      </c>
      <c r="C469" s="1">
        <v>45165</v>
      </c>
      <c r="E469" t="s">
        <v>16</v>
      </c>
      <c r="F469" s="2">
        <v>10000</v>
      </c>
      <c r="G469">
        <v>42</v>
      </c>
      <c r="H469">
        <v>31</v>
      </c>
      <c r="I469" t="s">
        <v>12</v>
      </c>
      <c r="J469">
        <f>IF(Table1[[#This Row],[Status]]="Churned",1,0)</f>
        <v>0</v>
      </c>
      <c r="K469">
        <f t="shared" si="35"/>
        <v>0.30303030303030304</v>
      </c>
      <c r="L469">
        <f t="shared" si="36"/>
        <v>0.16000000000000003</v>
      </c>
      <c r="M469" s="5">
        <f t="shared" si="37"/>
        <v>5.2631578947368418E-2</v>
      </c>
      <c r="N469" s="5">
        <f t="shared" si="38"/>
        <v>0.14060606060606062</v>
      </c>
      <c r="O469" s="5" t="str">
        <f t="shared" si="39"/>
        <v>At-Risk</v>
      </c>
      <c r="P469" s="5">
        <f>IF(Table1[[#This Row],[Health Status]]="Churned",0,1)</f>
        <v>1</v>
      </c>
      <c r="Q469" s="5" t="str">
        <f>IF(Table1[[#This Row],[Subscription_End_Date]]="", "Active", "Churned")</f>
        <v>Active</v>
      </c>
      <c r="R469" s="5">
        <f ca="1">IF(Table1[[#This Row],[Subscription_End_Date]]="", DATEDIF(Table1[[#This Row],[Subscription_Start_Date]], TODAY(), "m"),
DATEDIF(Table1[[#This Row],[Subscription_Start_Date]], Table1[[#This Row],[Subscription_End_Date]], "m"))</f>
        <v>26</v>
      </c>
      <c r="S469" s="2">
        <f ca="1">Table1[[#This Row],[Monthly_Spend]] * Table1[[#This Row],[Customer Lifetime(Months)]]</f>
        <v>260000</v>
      </c>
    </row>
    <row r="470" spans="1:19" x14ac:dyDescent="0.35">
      <c r="A470" t="s">
        <v>488</v>
      </c>
      <c r="B470" t="s">
        <v>19</v>
      </c>
      <c r="C470" s="1">
        <v>44984</v>
      </c>
      <c r="E470" t="s">
        <v>16</v>
      </c>
      <c r="F470" s="2">
        <v>100000</v>
      </c>
      <c r="G470">
        <v>24</v>
      </c>
      <c r="H470">
        <v>46</v>
      </c>
      <c r="I470" t="s">
        <v>12</v>
      </c>
      <c r="J470">
        <f>IF(Table1[[#This Row],[Status]]="Churned",1,0)</f>
        <v>0</v>
      </c>
      <c r="K470">
        <f t="shared" si="35"/>
        <v>0.45454545454545453</v>
      </c>
      <c r="L470">
        <f t="shared" si="36"/>
        <v>0.52</v>
      </c>
      <c r="M470" s="5">
        <f t="shared" si="37"/>
        <v>1</v>
      </c>
      <c r="N470" s="5">
        <f t="shared" si="38"/>
        <v>0.35090909090909095</v>
      </c>
      <c r="O470" s="5" t="str">
        <f t="shared" si="39"/>
        <v>Healthy</v>
      </c>
      <c r="P470" s="5">
        <f>IF(Table1[[#This Row],[Health Status]]="Churned",0,1)</f>
        <v>1</v>
      </c>
      <c r="Q470" s="5" t="str">
        <f>IF(Table1[[#This Row],[Subscription_End_Date]]="", "Active", "Churned")</f>
        <v>Active</v>
      </c>
      <c r="R470" s="5">
        <f ca="1">IF(Table1[[#This Row],[Subscription_End_Date]]="", DATEDIF(Table1[[#This Row],[Subscription_Start_Date]], TODAY(), "m"),
DATEDIF(Table1[[#This Row],[Subscription_Start_Date]], Table1[[#This Row],[Subscription_End_Date]], "m"))</f>
        <v>32</v>
      </c>
      <c r="S470" s="2">
        <f ca="1">Table1[[#This Row],[Monthly_Spend]] * Table1[[#This Row],[Customer Lifetime(Months)]]</f>
        <v>3200000</v>
      </c>
    </row>
    <row r="471" spans="1:19" x14ac:dyDescent="0.35">
      <c r="A471" t="s">
        <v>489</v>
      </c>
      <c r="B471" t="s">
        <v>27</v>
      </c>
      <c r="C471" s="1">
        <v>45169</v>
      </c>
      <c r="E471" t="s">
        <v>11</v>
      </c>
      <c r="F471" s="2">
        <v>100000</v>
      </c>
      <c r="G471">
        <v>1</v>
      </c>
      <c r="H471">
        <v>91</v>
      </c>
      <c r="I471" t="s">
        <v>17</v>
      </c>
      <c r="J471">
        <f>IF(Table1[[#This Row],[Status]]="Churned",1,0)</f>
        <v>0</v>
      </c>
      <c r="K471">
        <f t="shared" si="35"/>
        <v>0.90909090909090906</v>
      </c>
      <c r="L471">
        <f t="shared" si="36"/>
        <v>0.98</v>
      </c>
      <c r="M471" s="5">
        <f t="shared" si="37"/>
        <v>1</v>
      </c>
      <c r="N471" s="5">
        <f t="shared" si="38"/>
        <v>0.67181818181818187</v>
      </c>
      <c r="O471" s="5" t="str">
        <f t="shared" si="39"/>
        <v>Healthy</v>
      </c>
      <c r="P471" s="5">
        <f>IF(Table1[[#This Row],[Health Status]]="Churned",0,1)</f>
        <v>1</v>
      </c>
      <c r="Q471" s="5" t="str">
        <f>IF(Table1[[#This Row],[Subscription_End_Date]]="", "Active", "Churned")</f>
        <v>Active</v>
      </c>
      <c r="R471" s="5">
        <f ca="1">IF(Table1[[#This Row],[Subscription_End_Date]]="", DATEDIF(Table1[[#This Row],[Subscription_Start_Date]], TODAY(), "m"),
DATEDIF(Table1[[#This Row],[Subscription_Start_Date]], Table1[[#This Row],[Subscription_End_Date]], "m"))</f>
        <v>25</v>
      </c>
      <c r="S471" s="2">
        <f ca="1">Table1[[#This Row],[Monthly_Spend]] * Table1[[#This Row],[Customer Lifetime(Months)]]</f>
        <v>2500000</v>
      </c>
    </row>
    <row r="472" spans="1:19" x14ac:dyDescent="0.35">
      <c r="A472" t="s">
        <v>490</v>
      </c>
      <c r="B472" t="s">
        <v>19</v>
      </c>
      <c r="C472" s="1">
        <v>45504</v>
      </c>
      <c r="D472" s="1">
        <v>45726</v>
      </c>
      <c r="E472" t="s">
        <v>16</v>
      </c>
      <c r="F472" s="2">
        <v>50000</v>
      </c>
      <c r="G472">
        <v>34</v>
      </c>
      <c r="H472">
        <v>40</v>
      </c>
      <c r="I472" t="s">
        <v>28</v>
      </c>
      <c r="J472">
        <f>IF(Table1[[#This Row],[Status]]="Churned",1,0)</f>
        <v>1</v>
      </c>
      <c r="K472">
        <f t="shared" si="35"/>
        <v>0.39393939393939392</v>
      </c>
      <c r="L472">
        <f t="shared" si="36"/>
        <v>0.31999999999999995</v>
      </c>
      <c r="M472" s="5">
        <f t="shared" si="37"/>
        <v>0.47368421052631576</v>
      </c>
      <c r="N472" s="5">
        <f t="shared" si="38"/>
        <v>0.53878787878787882</v>
      </c>
      <c r="O472" s="5" t="str">
        <f t="shared" si="39"/>
        <v>Churned</v>
      </c>
      <c r="P472" s="5">
        <f>IF(Table1[[#This Row],[Health Status]]="Churned",0,1)</f>
        <v>0</v>
      </c>
      <c r="Q472" s="5" t="str">
        <f>IF(Table1[[#This Row],[Subscription_End_Date]]="", "Active", "Churned")</f>
        <v>Churned</v>
      </c>
      <c r="R472" s="5">
        <f ca="1">IF(Table1[[#This Row],[Subscription_End_Date]]="", DATEDIF(Table1[[#This Row],[Subscription_Start_Date]], TODAY(), "m"),
DATEDIF(Table1[[#This Row],[Subscription_Start_Date]], Table1[[#This Row],[Subscription_End_Date]], "m"))</f>
        <v>7</v>
      </c>
      <c r="S472" s="2">
        <f ca="1">Table1[[#This Row],[Monthly_Spend]] * Table1[[#This Row],[Customer Lifetime(Months)]]</f>
        <v>350000</v>
      </c>
    </row>
    <row r="473" spans="1:19" x14ac:dyDescent="0.35">
      <c r="A473" t="s">
        <v>491</v>
      </c>
      <c r="B473" t="s">
        <v>27</v>
      </c>
      <c r="C473" s="1">
        <v>44965</v>
      </c>
      <c r="D473" s="1">
        <v>45233</v>
      </c>
      <c r="E473" t="s">
        <v>23</v>
      </c>
      <c r="F473" s="2">
        <v>100000</v>
      </c>
      <c r="G473">
        <v>14</v>
      </c>
      <c r="H473">
        <v>3</v>
      </c>
      <c r="I473" t="s">
        <v>28</v>
      </c>
      <c r="J473">
        <f>IF(Table1[[#This Row],[Status]]="Churned",1,0)</f>
        <v>1</v>
      </c>
      <c r="K473">
        <f t="shared" si="35"/>
        <v>2.0202020202020204E-2</v>
      </c>
      <c r="L473">
        <f t="shared" si="36"/>
        <v>0.72</v>
      </c>
      <c r="M473" s="5">
        <f t="shared" si="37"/>
        <v>1</v>
      </c>
      <c r="N473" s="5">
        <f t="shared" si="38"/>
        <v>0.66404040404040399</v>
      </c>
      <c r="O473" s="5" t="str">
        <f t="shared" si="39"/>
        <v>Churned</v>
      </c>
      <c r="P473" s="5">
        <f>IF(Table1[[#This Row],[Health Status]]="Churned",0,1)</f>
        <v>0</v>
      </c>
      <c r="Q473" s="5" t="str">
        <f>IF(Table1[[#This Row],[Subscription_End_Date]]="", "Active", "Churned")</f>
        <v>Churned</v>
      </c>
      <c r="R473" s="5">
        <f ca="1">IF(Table1[[#This Row],[Subscription_End_Date]]="", DATEDIF(Table1[[#This Row],[Subscription_Start_Date]], TODAY(), "m"),
DATEDIF(Table1[[#This Row],[Subscription_Start_Date]], Table1[[#This Row],[Subscription_End_Date]], "m"))</f>
        <v>8</v>
      </c>
      <c r="S473" s="2">
        <f ca="1">Table1[[#This Row],[Monthly_Spend]] * Table1[[#This Row],[Customer Lifetime(Months)]]</f>
        <v>800000</v>
      </c>
    </row>
    <row r="474" spans="1:19" x14ac:dyDescent="0.35">
      <c r="A474" t="s">
        <v>492</v>
      </c>
      <c r="B474" t="s">
        <v>14</v>
      </c>
      <c r="C474" s="1">
        <v>44927</v>
      </c>
      <c r="E474" t="s">
        <v>23</v>
      </c>
      <c r="F474" s="2">
        <v>10000</v>
      </c>
      <c r="G474">
        <v>21</v>
      </c>
      <c r="H474">
        <v>92</v>
      </c>
      <c r="I474" t="s">
        <v>12</v>
      </c>
      <c r="J474">
        <f>IF(Table1[[#This Row],[Status]]="Churned",1,0)</f>
        <v>0</v>
      </c>
      <c r="K474">
        <f t="shared" si="35"/>
        <v>0.91919191919191923</v>
      </c>
      <c r="L474">
        <f t="shared" si="36"/>
        <v>0.58000000000000007</v>
      </c>
      <c r="M474" s="5">
        <f t="shared" si="37"/>
        <v>5.2631578947368418E-2</v>
      </c>
      <c r="N474" s="5">
        <f t="shared" si="38"/>
        <v>0.47383838383838389</v>
      </c>
      <c r="O474" s="5" t="str">
        <f t="shared" si="39"/>
        <v>At-Risk</v>
      </c>
      <c r="P474" s="5">
        <f>IF(Table1[[#This Row],[Health Status]]="Churned",0,1)</f>
        <v>1</v>
      </c>
      <c r="Q474" s="5" t="str">
        <f>IF(Table1[[#This Row],[Subscription_End_Date]]="", "Active", "Churned")</f>
        <v>Active</v>
      </c>
      <c r="R474" s="5">
        <f ca="1">IF(Table1[[#This Row],[Subscription_End_Date]]="", DATEDIF(Table1[[#This Row],[Subscription_Start_Date]], TODAY(), "m"),
DATEDIF(Table1[[#This Row],[Subscription_Start_Date]], Table1[[#This Row],[Subscription_End_Date]], "m"))</f>
        <v>33</v>
      </c>
      <c r="S474" s="2">
        <f ca="1">Table1[[#This Row],[Monthly_Spend]] * Table1[[#This Row],[Customer Lifetime(Months)]]</f>
        <v>330000</v>
      </c>
    </row>
    <row r="475" spans="1:19" x14ac:dyDescent="0.35">
      <c r="A475" t="s">
        <v>493</v>
      </c>
      <c r="B475" t="s">
        <v>27</v>
      </c>
      <c r="C475" s="1">
        <v>44987</v>
      </c>
      <c r="D475" s="1">
        <v>45617</v>
      </c>
      <c r="E475" t="s">
        <v>23</v>
      </c>
      <c r="F475" s="2">
        <v>10000</v>
      </c>
      <c r="G475">
        <v>49</v>
      </c>
      <c r="H475">
        <v>15</v>
      </c>
      <c r="I475" t="s">
        <v>28</v>
      </c>
      <c r="J475">
        <f>IF(Table1[[#This Row],[Status]]="Churned",1,0)</f>
        <v>1</v>
      </c>
      <c r="K475">
        <f t="shared" si="35"/>
        <v>0.14141414141414141</v>
      </c>
      <c r="L475">
        <f t="shared" si="36"/>
        <v>2.0000000000000018E-2</v>
      </c>
      <c r="M475" s="5">
        <f t="shared" si="37"/>
        <v>5.2631578947368418E-2</v>
      </c>
      <c r="N475" s="5">
        <f t="shared" si="38"/>
        <v>0.3382828282828283</v>
      </c>
      <c r="O475" s="5" t="str">
        <f t="shared" si="39"/>
        <v>Churned</v>
      </c>
      <c r="P475" s="5">
        <f>IF(Table1[[#This Row],[Health Status]]="Churned",0,1)</f>
        <v>0</v>
      </c>
      <c r="Q475" s="5" t="str">
        <f>IF(Table1[[#This Row],[Subscription_End_Date]]="", "Active", "Churned")</f>
        <v>Churned</v>
      </c>
      <c r="R475" s="5">
        <f ca="1">IF(Table1[[#This Row],[Subscription_End_Date]]="", DATEDIF(Table1[[#This Row],[Subscription_Start_Date]], TODAY(), "m"),
DATEDIF(Table1[[#This Row],[Subscription_Start_Date]], Table1[[#This Row],[Subscription_End_Date]], "m"))</f>
        <v>20</v>
      </c>
      <c r="S475" s="2">
        <f ca="1">Table1[[#This Row],[Monthly_Spend]] * Table1[[#This Row],[Customer Lifetime(Months)]]</f>
        <v>200000</v>
      </c>
    </row>
    <row r="476" spans="1:19" x14ac:dyDescent="0.35">
      <c r="A476" t="s">
        <v>494</v>
      </c>
      <c r="B476" t="s">
        <v>14</v>
      </c>
      <c r="C476" s="1">
        <v>45001</v>
      </c>
      <c r="E476" t="s">
        <v>23</v>
      </c>
      <c r="F476" s="2">
        <v>100000</v>
      </c>
      <c r="G476">
        <v>6</v>
      </c>
      <c r="H476">
        <v>44</v>
      </c>
      <c r="I476" t="s">
        <v>17</v>
      </c>
      <c r="J476">
        <f>IF(Table1[[#This Row],[Status]]="Churned",1,0)</f>
        <v>0</v>
      </c>
      <c r="K476">
        <f t="shared" si="35"/>
        <v>0.43434343434343436</v>
      </c>
      <c r="L476">
        <f t="shared" si="36"/>
        <v>0.88</v>
      </c>
      <c r="M476" s="5">
        <f t="shared" si="37"/>
        <v>1</v>
      </c>
      <c r="N476" s="5">
        <f t="shared" si="38"/>
        <v>0.52686868686868693</v>
      </c>
      <c r="O476" s="5" t="str">
        <f t="shared" si="39"/>
        <v>Healthy</v>
      </c>
      <c r="P476" s="5">
        <f>IF(Table1[[#This Row],[Health Status]]="Churned",0,1)</f>
        <v>1</v>
      </c>
      <c r="Q476" s="5" t="str">
        <f>IF(Table1[[#This Row],[Subscription_End_Date]]="", "Active", "Churned")</f>
        <v>Active</v>
      </c>
      <c r="R476" s="5">
        <f ca="1">IF(Table1[[#This Row],[Subscription_End_Date]]="", DATEDIF(Table1[[#This Row],[Subscription_Start_Date]], TODAY(), "m"),
DATEDIF(Table1[[#This Row],[Subscription_Start_Date]], Table1[[#This Row],[Subscription_End_Date]], "m"))</f>
        <v>31</v>
      </c>
      <c r="S476" s="2">
        <f ca="1">Table1[[#This Row],[Monthly_Spend]] * Table1[[#This Row],[Customer Lifetime(Months)]]</f>
        <v>3100000</v>
      </c>
    </row>
    <row r="477" spans="1:19" x14ac:dyDescent="0.35">
      <c r="A477" t="s">
        <v>495</v>
      </c>
      <c r="B477" t="s">
        <v>19</v>
      </c>
      <c r="C477" s="1">
        <v>45066</v>
      </c>
      <c r="E477" t="s">
        <v>23</v>
      </c>
      <c r="F477" s="2">
        <v>50000</v>
      </c>
      <c r="G477">
        <v>41</v>
      </c>
      <c r="H477">
        <v>41</v>
      </c>
      <c r="I477" t="s">
        <v>17</v>
      </c>
      <c r="J477">
        <f>IF(Table1[[#This Row],[Status]]="Churned",1,0)</f>
        <v>0</v>
      </c>
      <c r="K477">
        <f t="shared" si="35"/>
        <v>0.40404040404040403</v>
      </c>
      <c r="L477">
        <f t="shared" si="36"/>
        <v>0.18000000000000005</v>
      </c>
      <c r="M477" s="5">
        <f t="shared" si="37"/>
        <v>0.47368421052631576</v>
      </c>
      <c r="N477" s="5">
        <f t="shared" si="38"/>
        <v>0.17080808080808085</v>
      </c>
      <c r="O477" s="5" t="str">
        <f t="shared" si="39"/>
        <v>At-Risk</v>
      </c>
      <c r="P477" s="5">
        <f>IF(Table1[[#This Row],[Health Status]]="Churned",0,1)</f>
        <v>1</v>
      </c>
      <c r="Q477" s="5" t="str">
        <f>IF(Table1[[#This Row],[Subscription_End_Date]]="", "Active", "Churned")</f>
        <v>Active</v>
      </c>
      <c r="R477" s="5">
        <f ca="1">IF(Table1[[#This Row],[Subscription_End_Date]]="", DATEDIF(Table1[[#This Row],[Subscription_Start_Date]], TODAY(), "m"),
DATEDIF(Table1[[#This Row],[Subscription_Start_Date]], Table1[[#This Row],[Subscription_End_Date]], "m"))</f>
        <v>29</v>
      </c>
      <c r="S477" s="2">
        <f ca="1">Table1[[#This Row],[Monthly_Spend]] * Table1[[#This Row],[Customer Lifetime(Months)]]</f>
        <v>1450000</v>
      </c>
    </row>
    <row r="478" spans="1:19" x14ac:dyDescent="0.35">
      <c r="A478" t="s">
        <v>496</v>
      </c>
      <c r="B478" t="s">
        <v>27</v>
      </c>
      <c r="C478" s="1">
        <v>45502</v>
      </c>
      <c r="E478" t="s">
        <v>16</v>
      </c>
      <c r="F478" s="2">
        <v>10000</v>
      </c>
      <c r="G478">
        <v>42</v>
      </c>
      <c r="H478">
        <v>76</v>
      </c>
      <c r="I478" t="s">
        <v>17</v>
      </c>
      <c r="J478">
        <f>IF(Table1[[#This Row],[Status]]="Churned",1,0)</f>
        <v>0</v>
      </c>
      <c r="K478">
        <f t="shared" si="35"/>
        <v>0.75757575757575757</v>
      </c>
      <c r="L478">
        <f t="shared" si="36"/>
        <v>0.16000000000000003</v>
      </c>
      <c r="M478" s="5">
        <f t="shared" si="37"/>
        <v>5.2631578947368418E-2</v>
      </c>
      <c r="N478" s="5">
        <f t="shared" si="38"/>
        <v>0.23151515151515153</v>
      </c>
      <c r="O478" s="5" t="str">
        <f t="shared" si="39"/>
        <v>At-Risk</v>
      </c>
      <c r="P478" s="5">
        <f>IF(Table1[[#This Row],[Health Status]]="Churned",0,1)</f>
        <v>1</v>
      </c>
      <c r="Q478" s="5" t="str">
        <f>IF(Table1[[#This Row],[Subscription_End_Date]]="", "Active", "Churned")</f>
        <v>Active</v>
      </c>
      <c r="R478" s="5">
        <f ca="1">IF(Table1[[#This Row],[Subscription_End_Date]]="", DATEDIF(Table1[[#This Row],[Subscription_Start_Date]], TODAY(), "m"),
DATEDIF(Table1[[#This Row],[Subscription_Start_Date]], Table1[[#This Row],[Subscription_End_Date]], "m"))</f>
        <v>15</v>
      </c>
      <c r="S478" s="2">
        <f ca="1">Table1[[#This Row],[Monthly_Spend]] * Table1[[#This Row],[Customer Lifetime(Months)]]</f>
        <v>150000</v>
      </c>
    </row>
    <row r="479" spans="1:19" x14ac:dyDescent="0.35">
      <c r="A479" t="s">
        <v>497</v>
      </c>
      <c r="B479" t="s">
        <v>27</v>
      </c>
      <c r="C479" s="1">
        <v>45241</v>
      </c>
      <c r="E479" t="s">
        <v>23</v>
      </c>
      <c r="F479" s="2">
        <v>10000</v>
      </c>
      <c r="G479">
        <v>11</v>
      </c>
      <c r="H479">
        <v>94</v>
      </c>
      <c r="I479" t="s">
        <v>17</v>
      </c>
      <c r="J479">
        <f>IF(Table1[[#This Row],[Status]]="Churned",1,0)</f>
        <v>0</v>
      </c>
      <c r="K479">
        <f t="shared" si="35"/>
        <v>0.93939393939393945</v>
      </c>
      <c r="L479">
        <f t="shared" si="36"/>
        <v>0.78</v>
      </c>
      <c r="M479" s="5">
        <f t="shared" si="37"/>
        <v>5.2631578947368418E-2</v>
      </c>
      <c r="N479" s="5">
        <f t="shared" si="38"/>
        <v>0.57787878787878788</v>
      </c>
      <c r="O479" s="5" t="str">
        <f t="shared" si="39"/>
        <v>At-Risk</v>
      </c>
      <c r="P479" s="5">
        <f>IF(Table1[[#This Row],[Health Status]]="Churned",0,1)</f>
        <v>1</v>
      </c>
      <c r="Q479" s="5" t="str">
        <f>IF(Table1[[#This Row],[Subscription_End_Date]]="", "Active", "Churned")</f>
        <v>Active</v>
      </c>
      <c r="R479" s="5">
        <f ca="1">IF(Table1[[#This Row],[Subscription_End_Date]]="", DATEDIF(Table1[[#This Row],[Subscription_Start_Date]], TODAY(), "m"),
DATEDIF(Table1[[#This Row],[Subscription_Start_Date]], Table1[[#This Row],[Subscription_End_Date]], "m"))</f>
        <v>23</v>
      </c>
      <c r="S479" s="2">
        <f ca="1">Table1[[#This Row],[Monthly_Spend]] * Table1[[#This Row],[Customer Lifetime(Months)]]</f>
        <v>230000</v>
      </c>
    </row>
    <row r="480" spans="1:19" x14ac:dyDescent="0.35">
      <c r="A480" t="s">
        <v>498</v>
      </c>
      <c r="B480" t="s">
        <v>10</v>
      </c>
      <c r="C480" s="1">
        <v>45513</v>
      </c>
      <c r="E480" t="s">
        <v>16</v>
      </c>
      <c r="F480" s="2">
        <v>10000</v>
      </c>
      <c r="G480">
        <v>38</v>
      </c>
      <c r="H480">
        <v>41</v>
      </c>
      <c r="I480" t="s">
        <v>12</v>
      </c>
      <c r="J480">
        <f>IF(Table1[[#This Row],[Status]]="Churned",1,0)</f>
        <v>0</v>
      </c>
      <c r="K480">
        <f t="shared" si="35"/>
        <v>0.40404040404040403</v>
      </c>
      <c r="L480">
        <f t="shared" si="36"/>
        <v>0.24</v>
      </c>
      <c r="M480" s="5">
        <f t="shared" si="37"/>
        <v>5.2631578947368418E-2</v>
      </c>
      <c r="N480" s="5">
        <f t="shared" si="38"/>
        <v>0.20080808080808082</v>
      </c>
      <c r="O480" s="5" t="str">
        <f t="shared" si="39"/>
        <v>At-Risk</v>
      </c>
      <c r="P480" s="5">
        <f>IF(Table1[[#This Row],[Health Status]]="Churned",0,1)</f>
        <v>1</v>
      </c>
      <c r="Q480" s="5" t="str">
        <f>IF(Table1[[#This Row],[Subscription_End_Date]]="", "Active", "Churned")</f>
        <v>Active</v>
      </c>
      <c r="R480" s="5">
        <f ca="1">IF(Table1[[#This Row],[Subscription_End_Date]]="", DATEDIF(Table1[[#This Row],[Subscription_Start_Date]], TODAY(), "m"),
DATEDIF(Table1[[#This Row],[Subscription_Start_Date]], Table1[[#This Row],[Subscription_End_Date]], "m"))</f>
        <v>14</v>
      </c>
      <c r="S480" s="2">
        <f ca="1">Table1[[#This Row],[Monthly_Spend]] * Table1[[#This Row],[Customer Lifetime(Months)]]</f>
        <v>140000</v>
      </c>
    </row>
    <row r="481" spans="1:19" x14ac:dyDescent="0.35">
      <c r="A481" t="s">
        <v>499</v>
      </c>
      <c r="B481" t="s">
        <v>14</v>
      </c>
      <c r="C481" s="1">
        <v>45581</v>
      </c>
      <c r="E481" t="s">
        <v>11</v>
      </c>
      <c r="F481" s="2">
        <v>10000</v>
      </c>
      <c r="G481">
        <v>21</v>
      </c>
      <c r="H481">
        <v>96</v>
      </c>
      <c r="I481" t="s">
        <v>17</v>
      </c>
      <c r="J481">
        <f>IF(Table1[[#This Row],[Status]]="Churned",1,0)</f>
        <v>0</v>
      </c>
      <c r="K481">
        <f t="shared" si="35"/>
        <v>0.95959595959595956</v>
      </c>
      <c r="L481">
        <f t="shared" si="36"/>
        <v>0.58000000000000007</v>
      </c>
      <c r="M481" s="5">
        <f t="shared" si="37"/>
        <v>5.2631578947368418E-2</v>
      </c>
      <c r="N481" s="5">
        <f t="shared" si="38"/>
        <v>0.48191919191919197</v>
      </c>
      <c r="O481" s="5" t="str">
        <f t="shared" si="39"/>
        <v>At-Risk</v>
      </c>
      <c r="P481" s="5">
        <f>IF(Table1[[#This Row],[Health Status]]="Churned",0,1)</f>
        <v>1</v>
      </c>
      <c r="Q481" s="5" t="str">
        <f>IF(Table1[[#This Row],[Subscription_End_Date]]="", "Active", "Churned")</f>
        <v>Active</v>
      </c>
      <c r="R481" s="5">
        <f ca="1">IF(Table1[[#This Row],[Subscription_End_Date]]="", DATEDIF(Table1[[#This Row],[Subscription_Start_Date]], TODAY(), "m"),
DATEDIF(Table1[[#This Row],[Subscription_Start_Date]], Table1[[#This Row],[Subscription_End_Date]], "m"))</f>
        <v>12</v>
      </c>
      <c r="S481" s="2">
        <f ca="1">Table1[[#This Row],[Monthly_Spend]] * Table1[[#This Row],[Customer Lifetime(Months)]]</f>
        <v>120000</v>
      </c>
    </row>
    <row r="482" spans="1:19" x14ac:dyDescent="0.35">
      <c r="A482" t="s">
        <v>500</v>
      </c>
      <c r="B482" t="s">
        <v>10</v>
      </c>
      <c r="C482" s="1">
        <v>45282</v>
      </c>
      <c r="E482" t="s">
        <v>11</v>
      </c>
      <c r="F482" s="2">
        <v>5000</v>
      </c>
      <c r="G482">
        <v>45</v>
      </c>
      <c r="H482">
        <v>86</v>
      </c>
      <c r="I482" t="s">
        <v>12</v>
      </c>
      <c r="J482">
        <f>IF(Table1[[#This Row],[Status]]="Churned",1,0)</f>
        <v>0</v>
      </c>
      <c r="K482">
        <f t="shared" si="35"/>
        <v>0.85858585858585856</v>
      </c>
      <c r="L482">
        <f t="shared" si="36"/>
        <v>9.9999999999999978E-2</v>
      </c>
      <c r="M482" s="5">
        <f t="shared" si="37"/>
        <v>0</v>
      </c>
      <c r="N482" s="5">
        <f t="shared" si="38"/>
        <v>0.2217171717171717</v>
      </c>
      <c r="O482" s="5" t="str">
        <f t="shared" si="39"/>
        <v>At-Risk</v>
      </c>
      <c r="P482" s="5">
        <f>IF(Table1[[#This Row],[Health Status]]="Churned",0,1)</f>
        <v>1</v>
      </c>
      <c r="Q482" s="5" t="str">
        <f>IF(Table1[[#This Row],[Subscription_End_Date]]="", "Active", "Churned")</f>
        <v>Active</v>
      </c>
      <c r="R482" s="5">
        <f ca="1">IF(Table1[[#This Row],[Subscription_End_Date]]="", DATEDIF(Table1[[#This Row],[Subscription_Start_Date]], TODAY(), "m"),
DATEDIF(Table1[[#This Row],[Subscription_Start_Date]], Table1[[#This Row],[Subscription_End_Date]], "m"))</f>
        <v>22</v>
      </c>
      <c r="S482" s="2">
        <f ca="1">Table1[[#This Row],[Monthly_Spend]] * Table1[[#This Row],[Customer Lifetime(Months)]]</f>
        <v>110000</v>
      </c>
    </row>
    <row r="483" spans="1:19" x14ac:dyDescent="0.35">
      <c r="A483" t="s">
        <v>501</v>
      </c>
      <c r="B483" t="s">
        <v>19</v>
      </c>
      <c r="C483" s="1">
        <v>44938</v>
      </c>
      <c r="E483" t="s">
        <v>23</v>
      </c>
      <c r="F483" s="2">
        <v>5000</v>
      </c>
      <c r="G483">
        <v>22</v>
      </c>
      <c r="H483">
        <v>33</v>
      </c>
      <c r="I483" t="s">
        <v>12</v>
      </c>
      <c r="J483">
        <f>IF(Table1[[#This Row],[Status]]="Churned",1,0)</f>
        <v>0</v>
      </c>
      <c r="K483">
        <f t="shared" si="35"/>
        <v>0.32323232323232326</v>
      </c>
      <c r="L483">
        <f t="shared" si="36"/>
        <v>0.56000000000000005</v>
      </c>
      <c r="M483" s="5">
        <f t="shared" si="37"/>
        <v>0</v>
      </c>
      <c r="N483" s="5">
        <f t="shared" si="38"/>
        <v>0.3446464646464647</v>
      </c>
      <c r="O483" s="5" t="str">
        <f t="shared" si="39"/>
        <v>At-Risk</v>
      </c>
      <c r="P483" s="5">
        <f>IF(Table1[[#This Row],[Health Status]]="Churned",0,1)</f>
        <v>1</v>
      </c>
      <c r="Q483" s="5" t="str">
        <f>IF(Table1[[#This Row],[Subscription_End_Date]]="", "Active", "Churned")</f>
        <v>Active</v>
      </c>
      <c r="R483" s="5">
        <f ca="1">IF(Table1[[#This Row],[Subscription_End_Date]]="", DATEDIF(Table1[[#This Row],[Subscription_Start_Date]], TODAY(), "m"),
DATEDIF(Table1[[#This Row],[Subscription_Start_Date]], Table1[[#This Row],[Subscription_End_Date]], "m"))</f>
        <v>33</v>
      </c>
      <c r="S483" s="2">
        <f ca="1">Table1[[#This Row],[Monthly_Spend]] * Table1[[#This Row],[Customer Lifetime(Months)]]</f>
        <v>165000</v>
      </c>
    </row>
    <row r="484" spans="1:19" x14ac:dyDescent="0.35">
      <c r="A484" t="s">
        <v>502</v>
      </c>
      <c r="B484" t="s">
        <v>10</v>
      </c>
      <c r="C484" s="1">
        <v>44928</v>
      </c>
      <c r="D484" s="1">
        <v>45406</v>
      </c>
      <c r="E484" t="s">
        <v>16</v>
      </c>
      <c r="F484" s="2">
        <v>50000</v>
      </c>
      <c r="G484">
        <v>10</v>
      </c>
      <c r="H484">
        <v>53</v>
      </c>
      <c r="I484" t="s">
        <v>28</v>
      </c>
      <c r="J484">
        <f>IF(Table1[[#This Row],[Status]]="Churned",1,0)</f>
        <v>1</v>
      </c>
      <c r="K484">
        <f t="shared" si="35"/>
        <v>0.5252525252525253</v>
      </c>
      <c r="L484">
        <f t="shared" si="36"/>
        <v>0.8</v>
      </c>
      <c r="M484" s="5">
        <f t="shared" si="37"/>
        <v>0.47368421052631576</v>
      </c>
      <c r="N484" s="5">
        <f t="shared" si="38"/>
        <v>0.80505050505050502</v>
      </c>
      <c r="O484" s="5" t="str">
        <f t="shared" si="39"/>
        <v>Churned</v>
      </c>
      <c r="P484" s="5">
        <f>IF(Table1[[#This Row],[Health Status]]="Churned",0,1)</f>
        <v>0</v>
      </c>
      <c r="Q484" s="5" t="str">
        <f>IF(Table1[[#This Row],[Subscription_End_Date]]="", "Active", "Churned")</f>
        <v>Churned</v>
      </c>
      <c r="R484" s="5">
        <f ca="1">IF(Table1[[#This Row],[Subscription_End_Date]]="", DATEDIF(Table1[[#This Row],[Subscription_Start_Date]], TODAY(), "m"),
DATEDIF(Table1[[#This Row],[Subscription_Start_Date]], Table1[[#This Row],[Subscription_End_Date]], "m"))</f>
        <v>15</v>
      </c>
      <c r="S484" s="2">
        <f ca="1">Table1[[#This Row],[Monthly_Spend]] * Table1[[#This Row],[Customer Lifetime(Months)]]</f>
        <v>750000</v>
      </c>
    </row>
    <row r="485" spans="1:19" x14ac:dyDescent="0.35">
      <c r="A485" t="s">
        <v>503</v>
      </c>
      <c r="B485" t="s">
        <v>31</v>
      </c>
      <c r="C485" s="1">
        <v>45286</v>
      </c>
      <c r="E485" t="s">
        <v>23</v>
      </c>
      <c r="F485" s="2">
        <v>50000</v>
      </c>
      <c r="G485">
        <v>50</v>
      </c>
      <c r="H485">
        <v>74</v>
      </c>
      <c r="I485" t="s">
        <v>12</v>
      </c>
      <c r="J485">
        <f>IF(Table1[[#This Row],[Status]]="Churned",1,0)</f>
        <v>0</v>
      </c>
      <c r="K485">
        <f t="shared" si="35"/>
        <v>0.73737373737373735</v>
      </c>
      <c r="L485">
        <f t="shared" si="36"/>
        <v>0</v>
      </c>
      <c r="M485" s="5">
        <f t="shared" si="37"/>
        <v>0.47368421052631576</v>
      </c>
      <c r="N485" s="5">
        <f t="shared" si="38"/>
        <v>0.14747474747474748</v>
      </c>
      <c r="O485" s="5" t="str">
        <f t="shared" si="39"/>
        <v>At-Risk</v>
      </c>
      <c r="P485" s="5">
        <f>IF(Table1[[#This Row],[Health Status]]="Churned",0,1)</f>
        <v>1</v>
      </c>
      <c r="Q485" s="5" t="str">
        <f>IF(Table1[[#This Row],[Subscription_End_Date]]="", "Active", "Churned")</f>
        <v>Active</v>
      </c>
      <c r="R485" s="5">
        <f ca="1">IF(Table1[[#This Row],[Subscription_End_Date]]="", DATEDIF(Table1[[#This Row],[Subscription_Start_Date]], TODAY(), "m"),
DATEDIF(Table1[[#This Row],[Subscription_Start_Date]], Table1[[#This Row],[Subscription_End_Date]], "m"))</f>
        <v>22</v>
      </c>
      <c r="S485" s="2">
        <f ca="1">Table1[[#This Row],[Monthly_Spend]] * Table1[[#This Row],[Customer Lifetime(Months)]]</f>
        <v>1100000</v>
      </c>
    </row>
    <row r="486" spans="1:19" x14ac:dyDescent="0.35">
      <c r="A486" t="s">
        <v>504</v>
      </c>
      <c r="B486" t="s">
        <v>27</v>
      </c>
      <c r="C486" s="1">
        <v>45389</v>
      </c>
      <c r="E486" t="s">
        <v>11</v>
      </c>
      <c r="F486" s="2">
        <v>20000</v>
      </c>
      <c r="G486">
        <v>1</v>
      </c>
      <c r="H486">
        <v>41</v>
      </c>
      <c r="I486" t="s">
        <v>12</v>
      </c>
      <c r="J486">
        <f>IF(Table1[[#This Row],[Status]]="Churned",1,0)</f>
        <v>0</v>
      </c>
      <c r="K486">
        <f t="shared" si="35"/>
        <v>0.40404040404040403</v>
      </c>
      <c r="L486">
        <f t="shared" si="36"/>
        <v>0.98</v>
      </c>
      <c r="M486" s="5">
        <f t="shared" si="37"/>
        <v>0.15789473684210525</v>
      </c>
      <c r="N486" s="5">
        <f t="shared" si="38"/>
        <v>0.57080808080808076</v>
      </c>
      <c r="O486" s="5" t="str">
        <f t="shared" si="39"/>
        <v>At-Risk</v>
      </c>
      <c r="P486" s="5">
        <f>IF(Table1[[#This Row],[Health Status]]="Churned",0,1)</f>
        <v>1</v>
      </c>
      <c r="Q486" s="5" t="str">
        <f>IF(Table1[[#This Row],[Subscription_End_Date]]="", "Active", "Churned")</f>
        <v>Active</v>
      </c>
      <c r="R486" s="5">
        <f ca="1">IF(Table1[[#This Row],[Subscription_End_Date]]="", DATEDIF(Table1[[#This Row],[Subscription_Start_Date]], TODAY(), "m"),
DATEDIF(Table1[[#This Row],[Subscription_Start_Date]], Table1[[#This Row],[Subscription_End_Date]], "m"))</f>
        <v>18</v>
      </c>
      <c r="S486" s="2">
        <f ca="1">Table1[[#This Row],[Monthly_Spend]] * Table1[[#This Row],[Customer Lifetime(Months)]]</f>
        <v>360000</v>
      </c>
    </row>
    <row r="487" spans="1:19" x14ac:dyDescent="0.35">
      <c r="A487" t="s">
        <v>505</v>
      </c>
      <c r="B487" t="s">
        <v>19</v>
      </c>
      <c r="C487" s="1">
        <v>45002</v>
      </c>
      <c r="E487" t="s">
        <v>11</v>
      </c>
      <c r="F487" s="2">
        <v>10000</v>
      </c>
      <c r="G487">
        <v>46</v>
      </c>
      <c r="H487">
        <v>10</v>
      </c>
      <c r="I487" t="s">
        <v>17</v>
      </c>
      <c r="J487">
        <f>IF(Table1[[#This Row],[Status]]="Churned",1,0)</f>
        <v>0</v>
      </c>
      <c r="K487">
        <f t="shared" si="35"/>
        <v>9.0909090909090912E-2</v>
      </c>
      <c r="L487">
        <f t="shared" si="36"/>
        <v>7.999999999999996E-2</v>
      </c>
      <c r="M487" s="5">
        <f t="shared" si="37"/>
        <v>5.2631578947368418E-2</v>
      </c>
      <c r="N487" s="5">
        <f t="shared" si="38"/>
        <v>5.8181818181818168E-2</v>
      </c>
      <c r="O487" s="5" t="str">
        <f t="shared" si="39"/>
        <v>At-Risk</v>
      </c>
      <c r="P487" s="5">
        <f>IF(Table1[[#This Row],[Health Status]]="Churned",0,1)</f>
        <v>1</v>
      </c>
      <c r="Q487" s="5" t="str">
        <f>IF(Table1[[#This Row],[Subscription_End_Date]]="", "Active", "Churned")</f>
        <v>Active</v>
      </c>
      <c r="R487" s="5">
        <f ca="1">IF(Table1[[#This Row],[Subscription_End_Date]]="", DATEDIF(Table1[[#This Row],[Subscription_Start_Date]], TODAY(), "m"),
DATEDIF(Table1[[#This Row],[Subscription_Start_Date]], Table1[[#This Row],[Subscription_End_Date]], "m"))</f>
        <v>31</v>
      </c>
      <c r="S487" s="2">
        <f ca="1">Table1[[#This Row],[Monthly_Spend]] * Table1[[#This Row],[Customer Lifetime(Months)]]</f>
        <v>310000</v>
      </c>
    </row>
    <row r="488" spans="1:19" x14ac:dyDescent="0.35">
      <c r="A488" t="s">
        <v>506</v>
      </c>
      <c r="B488" t="s">
        <v>14</v>
      </c>
      <c r="C488" s="1">
        <v>45273</v>
      </c>
      <c r="E488" t="s">
        <v>11</v>
      </c>
      <c r="F488" s="2">
        <v>5000</v>
      </c>
      <c r="G488">
        <v>27</v>
      </c>
      <c r="H488">
        <v>84</v>
      </c>
      <c r="I488" t="s">
        <v>17</v>
      </c>
      <c r="J488">
        <f>IF(Table1[[#This Row],[Status]]="Churned",1,0)</f>
        <v>0</v>
      </c>
      <c r="K488">
        <f t="shared" si="35"/>
        <v>0.83838383838383834</v>
      </c>
      <c r="L488">
        <f t="shared" si="36"/>
        <v>0.45999999999999996</v>
      </c>
      <c r="M488" s="5">
        <f t="shared" si="37"/>
        <v>0</v>
      </c>
      <c r="N488" s="5">
        <f t="shared" si="38"/>
        <v>0.39767676767676763</v>
      </c>
      <c r="O488" s="5" t="str">
        <f t="shared" si="39"/>
        <v>At-Risk</v>
      </c>
      <c r="P488" s="5">
        <f>IF(Table1[[#This Row],[Health Status]]="Churned",0,1)</f>
        <v>1</v>
      </c>
      <c r="Q488" s="5" t="str">
        <f>IF(Table1[[#This Row],[Subscription_End_Date]]="", "Active", "Churned")</f>
        <v>Active</v>
      </c>
      <c r="R488" s="5">
        <f ca="1">IF(Table1[[#This Row],[Subscription_End_Date]]="", DATEDIF(Table1[[#This Row],[Subscription_Start_Date]], TODAY(), "m"),
DATEDIF(Table1[[#This Row],[Subscription_Start_Date]], Table1[[#This Row],[Subscription_End_Date]], "m"))</f>
        <v>22</v>
      </c>
      <c r="S488" s="2">
        <f ca="1">Table1[[#This Row],[Monthly_Spend]] * Table1[[#This Row],[Customer Lifetime(Months)]]</f>
        <v>110000</v>
      </c>
    </row>
    <row r="489" spans="1:19" x14ac:dyDescent="0.35">
      <c r="A489" t="s">
        <v>507</v>
      </c>
      <c r="B489" t="s">
        <v>27</v>
      </c>
      <c r="C489" s="1">
        <v>45371</v>
      </c>
      <c r="D489" s="1">
        <v>45504</v>
      </c>
      <c r="E489" t="s">
        <v>16</v>
      </c>
      <c r="F489" s="2">
        <v>20000</v>
      </c>
      <c r="G489">
        <v>13</v>
      </c>
      <c r="H489">
        <v>25</v>
      </c>
      <c r="I489" t="s">
        <v>28</v>
      </c>
      <c r="J489">
        <f>IF(Table1[[#This Row],[Status]]="Churned",1,0)</f>
        <v>1</v>
      </c>
      <c r="K489">
        <f t="shared" si="35"/>
        <v>0.24242424242424243</v>
      </c>
      <c r="L489">
        <f t="shared" si="36"/>
        <v>0.74</v>
      </c>
      <c r="M489" s="5">
        <f t="shared" si="37"/>
        <v>0.15789473684210525</v>
      </c>
      <c r="N489" s="5">
        <f t="shared" si="38"/>
        <v>0.7184848484848485</v>
      </c>
      <c r="O489" s="5" t="str">
        <f t="shared" si="39"/>
        <v>Churned</v>
      </c>
      <c r="P489" s="5">
        <f>IF(Table1[[#This Row],[Health Status]]="Churned",0,1)</f>
        <v>0</v>
      </c>
      <c r="Q489" s="5" t="str">
        <f>IF(Table1[[#This Row],[Subscription_End_Date]]="", "Active", "Churned")</f>
        <v>Churned</v>
      </c>
      <c r="R489" s="5">
        <f ca="1">IF(Table1[[#This Row],[Subscription_End_Date]]="", DATEDIF(Table1[[#This Row],[Subscription_Start_Date]], TODAY(), "m"),
DATEDIF(Table1[[#This Row],[Subscription_Start_Date]], Table1[[#This Row],[Subscription_End_Date]], "m"))</f>
        <v>4</v>
      </c>
      <c r="S489" s="2">
        <f ca="1">Table1[[#This Row],[Monthly_Spend]] * Table1[[#This Row],[Customer Lifetime(Months)]]</f>
        <v>80000</v>
      </c>
    </row>
    <row r="490" spans="1:19" x14ac:dyDescent="0.35">
      <c r="A490" t="s">
        <v>508</v>
      </c>
      <c r="B490" t="s">
        <v>31</v>
      </c>
      <c r="C490" s="1">
        <v>45494</v>
      </c>
      <c r="E490" t="s">
        <v>16</v>
      </c>
      <c r="F490" s="2">
        <v>20000</v>
      </c>
      <c r="G490">
        <v>19</v>
      </c>
      <c r="H490">
        <v>31</v>
      </c>
      <c r="I490" t="s">
        <v>17</v>
      </c>
      <c r="J490">
        <f>IF(Table1[[#This Row],[Status]]="Churned",1,0)</f>
        <v>0</v>
      </c>
      <c r="K490">
        <f t="shared" si="35"/>
        <v>0.30303030303030304</v>
      </c>
      <c r="L490">
        <f t="shared" si="36"/>
        <v>0.62</v>
      </c>
      <c r="M490" s="5">
        <f t="shared" si="37"/>
        <v>0.15789473684210525</v>
      </c>
      <c r="N490" s="5">
        <f t="shared" si="38"/>
        <v>0.37060606060606061</v>
      </c>
      <c r="O490" s="5" t="str">
        <f t="shared" si="39"/>
        <v>At-Risk</v>
      </c>
      <c r="P490" s="5">
        <f>IF(Table1[[#This Row],[Health Status]]="Churned",0,1)</f>
        <v>1</v>
      </c>
      <c r="Q490" s="5" t="str">
        <f>IF(Table1[[#This Row],[Subscription_End_Date]]="", "Active", "Churned")</f>
        <v>Active</v>
      </c>
      <c r="R490" s="5">
        <f ca="1">IF(Table1[[#This Row],[Subscription_End_Date]]="", DATEDIF(Table1[[#This Row],[Subscription_Start_Date]], TODAY(), "m"),
DATEDIF(Table1[[#This Row],[Subscription_Start_Date]], Table1[[#This Row],[Subscription_End_Date]], "m"))</f>
        <v>15</v>
      </c>
      <c r="S490" s="2">
        <f ca="1">Table1[[#This Row],[Monthly_Spend]] * Table1[[#This Row],[Customer Lifetime(Months)]]</f>
        <v>300000</v>
      </c>
    </row>
    <row r="491" spans="1:19" x14ac:dyDescent="0.35">
      <c r="A491" t="s">
        <v>509</v>
      </c>
      <c r="B491" t="s">
        <v>10</v>
      </c>
      <c r="C491" s="1">
        <v>45329</v>
      </c>
      <c r="E491" t="s">
        <v>11</v>
      </c>
      <c r="F491" s="2">
        <v>10000</v>
      </c>
      <c r="G491">
        <v>3</v>
      </c>
      <c r="H491">
        <v>47</v>
      </c>
      <c r="I491" t="s">
        <v>17</v>
      </c>
      <c r="J491">
        <f>IF(Table1[[#This Row],[Status]]="Churned",1,0)</f>
        <v>0</v>
      </c>
      <c r="K491">
        <f t="shared" si="35"/>
        <v>0.46464646464646464</v>
      </c>
      <c r="L491">
        <f t="shared" si="36"/>
        <v>0.94</v>
      </c>
      <c r="M491" s="5">
        <f t="shared" si="37"/>
        <v>5.2631578947368418E-2</v>
      </c>
      <c r="N491" s="5">
        <f t="shared" si="38"/>
        <v>0.56292929292929295</v>
      </c>
      <c r="O491" s="5" t="str">
        <f t="shared" si="39"/>
        <v>At-Risk</v>
      </c>
      <c r="P491" s="5">
        <f>IF(Table1[[#This Row],[Health Status]]="Churned",0,1)</f>
        <v>1</v>
      </c>
      <c r="Q491" s="5" t="str">
        <f>IF(Table1[[#This Row],[Subscription_End_Date]]="", "Active", "Churned")</f>
        <v>Active</v>
      </c>
      <c r="R491" s="5">
        <f ca="1">IF(Table1[[#This Row],[Subscription_End_Date]]="", DATEDIF(Table1[[#This Row],[Subscription_Start_Date]], TODAY(), "m"),
DATEDIF(Table1[[#This Row],[Subscription_Start_Date]], Table1[[#This Row],[Subscription_End_Date]], "m"))</f>
        <v>20</v>
      </c>
      <c r="S491" s="2">
        <f ca="1">Table1[[#This Row],[Monthly_Spend]] * Table1[[#This Row],[Customer Lifetime(Months)]]</f>
        <v>200000</v>
      </c>
    </row>
    <row r="492" spans="1:19" x14ac:dyDescent="0.35">
      <c r="A492" t="s">
        <v>510</v>
      </c>
      <c r="B492" t="s">
        <v>10</v>
      </c>
      <c r="C492" s="1">
        <v>45016</v>
      </c>
      <c r="E492" t="s">
        <v>23</v>
      </c>
      <c r="F492" s="2">
        <v>10000</v>
      </c>
      <c r="G492">
        <v>6</v>
      </c>
      <c r="H492">
        <v>4</v>
      </c>
      <c r="I492" t="s">
        <v>17</v>
      </c>
      <c r="J492">
        <f>IF(Table1[[#This Row],[Status]]="Churned",1,0)</f>
        <v>0</v>
      </c>
      <c r="K492">
        <f t="shared" si="35"/>
        <v>3.0303030303030304E-2</v>
      </c>
      <c r="L492">
        <f t="shared" si="36"/>
        <v>0.88</v>
      </c>
      <c r="M492" s="5">
        <f t="shared" si="37"/>
        <v>5.2631578947368418E-2</v>
      </c>
      <c r="N492" s="5">
        <f t="shared" si="38"/>
        <v>0.44606060606060605</v>
      </c>
      <c r="O492" s="5" t="str">
        <f t="shared" si="39"/>
        <v>At-Risk</v>
      </c>
      <c r="P492" s="5">
        <f>IF(Table1[[#This Row],[Health Status]]="Churned",0,1)</f>
        <v>1</v>
      </c>
      <c r="Q492" s="5" t="str">
        <f>IF(Table1[[#This Row],[Subscription_End_Date]]="", "Active", "Churned")</f>
        <v>Active</v>
      </c>
      <c r="R492" s="5">
        <f ca="1">IF(Table1[[#This Row],[Subscription_End_Date]]="", DATEDIF(Table1[[#This Row],[Subscription_Start_Date]], TODAY(), "m"),
DATEDIF(Table1[[#This Row],[Subscription_Start_Date]], Table1[[#This Row],[Subscription_End_Date]], "m"))</f>
        <v>30</v>
      </c>
      <c r="S492" s="2">
        <f ca="1">Table1[[#This Row],[Monthly_Spend]] * Table1[[#This Row],[Customer Lifetime(Months)]]</f>
        <v>300000</v>
      </c>
    </row>
    <row r="493" spans="1:19" x14ac:dyDescent="0.35">
      <c r="A493" t="s">
        <v>511</v>
      </c>
      <c r="B493" t="s">
        <v>27</v>
      </c>
      <c r="C493" s="1">
        <v>45580</v>
      </c>
      <c r="E493" t="s">
        <v>11</v>
      </c>
      <c r="F493" s="2">
        <v>50000</v>
      </c>
      <c r="G493">
        <v>7</v>
      </c>
      <c r="H493">
        <v>40</v>
      </c>
      <c r="I493" t="s">
        <v>12</v>
      </c>
      <c r="J493">
        <f>IF(Table1[[#This Row],[Status]]="Churned",1,0)</f>
        <v>0</v>
      </c>
      <c r="K493">
        <f t="shared" si="35"/>
        <v>0.39393939393939392</v>
      </c>
      <c r="L493">
        <f t="shared" si="36"/>
        <v>0.86</v>
      </c>
      <c r="M493" s="5">
        <f t="shared" si="37"/>
        <v>0.47368421052631576</v>
      </c>
      <c r="N493" s="5">
        <f t="shared" si="38"/>
        <v>0.50878787878787879</v>
      </c>
      <c r="O493" s="5" t="str">
        <f t="shared" si="39"/>
        <v>At-Risk</v>
      </c>
      <c r="P493" s="5">
        <f>IF(Table1[[#This Row],[Health Status]]="Churned",0,1)</f>
        <v>1</v>
      </c>
      <c r="Q493" s="5" t="str">
        <f>IF(Table1[[#This Row],[Subscription_End_Date]]="", "Active", "Churned")</f>
        <v>Active</v>
      </c>
      <c r="R493" s="5">
        <f ca="1">IF(Table1[[#This Row],[Subscription_End_Date]]="", DATEDIF(Table1[[#This Row],[Subscription_Start_Date]], TODAY(), "m"),
DATEDIF(Table1[[#This Row],[Subscription_Start_Date]], Table1[[#This Row],[Subscription_End_Date]], "m"))</f>
        <v>12</v>
      </c>
      <c r="S493" s="2">
        <f ca="1">Table1[[#This Row],[Monthly_Spend]] * Table1[[#This Row],[Customer Lifetime(Months)]]</f>
        <v>600000</v>
      </c>
    </row>
    <row r="494" spans="1:19" x14ac:dyDescent="0.35">
      <c r="A494" t="s">
        <v>512</v>
      </c>
      <c r="B494" t="s">
        <v>31</v>
      </c>
      <c r="C494" s="1">
        <v>45427</v>
      </c>
      <c r="E494" t="s">
        <v>23</v>
      </c>
      <c r="F494" s="2">
        <v>5000</v>
      </c>
      <c r="G494">
        <v>41</v>
      </c>
      <c r="H494">
        <v>70</v>
      </c>
      <c r="I494" t="s">
        <v>17</v>
      </c>
      <c r="J494">
        <f>IF(Table1[[#This Row],[Status]]="Churned",1,0)</f>
        <v>0</v>
      </c>
      <c r="K494">
        <f t="shared" si="35"/>
        <v>0.69696969696969702</v>
      </c>
      <c r="L494">
        <f t="shared" si="36"/>
        <v>0.18000000000000005</v>
      </c>
      <c r="M494" s="5">
        <f t="shared" si="37"/>
        <v>0</v>
      </c>
      <c r="N494" s="5">
        <f t="shared" si="38"/>
        <v>0.22939393939393943</v>
      </c>
      <c r="O494" s="5" t="str">
        <f t="shared" si="39"/>
        <v>At-Risk</v>
      </c>
      <c r="P494" s="5">
        <f>IF(Table1[[#This Row],[Health Status]]="Churned",0,1)</f>
        <v>1</v>
      </c>
      <c r="Q494" s="5" t="str">
        <f>IF(Table1[[#This Row],[Subscription_End_Date]]="", "Active", "Churned")</f>
        <v>Active</v>
      </c>
      <c r="R494" s="5">
        <f ca="1">IF(Table1[[#This Row],[Subscription_End_Date]]="", DATEDIF(Table1[[#This Row],[Subscription_Start_Date]], TODAY(), "m"),
DATEDIF(Table1[[#This Row],[Subscription_Start_Date]], Table1[[#This Row],[Subscription_End_Date]], "m"))</f>
        <v>17</v>
      </c>
      <c r="S494" s="2">
        <f ca="1">Table1[[#This Row],[Monthly_Spend]] * Table1[[#This Row],[Customer Lifetime(Months)]]</f>
        <v>85000</v>
      </c>
    </row>
    <row r="495" spans="1:19" x14ac:dyDescent="0.35">
      <c r="A495" t="s">
        <v>513</v>
      </c>
      <c r="B495" t="s">
        <v>31</v>
      </c>
      <c r="C495" s="1">
        <v>45306</v>
      </c>
      <c r="E495" t="s">
        <v>11</v>
      </c>
      <c r="F495" s="2">
        <v>10000</v>
      </c>
      <c r="G495">
        <v>28</v>
      </c>
      <c r="H495">
        <v>6</v>
      </c>
      <c r="I495" t="s">
        <v>17</v>
      </c>
      <c r="J495">
        <f>IF(Table1[[#This Row],[Status]]="Churned",1,0)</f>
        <v>0</v>
      </c>
      <c r="K495">
        <f t="shared" si="35"/>
        <v>5.0505050505050504E-2</v>
      </c>
      <c r="L495">
        <f t="shared" si="36"/>
        <v>0.43999999999999995</v>
      </c>
      <c r="M495" s="5">
        <f t="shared" si="37"/>
        <v>5.2631578947368418E-2</v>
      </c>
      <c r="N495" s="5">
        <f t="shared" si="38"/>
        <v>0.23010101010101008</v>
      </c>
      <c r="O495" s="5" t="str">
        <f t="shared" si="39"/>
        <v>At-Risk</v>
      </c>
      <c r="P495" s="5">
        <f>IF(Table1[[#This Row],[Health Status]]="Churned",0,1)</f>
        <v>1</v>
      </c>
      <c r="Q495" s="5" t="str">
        <f>IF(Table1[[#This Row],[Subscription_End_Date]]="", "Active", "Churned")</f>
        <v>Active</v>
      </c>
      <c r="R495" s="5">
        <f ca="1">IF(Table1[[#This Row],[Subscription_End_Date]]="", DATEDIF(Table1[[#This Row],[Subscription_Start_Date]], TODAY(), "m"),
DATEDIF(Table1[[#This Row],[Subscription_Start_Date]], Table1[[#This Row],[Subscription_End_Date]], "m"))</f>
        <v>21</v>
      </c>
      <c r="S495" s="2">
        <f ca="1">Table1[[#This Row],[Monthly_Spend]] * Table1[[#This Row],[Customer Lifetime(Months)]]</f>
        <v>210000</v>
      </c>
    </row>
    <row r="496" spans="1:19" x14ac:dyDescent="0.35">
      <c r="A496" t="s">
        <v>514</v>
      </c>
      <c r="B496" t="s">
        <v>19</v>
      </c>
      <c r="C496" s="1">
        <v>45403</v>
      </c>
      <c r="E496" t="s">
        <v>23</v>
      </c>
      <c r="F496" s="2">
        <v>100000</v>
      </c>
      <c r="G496">
        <v>3</v>
      </c>
      <c r="H496">
        <v>20</v>
      </c>
      <c r="I496" t="s">
        <v>17</v>
      </c>
      <c r="J496">
        <f>IF(Table1[[#This Row],[Status]]="Churned",1,0)</f>
        <v>0</v>
      </c>
      <c r="K496">
        <f t="shared" si="35"/>
        <v>0.19191919191919191</v>
      </c>
      <c r="L496">
        <f t="shared" si="36"/>
        <v>0.94</v>
      </c>
      <c r="M496" s="5">
        <f t="shared" si="37"/>
        <v>1</v>
      </c>
      <c r="N496" s="5">
        <f t="shared" si="38"/>
        <v>0.50838383838383838</v>
      </c>
      <c r="O496" s="5" t="str">
        <f t="shared" si="39"/>
        <v>Healthy</v>
      </c>
      <c r="P496" s="5">
        <f>IF(Table1[[#This Row],[Health Status]]="Churned",0,1)</f>
        <v>1</v>
      </c>
      <c r="Q496" s="5" t="str">
        <f>IF(Table1[[#This Row],[Subscription_End_Date]]="", "Active", "Churned")</f>
        <v>Active</v>
      </c>
      <c r="R496" s="5">
        <f ca="1">IF(Table1[[#This Row],[Subscription_End_Date]]="", DATEDIF(Table1[[#This Row],[Subscription_Start_Date]], TODAY(), "m"),
DATEDIF(Table1[[#This Row],[Subscription_Start_Date]], Table1[[#This Row],[Subscription_End_Date]], "m"))</f>
        <v>18</v>
      </c>
      <c r="S496" s="2">
        <f ca="1">Table1[[#This Row],[Monthly_Spend]] * Table1[[#This Row],[Customer Lifetime(Months)]]</f>
        <v>1800000</v>
      </c>
    </row>
    <row r="497" spans="1:19" x14ac:dyDescent="0.35">
      <c r="A497" t="s">
        <v>515</v>
      </c>
      <c r="B497" t="s">
        <v>10</v>
      </c>
      <c r="C497" s="1">
        <v>45611</v>
      </c>
      <c r="E497" t="s">
        <v>11</v>
      </c>
      <c r="F497" s="2">
        <v>100000</v>
      </c>
      <c r="G497">
        <v>14</v>
      </c>
      <c r="H497">
        <v>71</v>
      </c>
      <c r="I497" t="s">
        <v>17</v>
      </c>
      <c r="J497">
        <f>IF(Table1[[#This Row],[Status]]="Churned",1,0)</f>
        <v>0</v>
      </c>
      <c r="K497">
        <f t="shared" si="35"/>
        <v>0.70707070707070707</v>
      </c>
      <c r="L497">
        <f t="shared" si="36"/>
        <v>0.72</v>
      </c>
      <c r="M497" s="5">
        <f t="shared" si="37"/>
        <v>1</v>
      </c>
      <c r="N497" s="5">
        <f t="shared" si="38"/>
        <v>0.50141414141414142</v>
      </c>
      <c r="O497" s="5" t="str">
        <f t="shared" si="39"/>
        <v>Healthy</v>
      </c>
      <c r="P497" s="5">
        <f>IF(Table1[[#This Row],[Health Status]]="Churned",0,1)</f>
        <v>1</v>
      </c>
      <c r="Q497" s="5" t="str">
        <f>IF(Table1[[#This Row],[Subscription_End_Date]]="", "Active", "Churned")</f>
        <v>Active</v>
      </c>
      <c r="R497" s="5">
        <f ca="1">IF(Table1[[#This Row],[Subscription_End_Date]]="", DATEDIF(Table1[[#This Row],[Subscription_Start_Date]], TODAY(), "m"),
DATEDIF(Table1[[#This Row],[Subscription_Start_Date]], Table1[[#This Row],[Subscription_End_Date]], "m"))</f>
        <v>11</v>
      </c>
      <c r="S497" s="2">
        <f ca="1">Table1[[#This Row],[Monthly_Spend]] * Table1[[#This Row],[Customer Lifetime(Months)]]</f>
        <v>1100000</v>
      </c>
    </row>
    <row r="498" spans="1:19" x14ac:dyDescent="0.35">
      <c r="A498" t="s">
        <v>516</v>
      </c>
      <c r="B498" t="s">
        <v>10</v>
      </c>
      <c r="C498" s="1">
        <v>45462</v>
      </c>
      <c r="E498" t="s">
        <v>23</v>
      </c>
      <c r="F498" s="2">
        <v>100000</v>
      </c>
      <c r="G498">
        <v>15</v>
      </c>
      <c r="H498">
        <v>61</v>
      </c>
      <c r="I498" t="s">
        <v>17</v>
      </c>
      <c r="J498">
        <f>IF(Table1[[#This Row],[Status]]="Churned",1,0)</f>
        <v>0</v>
      </c>
      <c r="K498">
        <f t="shared" si="35"/>
        <v>0.60606060606060608</v>
      </c>
      <c r="L498">
        <f t="shared" si="36"/>
        <v>0.7</v>
      </c>
      <c r="M498" s="5">
        <f t="shared" si="37"/>
        <v>1</v>
      </c>
      <c r="N498" s="5">
        <f t="shared" si="38"/>
        <v>0.47121212121212119</v>
      </c>
      <c r="O498" s="5" t="str">
        <f t="shared" si="39"/>
        <v>Healthy</v>
      </c>
      <c r="P498" s="5">
        <f>IF(Table1[[#This Row],[Health Status]]="Churned",0,1)</f>
        <v>1</v>
      </c>
      <c r="Q498" s="5" t="str">
        <f>IF(Table1[[#This Row],[Subscription_End_Date]]="", "Active", "Churned")</f>
        <v>Active</v>
      </c>
      <c r="R498" s="5">
        <f ca="1">IF(Table1[[#This Row],[Subscription_End_Date]]="", DATEDIF(Table1[[#This Row],[Subscription_Start_Date]], TODAY(), "m"),
DATEDIF(Table1[[#This Row],[Subscription_Start_Date]], Table1[[#This Row],[Subscription_End_Date]], "m"))</f>
        <v>16</v>
      </c>
      <c r="S498" s="2">
        <f ca="1">Table1[[#This Row],[Monthly_Spend]] * Table1[[#This Row],[Customer Lifetime(Months)]]</f>
        <v>1600000</v>
      </c>
    </row>
    <row r="499" spans="1:19" x14ac:dyDescent="0.35">
      <c r="A499" t="s">
        <v>517</v>
      </c>
      <c r="B499" t="s">
        <v>19</v>
      </c>
      <c r="C499" s="1">
        <v>45331</v>
      </c>
      <c r="E499" t="s">
        <v>11</v>
      </c>
      <c r="F499" s="2">
        <v>100000</v>
      </c>
      <c r="G499">
        <v>36</v>
      </c>
      <c r="H499">
        <v>67</v>
      </c>
      <c r="I499" t="s">
        <v>12</v>
      </c>
      <c r="J499">
        <f>IF(Table1[[#This Row],[Status]]="Churned",1,0)</f>
        <v>0</v>
      </c>
      <c r="K499">
        <f t="shared" si="35"/>
        <v>0.66666666666666663</v>
      </c>
      <c r="L499">
        <f t="shared" si="36"/>
        <v>0.28000000000000003</v>
      </c>
      <c r="M499" s="5">
        <f t="shared" si="37"/>
        <v>1</v>
      </c>
      <c r="N499" s="5">
        <f t="shared" si="38"/>
        <v>0.27333333333333332</v>
      </c>
      <c r="O499" s="5" t="str">
        <f t="shared" si="39"/>
        <v>Healthy</v>
      </c>
      <c r="P499" s="5">
        <f>IF(Table1[[#This Row],[Health Status]]="Churned",0,1)</f>
        <v>1</v>
      </c>
      <c r="Q499" s="5" t="str">
        <f>IF(Table1[[#This Row],[Subscription_End_Date]]="", "Active", "Churned")</f>
        <v>Active</v>
      </c>
      <c r="R499" s="5">
        <f ca="1">IF(Table1[[#This Row],[Subscription_End_Date]]="", DATEDIF(Table1[[#This Row],[Subscription_Start_Date]], TODAY(), "m"),
DATEDIF(Table1[[#This Row],[Subscription_Start_Date]], Table1[[#This Row],[Subscription_End_Date]], "m"))</f>
        <v>20</v>
      </c>
      <c r="S499" s="2">
        <f ca="1">Table1[[#This Row],[Monthly_Spend]] * Table1[[#This Row],[Customer Lifetime(Months)]]</f>
        <v>2000000</v>
      </c>
    </row>
    <row r="500" spans="1:19" x14ac:dyDescent="0.35">
      <c r="A500" t="s">
        <v>518</v>
      </c>
      <c r="B500" t="s">
        <v>14</v>
      </c>
      <c r="C500" s="1">
        <v>45562</v>
      </c>
      <c r="D500" s="1">
        <v>46051</v>
      </c>
      <c r="E500" t="s">
        <v>16</v>
      </c>
      <c r="F500" s="2">
        <v>10000</v>
      </c>
      <c r="G500">
        <v>10</v>
      </c>
      <c r="H500">
        <v>28</v>
      </c>
      <c r="I500" t="s">
        <v>28</v>
      </c>
      <c r="J500">
        <f>IF(Table1[[#This Row],[Status]]="Churned",1,0)</f>
        <v>1</v>
      </c>
      <c r="K500">
        <f t="shared" si="35"/>
        <v>0.27272727272727271</v>
      </c>
      <c r="L500">
        <f t="shared" si="36"/>
        <v>0.8</v>
      </c>
      <c r="M500" s="5">
        <f t="shared" si="37"/>
        <v>5.2631578947368418E-2</v>
      </c>
      <c r="N500" s="5">
        <f t="shared" si="38"/>
        <v>0.75454545454545463</v>
      </c>
      <c r="O500" s="5" t="str">
        <f t="shared" si="39"/>
        <v>Churned</v>
      </c>
      <c r="P500" s="5">
        <f>IF(Table1[[#This Row],[Health Status]]="Churned",0,1)</f>
        <v>0</v>
      </c>
      <c r="Q500" s="5" t="str">
        <f>IF(Table1[[#This Row],[Subscription_End_Date]]="", "Active", "Churned")</f>
        <v>Churned</v>
      </c>
      <c r="R500" s="5">
        <f ca="1">IF(Table1[[#This Row],[Subscription_End_Date]]="", DATEDIF(Table1[[#This Row],[Subscription_Start_Date]], TODAY(), "m"),
DATEDIF(Table1[[#This Row],[Subscription_Start_Date]], Table1[[#This Row],[Subscription_End_Date]], "m"))</f>
        <v>16</v>
      </c>
      <c r="S500" s="2">
        <f ca="1">Table1[[#This Row],[Monthly_Spend]] * Table1[[#This Row],[Customer Lifetime(Months)]]</f>
        <v>160000</v>
      </c>
    </row>
    <row r="501" spans="1:19" x14ac:dyDescent="0.35">
      <c r="A501" t="s">
        <v>519</v>
      </c>
      <c r="B501" t="s">
        <v>27</v>
      </c>
      <c r="C501" s="1">
        <v>44970</v>
      </c>
      <c r="E501" t="s">
        <v>11</v>
      </c>
      <c r="F501" s="2">
        <v>10000</v>
      </c>
      <c r="G501">
        <v>40</v>
      </c>
      <c r="H501">
        <v>19</v>
      </c>
      <c r="I501" t="s">
        <v>17</v>
      </c>
      <c r="J501">
        <f>IF(Table1[[#This Row],[Status]]="Churned",1,0)</f>
        <v>0</v>
      </c>
      <c r="K501">
        <f t="shared" si="35"/>
        <v>0.18181818181818182</v>
      </c>
      <c r="L501">
        <f t="shared" si="36"/>
        <v>0.19999999999999996</v>
      </c>
      <c r="M501" s="5">
        <f t="shared" si="37"/>
        <v>5.2631578947368418E-2</v>
      </c>
      <c r="N501" s="5">
        <f t="shared" si="38"/>
        <v>0.13636363636363635</v>
      </c>
      <c r="O501" s="5" t="str">
        <f t="shared" si="39"/>
        <v>At-Risk</v>
      </c>
      <c r="P501" s="5">
        <f>IF(Table1[[#This Row],[Health Status]]="Churned",0,1)</f>
        <v>1</v>
      </c>
      <c r="Q501" s="5" t="str">
        <f>IF(Table1[[#This Row],[Subscription_End_Date]]="", "Active", "Churned")</f>
        <v>Active</v>
      </c>
      <c r="R501" s="5">
        <f ca="1">IF(Table1[[#This Row],[Subscription_End_Date]]="", DATEDIF(Table1[[#This Row],[Subscription_Start_Date]], TODAY(), "m"),
DATEDIF(Table1[[#This Row],[Subscription_Start_Date]], Table1[[#This Row],[Subscription_End_Date]], "m"))</f>
        <v>32</v>
      </c>
      <c r="S501" s="2">
        <f ca="1">Table1[[#This Row],[Monthly_Spend]] * Table1[[#This Row],[Customer Lifetime(Months)]]</f>
        <v>320000</v>
      </c>
    </row>
  </sheetData>
  <phoneticPr fontId="18" type="noConversion"/>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913CF-5900-4065-85A3-B61F86CDA38A}">
  <sheetPr>
    <tabColor rgb="FFFFFF00"/>
  </sheetPr>
  <dimension ref="A1:B8"/>
  <sheetViews>
    <sheetView workbookViewId="0">
      <selection activeCell="A4" sqref="A4"/>
    </sheetView>
  </sheetViews>
  <sheetFormatPr defaultRowHeight="14.5" x14ac:dyDescent="0.35"/>
  <cols>
    <col min="1" max="1" width="20.36328125" bestFit="1" customWidth="1"/>
    <col min="2" max="2" width="8.90625" bestFit="1" customWidth="1"/>
  </cols>
  <sheetData>
    <row r="1" spans="1:2" x14ac:dyDescent="0.35">
      <c r="A1" s="3" t="s">
        <v>3</v>
      </c>
      <c r="B1" t="s">
        <v>555</v>
      </c>
    </row>
    <row r="3" spans="1:2" x14ac:dyDescent="0.35">
      <c r="A3" t="s">
        <v>557</v>
      </c>
    </row>
    <row r="4" spans="1:2" x14ac:dyDescent="0.35">
      <c r="A4" s="5">
        <v>449</v>
      </c>
    </row>
    <row r="8" spans="1:2" x14ac:dyDescent="0.35">
      <c r="A8"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2A08-E4B4-419D-A0E7-6E325C003112}">
  <sheetPr>
    <tabColor rgb="FF189C2E"/>
  </sheetPr>
  <dimension ref="A3:A4"/>
  <sheetViews>
    <sheetView workbookViewId="0">
      <selection activeCell="A4" sqref="A4"/>
    </sheetView>
  </sheetViews>
  <sheetFormatPr defaultRowHeight="14.5" x14ac:dyDescent="0.35"/>
  <cols>
    <col min="1" max="1" width="22.08984375" style="2" bestFit="1" customWidth="1"/>
    <col min="2" max="2" width="18.90625" bestFit="1" customWidth="1"/>
  </cols>
  <sheetData>
    <row r="3" spans="1:1" x14ac:dyDescent="0.35">
      <c r="A3" s="2" t="s">
        <v>561</v>
      </c>
    </row>
    <row r="4" spans="1:1" x14ac:dyDescent="0.35">
      <c r="A4" s="18">
        <v>798640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2913B-1B9A-45DB-AAFA-E48CDAD93761}">
  <sheetPr>
    <tabColor theme="2" tint="-0.89999084444715716"/>
  </sheetPr>
  <dimension ref="A2:B5"/>
  <sheetViews>
    <sheetView workbookViewId="0">
      <selection activeCell="A5" sqref="A5"/>
    </sheetView>
  </sheetViews>
  <sheetFormatPr defaultRowHeight="14.5" x14ac:dyDescent="0.35"/>
  <cols>
    <col min="1" max="1" width="21.1796875" style="2" bestFit="1" customWidth="1"/>
    <col min="2" max="2" width="6.453125" bestFit="1" customWidth="1"/>
  </cols>
  <sheetData>
    <row r="2" spans="1:2" x14ac:dyDescent="0.35">
      <c r="A2" s="19" t="s">
        <v>2</v>
      </c>
      <c r="B2" s="2" t="s">
        <v>523</v>
      </c>
    </row>
    <row r="4" spans="1:2" x14ac:dyDescent="0.35">
      <c r="A4" s="2" t="s">
        <v>528</v>
      </c>
    </row>
    <row r="5" spans="1:2" x14ac:dyDescent="0.35">
      <c r="A5" s="18">
        <v>19565000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30DB7-A689-4E4B-9298-E1199FC70245}">
  <sheetPr>
    <tabColor theme="4" tint="-0.249977111117893"/>
  </sheetPr>
  <dimension ref="A1:B7"/>
  <sheetViews>
    <sheetView workbookViewId="0">
      <selection activeCell="D7" sqref="D7"/>
    </sheetView>
  </sheetViews>
  <sheetFormatPr defaultRowHeight="14.5" x14ac:dyDescent="0.35"/>
  <cols>
    <col min="1" max="1" width="20.36328125" bestFit="1" customWidth="1"/>
    <col min="2" max="2" width="19.7265625" bestFit="1" customWidth="1"/>
  </cols>
  <sheetData>
    <row r="1" spans="1:2" x14ac:dyDescent="0.35">
      <c r="A1" s="3" t="s">
        <v>3</v>
      </c>
      <c r="B1" t="s">
        <v>556</v>
      </c>
    </row>
    <row r="3" spans="1:2" x14ac:dyDescent="0.35">
      <c r="A3" s="3" t="s">
        <v>520</v>
      </c>
      <c r="B3" t="s">
        <v>522</v>
      </c>
    </row>
    <row r="4" spans="1:2" x14ac:dyDescent="0.35">
      <c r="A4" s="4" t="s">
        <v>11</v>
      </c>
      <c r="B4" s="5">
        <v>5</v>
      </c>
    </row>
    <row r="5" spans="1:2" x14ac:dyDescent="0.35">
      <c r="A5" s="4" t="s">
        <v>23</v>
      </c>
      <c r="B5" s="5">
        <v>16</v>
      </c>
    </row>
    <row r="6" spans="1:2" x14ac:dyDescent="0.35">
      <c r="A6" s="4" t="s">
        <v>16</v>
      </c>
      <c r="B6" s="5">
        <v>30</v>
      </c>
    </row>
    <row r="7" spans="1:2" x14ac:dyDescent="0.35">
      <c r="A7" s="4" t="s">
        <v>521</v>
      </c>
      <c r="B7" s="5">
        <v>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1C9D4-874C-4223-91C3-9794DB34498C}">
  <sheetPr>
    <tabColor theme="0"/>
  </sheetPr>
  <dimension ref="A1:F9"/>
  <sheetViews>
    <sheetView topLeftCell="A5" zoomScale="90" zoomScaleNormal="90" workbookViewId="0">
      <selection activeCell="B15" sqref="B15"/>
    </sheetView>
  </sheetViews>
  <sheetFormatPr defaultRowHeight="14.5" x14ac:dyDescent="0.35"/>
  <cols>
    <col min="1" max="1" width="17.7265625" bestFit="1" customWidth="1"/>
    <col min="2" max="2" width="20" bestFit="1" customWidth="1"/>
    <col min="3" max="3" width="16.6328125" customWidth="1"/>
    <col min="4" max="4" width="19.7265625" bestFit="1" customWidth="1"/>
    <col min="5" max="5" width="16.26953125" customWidth="1"/>
    <col min="6" max="6" width="10.36328125" customWidth="1"/>
  </cols>
  <sheetData>
    <row r="1" spans="1:6" x14ac:dyDescent="0.35">
      <c r="A1" s="3" t="s">
        <v>8</v>
      </c>
      <c r="B1" t="s">
        <v>523</v>
      </c>
    </row>
    <row r="2" spans="1:6" x14ac:dyDescent="0.35">
      <c r="E2" s="8"/>
    </row>
    <row r="3" spans="1:6" ht="19.5" customHeight="1" x14ac:dyDescent="0.35">
      <c r="A3" s="3" t="s">
        <v>520</v>
      </c>
      <c r="B3" t="s">
        <v>522</v>
      </c>
      <c r="C3" s="11" t="s">
        <v>527</v>
      </c>
      <c r="D3" s="8" t="s">
        <v>524</v>
      </c>
      <c r="E3" s="8" t="s">
        <v>525</v>
      </c>
      <c r="F3" s="10" t="s">
        <v>526</v>
      </c>
    </row>
    <row r="4" spans="1:6" x14ac:dyDescent="0.35">
      <c r="A4" s="4" t="s">
        <v>14</v>
      </c>
      <c r="B4" s="5">
        <v>108</v>
      </c>
      <c r="C4" s="5">
        <f>B4-D4</f>
        <v>56</v>
      </c>
      <c r="D4" s="5">
        <v>52</v>
      </c>
      <c r="E4" s="7">
        <f>D4 / B4</f>
        <v>0.48148148148148145</v>
      </c>
      <c r="F4" s="7">
        <f>C4 /B4</f>
        <v>0.51851851851851849</v>
      </c>
    </row>
    <row r="5" spans="1:6" x14ac:dyDescent="0.35">
      <c r="A5" s="4" t="s">
        <v>31</v>
      </c>
      <c r="B5" s="5">
        <v>108</v>
      </c>
      <c r="C5" s="5">
        <f t="shared" ref="C5:C9" si="0">B5-D5</f>
        <v>65</v>
      </c>
      <c r="D5" s="5">
        <v>43</v>
      </c>
      <c r="E5" s="7">
        <f t="shared" ref="E5:E9" si="1">D5 / B5</f>
        <v>0.39814814814814814</v>
      </c>
      <c r="F5" s="7">
        <f t="shared" ref="F5:F9" si="2">C5 /B5</f>
        <v>0.60185185185185186</v>
      </c>
    </row>
    <row r="6" spans="1:6" x14ac:dyDescent="0.35">
      <c r="A6" s="4" t="s">
        <v>27</v>
      </c>
      <c r="B6" s="5">
        <v>93</v>
      </c>
      <c r="C6" s="5">
        <f t="shared" si="0"/>
        <v>54</v>
      </c>
      <c r="D6" s="5">
        <v>39</v>
      </c>
      <c r="E6" s="7">
        <f t="shared" si="1"/>
        <v>0.41935483870967744</v>
      </c>
      <c r="F6" s="7">
        <f t="shared" si="2"/>
        <v>0.58064516129032262</v>
      </c>
    </row>
    <row r="7" spans="1:6" x14ac:dyDescent="0.35">
      <c r="A7" s="4" t="s">
        <v>10</v>
      </c>
      <c r="B7" s="5">
        <v>97</v>
      </c>
      <c r="C7" s="5">
        <f t="shared" si="0"/>
        <v>55</v>
      </c>
      <c r="D7" s="5">
        <v>42</v>
      </c>
      <c r="E7" s="7">
        <f t="shared" si="1"/>
        <v>0.4329896907216495</v>
      </c>
      <c r="F7" s="7">
        <f t="shared" si="2"/>
        <v>0.5670103092783505</v>
      </c>
    </row>
    <row r="8" spans="1:6" x14ac:dyDescent="0.35">
      <c r="A8" s="4" t="s">
        <v>19</v>
      </c>
      <c r="B8" s="5">
        <v>94</v>
      </c>
      <c r="C8" s="5">
        <f t="shared" si="0"/>
        <v>54</v>
      </c>
      <c r="D8" s="5">
        <v>40</v>
      </c>
      <c r="E8" s="7">
        <f t="shared" si="1"/>
        <v>0.42553191489361702</v>
      </c>
      <c r="F8" s="7">
        <f t="shared" si="2"/>
        <v>0.57446808510638303</v>
      </c>
    </row>
    <row r="9" spans="1:6" x14ac:dyDescent="0.35">
      <c r="A9" s="4" t="s">
        <v>521</v>
      </c>
      <c r="B9" s="5">
        <v>500</v>
      </c>
      <c r="C9" s="5"/>
      <c r="D9" s="16"/>
      <c r="E9" s="7">
        <f t="shared" si="1"/>
        <v>0</v>
      </c>
      <c r="F9" s="7">
        <f t="shared" si="2"/>
        <v>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41981-17E8-4801-AF76-B4923D969437}">
  <sheetPr>
    <tabColor theme="3" tint="-0.249977111117893"/>
  </sheetPr>
  <dimension ref="A3:J8"/>
  <sheetViews>
    <sheetView zoomScale="90" zoomScaleNormal="90" workbookViewId="0">
      <selection activeCell="H17" sqref="H17"/>
    </sheetView>
  </sheetViews>
  <sheetFormatPr defaultRowHeight="14.5" x14ac:dyDescent="0.35"/>
  <cols>
    <col min="1" max="1" width="20" bestFit="1" customWidth="1"/>
    <col min="2" max="2" width="15.81640625" bestFit="1" customWidth="1"/>
    <col min="3" max="3" width="11" bestFit="1" customWidth="1"/>
    <col min="4" max="4" width="8.1796875" bestFit="1" customWidth="1"/>
    <col min="5" max="5" width="11" bestFit="1" customWidth="1"/>
    <col min="6" max="6" width="11" customWidth="1"/>
    <col min="7" max="7" width="17.81640625" customWidth="1"/>
    <col min="8" max="13" width="15.81640625" bestFit="1" customWidth="1"/>
    <col min="14" max="15" width="11" bestFit="1" customWidth="1"/>
    <col min="16" max="19" width="9.81640625" bestFit="1" customWidth="1"/>
    <col min="20" max="23" width="8.81640625" bestFit="1" customWidth="1"/>
    <col min="24" max="32" width="9.81640625" bestFit="1" customWidth="1"/>
    <col min="33" max="37" width="8.81640625" bestFit="1" customWidth="1"/>
    <col min="38" max="44" width="9.81640625" bestFit="1" customWidth="1"/>
    <col min="45" max="50" width="8.81640625" bestFit="1" customWidth="1"/>
    <col min="51" max="60" width="9.81640625" bestFit="1" customWidth="1"/>
    <col min="61" max="65" width="8.81640625" bestFit="1" customWidth="1"/>
    <col min="66" max="76" width="9.81640625" bestFit="1" customWidth="1"/>
    <col min="77" max="80" width="8.81640625" bestFit="1" customWidth="1"/>
    <col min="81" max="83" width="9.81640625" bestFit="1" customWidth="1"/>
    <col min="84" max="86" width="8.81640625" bestFit="1" customWidth="1"/>
    <col min="87" max="96" width="9.81640625" bestFit="1" customWidth="1"/>
    <col min="97" max="102" width="8.81640625" bestFit="1" customWidth="1"/>
    <col min="103" max="114" width="9.81640625" bestFit="1" customWidth="1"/>
    <col min="115" max="119" width="8.81640625" bestFit="1" customWidth="1"/>
    <col min="120" max="137" width="9.81640625" bestFit="1" customWidth="1"/>
    <col min="138" max="149" width="10.81640625" bestFit="1" customWidth="1"/>
    <col min="150" max="152" width="9.81640625" bestFit="1" customWidth="1"/>
    <col min="153" max="166" width="10.81640625" bestFit="1" customWidth="1"/>
    <col min="167" max="172" width="9.81640625" bestFit="1" customWidth="1"/>
    <col min="173" max="181" width="10.81640625" bestFit="1" customWidth="1"/>
    <col min="182" max="183" width="8.81640625" bestFit="1" customWidth="1"/>
    <col min="184" max="192" width="9.81640625" bestFit="1" customWidth="1"/>
    <col min="193" max="197" width="8.81640625" bestFit="1" customWidth="1"/>
    <col min="198" max="206" width="9.81640625" bestFit="1" customWidth="1"/>
    <col min="207" max="210" width="8.81640625" bestFit="1" customWidth="1"/>
    <col min="211" max="219" width="9.81640625" bestFit="1" customWidth="1"/>
    <col min="220" max="225" width="8.81640625" bestFit="1" customWidth="1"/>
    <col min="226" max="236" width="9.81640625" bestFit="1" customWidth="1"/>
    <col min="237" max="239" width="8.81640625" bestFit="1" customWidth="1"/>
    <col min="240" max="246" width="9.81640625" bestFit="1" customWidth="1"/>
    <col min="247" max="251" width="8.81640625" bestFit="1" customWidth="1"/>
    <col min="252" max="262" width="9.81640625" bestFit="1" customWidth="1"/>
    <col min="263" max="266" width="8.81640625" bestFit="1" customWidth="1"/>
    <col min="267" max="276" width="9.81640625" bestFit="1" customWidth="1"/>
    <col min="277" max="281" width="8.81640625" bestFit="1" customWidth="1"/>
    <col min="282" max="293" width="9.81640625" bestFit="1" customWidth="1"/>
    <col min="294" max="297" width="8.81640625" bestFit="1" customWidth="1"/>
    <col min="298" max="314" width="9.81640625" bestFit="1" customWidth="1"/>
    <col min="315" max="325" width="10.81640625" bestFit="1" customWidth="1"/>
    <col min="326" max="330" width="9.81640625" bestFit="1" customWidth="1"/>
    <col min="331" max="342" width="10.81640625" bestFit="1" customWidth="1"/>
    <col min="343" max="346" width="9.81640625" bestFit="1" customWidth="1"/>
    <col min="347" max="355" width="10.81640625" bestFit="1" customWidth="1"/>
    <col min="356" max="356" width="11" bestFit="1" customWidth="1"/>
  </cols>
  <sheetData>
    <row r="3" spans="1:10" ht="19.5" customHeight="1" x14ac:dyDescent="0.35">
      <c r="A3" s="3" t="s">
        <v>522</v>
      </c>
      <c r="B3" s="3" t="s">
        <v>529</v>
      </c>
    </row>
    <row r="4" spans="1:10" x14ac:dyDescent="0.35">
      <c r="A4" s="3" t="s">
        <v>520</v>
      </c>
      <c r="B4" t="s">
        <v>28</v>
      </c>
      <c r="C4" t="s">
        <v>521</v>
      </c>
      <c r="G4" s="9" t="s">
        <v>542</v>
      </c>
      <c r="H4" s="12" t="s">
        <v>543</v>
      </c>
      <c r="I4" s="12" t="s">
        <v>544</v>
      </c>
      <c r="J4" s="12" t="s">
        <v>545</v>
      </c>
    </row>
    <row r="5" spans="1:10" x14ac:dyDescent="0.35">
      <c r="A5" s="4" t="s">
        <v>11</v>
      </c>
      <c r="B5" s="5">
        <v>5</v>
      </c>
      <c r="C5" s="5">
        <v>5</v>
      </c>
      <c r="F5" s="5"/>
      <c r="G5" s="4" t="s">
        <v>11</v>
      </c>
      <c r="H5" s="5">
        <v>5</v>
      </c>
      <c r="I5" s="5">
        <v>190</v>
      </c>
      <c r="J5" s="7">
        <f>H5/I5</f>
        <v>2.6315789473684209E-2</v>
      </c>
    </row>
    <row r="6" spans="1:10" x14ac:dyDescent="0.35">
      <c r="A6" s="4" t="s">
        <v>23</v>
      </c>
      <c r="B6" s="5">
        <v>16</v>
      </c>
      <c r="C6" s="5">
        <v>16</v>
      </c>
      <c r="F6" s="5"/>
      <c r="G6" s="4" t="s">
        <v>23</v>
      </c>
      <c r="H6" s="5">
        <v>16</v>
      </c>
      <c r="I6" s="5">
        <v>157</v>
      </c>
      <c r="J6" s="7">
        <f t="shared" ref="J6:J8" si="0">H6/I6</f>
        <v>0.10191082802547771</v>
      </c>
    </row>
    <row r="7" spans="1:10" x14ac:dyDescent="0.35">
      <c r="A7" s="4" t="s">
        <v>16</v>
      </c>
      <c r="B7" s="5">
        <v>30</v>
      </c>
      <c r="C7" s="5">
        <v>30</v>
      </c>
      <c r="F7" s="5"/>
      <c r="G7" s="4" t="s">
        <v>16</v>
      </c>
      <c r="H7" s="5">
        <v>30</v>
      </c>
      <c r="I7" s="5">
        <v>153</v>
      </c>
      <c r="J7" s="7">
        <f t="shared" si="0"/>
        <v>0.19607843137254902</v>
      </c>
    </row>
    <row r="8" spans="1:10" x14ac:dyDescent="0.35">
      <c r="A8" s="4" t="s">
        <v>521</v>
      </c>
      <c r="B8" s="5">
        <v>51</v>
      </c>
      <c r="C8" s="5">
        <v>51</v>
      </c>
      <c r="F8" s="5"/>
      <c r="H8" s="6">
        <v>51</v>
      </c>
      <c r="I8" s="6">
        <v>500</v>
      </c>
      <c r="J8" s="7">
        <f t="shared" si="0"/>
        <v>0.10199999999999999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4B6BC-C383-416D-8D79-5BA56268BD13}">
  <sheetPr>
    <tabColor rgb="FF002060"/>
  </sheetPr>
  <dimension ref="A3:E8"/>
  <sheetViews>
    <sheetView workbookViewId="0">
      <selection activeCell="O8" sqref="O8"/>
    </sheetView>
  </sheetViews>
  <sheetFormatPr defaultRowHeight="14.5" x14ac:dyDescent="0.35"/>
  <cols>
    <col min="1" max="1" width="19.7265625" bestFit="1" customWidth="1"/>
    <col min="2" max="2" width="15.26953125" bestFit="1" customWidth="1"/>
    <col min="3" max="3" width="8" bestFit="1" customWidth="1"/>
    <col min="4" max="4" width="7.26953125" bestFit="1" customWidth="1"/>
    <col min="5" max="5" width="10.7265625" bestFit="1" customWidth="1"/>
  </cols>
  <sheetData>
    <row r="3" spans="1:5" x14ac:dyDescent="0.35">
      <c r="A3" s="3" t="s">
        <v>522</v>
      </c>
      <c r="B3" s="3" t="s">
        <v>529</v>
      </c>
    </row>
    <row r="4" spans="1:5" x14ac:dyDescent="0.35">
      <c r="A4" s="3" t="s">
        <v>520</v>
      </c>
      <c r="B4" t="s">
        <v>17</v>
      </c>
      <c r="C4" t="s">
        <v>28</v>
      </c>
      <c r="D4" t="s">
        <v>552</v>
      </c>
      <c r="E4" t="s">
        <v>521</v>
      </c>
    </row>
    <row r="5" spans="1:5" x14ac:dyDescent="0.35">
      <c r="A5" s="4" t="s">
        <v>11</v>
      </c>
      <c r="B5" s="5">
        <v>140</v>
      </c>
      <c r="C5" s="5">
        <v>5</v>
      </c>
      <c r="D5" s="5">
        <v>45</v>
      </c>
      <c r="E5" s="5">
        <v>190</v>
      </c>
    </row>
    <row r="6" spans="1:5" x14ac:dyDescent="0.35">
      <c r="A6" s="4" t="s">
        <v>23</v>
      </c>
      <c r="B6" s="5">
        <v>109</v>
      </c>
      <c r="C6" s="5">
        <v>16</v>
      </c>
      <c r="D6" s="5">
        <v>32</v>
      </c>
      <c r="E6" s="5">
        <v>157</v>
      </c>
    </row>
    <row r="7" spans="1:5" x14ac:dyDescent="0.35">
      <c r="A7" s="4" t="s">
        <v>16</v>
      </c>
      <c r="B7" s="5">
        <v>101</v>
      </c>
      <c r="C7" s="5">
        <v>30</v>
      </c>
      <c r="D7" s="5">
        <v>22</v>
      </c>
      <c r="E7" s="5">
        <v>153</v>
      </c>
    </row>
    <row r="8" spans="1:5" x14ac:dyDescent="0.35">
      <c r="A8" s="4" t="s">
        <v>521</v>
      </c>
      <c r="B8" s="5">
        <v>350</v>
      </c>
      <c r="C8" s="5">
        <v>51</v>
      </c>
      <c r="D8" s="5">
        <v>99</v>
      </c>
      <c r="E8" s="5">
        <v>500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CD95D-70DD-41E1-8B71-B2F7BBE5273A}">
  <sheetPr>
    <tabColor rgb="FFFCA768"/>
  </sheetPr>
  <dimension ref="A3:F17"/>
  <sheetViews>
    <sheetView topLeftCell="B1" workbookViewId="0">
      <selection activeCell="R13" sqref="R13"/>
    </sheetView>
  </sheetViews>
  <sheetFormatPr defaultRowHeight="14.5" x14ac:dyDescent="0.35"/>
  <cols>
    <col min="1" max="1" width="19.7265625" bestFit="1" customWidth="1"/>
    <col min="2" max="2" width="15.26953125" bestFit="1" customWidth="1"/>
    <col min="3" max="3" width="6.7265625" bestFit="1" customWidth="1"/>
    <col min="4" max="5" width="10.7265625" bestFit="1" customWidth="1"/>
    <col min="6" max="6" width="14.54296875" customWidth="1"/>
  </cols>
  <sheetData>
    <row r="3" spans="1:6" x14ac:dyDescent="0.35">
      <c r="A3" s="3" t="s">
        <v>522</v>
      </c>
      <c r="B3" s="3" t="s">
        <v>529</v>
      </c>
    </row>
    <row r="4" spans="1:6" x14ac:dyDescent="0.35">
      <c r="A4" s="3" t="s">
        <v>520</v>
      </c>
      <c r="B4" t="s">
        <v>12</v>
      </c>
      <c r="C4" t="s">
        <v>17</v>
      </c>
      <c r="D4" t="s">
        <v>521</v>
      </c>
      <c r="F4" s="12" t="s">
        <v>553</v>
      </c>
    </row>
    <row r="5" spans="1:6" x14ac:dyDescent="0.35">
      <c r="A5" s="4" t="s">
        <v>530</v>
      </c>
      <c r="B5" s="5">
        <v>18</v>
      </c>
      <c r="C5" s="5">
        <v>23</v>
      </c>
      <c r="D5" s="5">
        <v>41</v>
      </c>
      <c r="F5" s="7" t="e">
        <f>B5/E5</f>
        <v>#DIV/0!</v>
      </c>
    </row>
    <row r="6" spans="1:6" x14ac:dyDescent="0.35">
      <c r="A6" s="4" t="s">
        <v>531</v>
      </c>
      <c r="B6" s="5">
        <v>24</v>
      </c>
      <c r="C6" s="5">
        <v>13</v>
      </c>
      <c r="D6" s="5">
        <v>37</v>
      </c>
      <c r="F6" s="7" t="e">
        <f>B6/E6</f>
        <v>#DIV/0!</v>
      </c>
    </row>
    <row r="7" spans="1:6" x14ac:dyDescent="0.35">
      <c r="A7" s="4" t="s">
        <v>532</v>
      </c>
      <c r="B7" s="5">
        <v>12</v>
      </c>
      <c r="C7" s="5">
        <v>18</v>
      </c>
      <c r="D7" s="5">
        <v>30</v>
      </c>
      <c r="F7" s="7" t="e">
        <f>B7/E7</f>
        <v>#DIV/0!</v>
      </c>
    </row>
    <row r="8" spans="1:6" x14ac:dyDescent="0.35">
      <c r="A8" s="4" t="s">
        <v>533</v>
      </c>
      <c r="B8" s="5">
        <v>21</v>
      </c>
      <c r="C8" s="5">
        <v>24</v>
      </c>
      <c r="D8" s="5">
        <v>45</v>
      </c>
      <c r="F8" s="7" t="e">
        <f>B8/E8</f>
        <v>#DIV/0!</v>
      </c>
    </row>
    <row r="9" spans="1:6" x14ac:dyDescent="0.35">
      <c r="A9" s="4" t="s">
        <v>534</v>
      </c>
      <c r="B9" s="5">
        <v>12</v>
      </c>
      <c r="C9" s="5">
        <v>22</v>
      </c>
      <c r="D9" s="5">
        <v>34</v>
      </c>
      <c r="F9" s="7" t="e">
        <f>B9/E9</f>
        <v>#DIV/0!</v>
      </c>
    </row>
    <row r="10" spans="1:6" x14ac:dyDescent="0.35">
      <c r="A10" s="4" t="s">
        <v>535</v>
      </c>
      <c r="B10" s="5">
        <v>17</v>
      </c>
      <c r="C10" s="5">
        <v>11</v>
      </c>
      <c r="D10" s="5">
        <v>28</v>
      </c>
      <c r="F10" s="7" t="e">
        <f>B10/E10</f>
        <v>#DIV/0!</v>
      </c>
    </row>
    <row r="11" spans="1:6" x14ac:dyDescent="0.35">
      <c r="A11" s="4" t="s">
        <v>536</v>
      </c>
      <c r="B11" s="5">
        <v>11</v>
      </c>
      <c r="C11" s="5">
        <v>17</v>
      </c>
      <c r="D11" s="5">
        <v>28</v>
      </c>
      <c r="F11" s="7" t="e">
        <f>B11/E11</f>
        <v>#DIV/0!</v>
      </c>
    </row>
    <row r="12" spans="1:6" x14ac:dyDescent="0.35">
      <c r="A12" s="4" t="s">
        <v>537</v>
      </c>
      <c r="B12" s="5">
        <v>22</v>
      </c>
      <c r="C12" s="5">
        <v>18</v>
      </c>
      <c r="D12" s="5">
        <v>40</v>
      </c>
      <c r="F12" s="7" t="e">
        <f>B12/E12</f>
        <v>#DIV/0!</v>
      </c>
    </row>
    <row r="13" spans="1:6" x14ac:dyDescent="0.35">
      <c r="A13" s="4" t="s">
        <v>538</v>
      </c>
      <c r="B13" s="5">
        <v>18</v>
      </c>
      <c r="C13" s="5">
        <v>19</v>
      </c>
      <c r="D13" s="5">
        <v>37</v>
      </c>
      <c r="F13" s="7" t="e">
        <f>B13/E13</f>
        <v>#DIV/0!</v>
      </c>
    </row>
    <row r="14" spans="1:6" x14ac:dyDescent="0.35">
      <c r="A14" s="4" t="s">
        <v>539</v>
      </c>
      <c r="B14" s="5">
        <v>21</v>
      </c>
      <c r="C14" s="5">
        <v>27</v>
      </c>
      <c r="D14" s="5">
        <v>48</v>
      </c>
      <c r="F14" s="7" t="e">
        <f>B14/E14</f>
        <v>#DIV/0!</v>
      </c>
    </row>
    <row r="15" spans="1:6" x14ac:dyDescent="0.35">
      <c r="A15" s="4" t="s">
        <v>540</v>
      </c>
      <c r="B15" s="5">
        <v>22</v>
      </c>
      <c r="C15" s="5">
        <v>23</v>
      </c>
      <c r="D15" s="5">
        <v>45</v>
      </c>
      <c r="F15" s="7" t="e">
        <f>B15/E15</f>
        <v>#DIV/0!</v>
      </c>
    </row>
    <row r="16" spans="1:6" x14ac:dyDescent="0.35">
      <c r="A16" s="4" t="s">
        <v>541</v>
      </c>
      <c r="B16" s="5">
        <v>18</v>
      </c>
      <c r="C16" s="5">
        <v>18</v>
      </c>
      <c r="D16" s="5">
        <v>36</v>
      </c>
      <c r="F16" s="7" t="e">
        <f>B16/E16</f>
        <v>#DIV/0!</v>
      </c>
    </row>
    <row r="17" spans="1:6" x14ac:dyDescent="0.35">
      <c r="A17" s="4" t="s">
        <v>521</v>
      </c>
      <c r="B17" s="5">
        <v>216</v>
      </c>
      <c r="C17" s="5">
        <v>233</v>
      </c>
      <c r="D17" s="5">
        <v>449</v>
      </c>
      <c r="F17" s="7" t="e">
        <f>B17/E17</f>
        <v>#DIV/0!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01BAC-51D2-4970-A25C-8DB5FDC5300C}">
  <sheetPr>
    <tabColor rgb="FF7030A0"/>
  </sheetPr>
  <dimension ref="A3:B6"/>
  <sheetViews>
    <sheetView topLeftCell="B1" workbookViewId="0">
      <selection activeCell="R8" sqref="R8"/>
    </sheetView>
  </sheetViews>
  <sheetFormatPr defaultRowHeight="14.5" x14ac:dyDescent="0.35"/>
  <cols>
    <col min="1" max="1" width="12.36328125" bestFit="1" customWidth="1"/>
    <col min="2" max="2" width="20.54296875" bestFit="1" customWidth="1"/>
    <col min="3" max="3" width="15.26953125" bestFit="1" customWidth="1"/>
    <col min="4" max="5" width="10.7265625" bestFit="1" customWidth="1"/>
  </cols>
  <sheetData>
    <row r="3" spans="1:2" x14ac:dyDescent="0.35">
      <c r="A3" s="3" t="s">
        <v>520</v>
      </c>
      <c r="B3" t="s">
        <v>528</v>
      </c>
    </row>
    <row r="4" spans="1:2" x14ac:dyDescent="0.35">
      <c r="A4" s="4" t="s">
        <v>12</v>
      </c>
      <c r="B4" s="17">
        <v>17315000</v>
      </c>
    </row>
    <row r="5" spans="1:2" x14ac:dyDescent="0.35">
      <c r="A5" s="4" t="s">
        <v>28</v>
      </c>
      <c r="B5" s="17">
        <v>2250000</v>
      </c>
    </row>
    <row r="6" spans="1:2" x14ac:dyDescent="0.35">
      <c r="A6" s="4" t="s">
        <v>521</v>
      </c>
      <c r="B6" s="17">
        <v>19565000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D5FB1-E01D-4CBD-BF2C-5185700A0404}">
  <sheetPr>
    <tabColor theme="0" tint="-0.499984740745262"/>
  </sheetPr>
  <dimension ref="A1:N11"/>
  <sheetViews>
    <sheetView zoomScale="90" zoomScaleNormal="90" workbookViewId="0">
      <selection activeCell="D14" sqref="D14"/>
    </sheetView>
  </sheetViews>
  <sheetFormatPr defaultRowHeight="14.5" x14ac:dyDescent="0.35"/>
  <cols>
    <col min="1" max="1" width="20" bestFit="1" customWidth="1"/>
    <col min="2" max="2" width="15.81640625" bestFit="1" customWidth="1"/>
    <col min="3" max="3" width="5.6328125" bestFit="1" customWidth="1"/>
    <col min="4" max="4" width="6.08984375" bestFit="1" customWidth="1"/>
    <col min="5" max="5" width="5.6328125" bestFit="1" customWidth="1"/>
    <col min="6" max="6" width="6.26953125" bestFit="1" customWidth="1"/>
    <col min="7" max="7" width="5.54296875" bestFit="1" customWidth="1"/>
    <col min="8" max="8" width="4.90625" bestFit="1" customWidth="1"/>
    <col min="9" max="9" width="5.81640625" bestFit="1" customWidth="1"/>
    <col min="10" max="10" width="5.6328125" bestFit="1" customWidth="1"/>
    <col min="11" max="11" width="5.54296875" bestFit="1" customWidth="1"/>
    <col min="12" max="12" width="6" bestFit="1" customWidth="1"/>
    <col min="13" max="13" width="5.7265625" bestFit="1" customWidth="1"/>
    <col min="14" max="14" width="11" bestFit="1" customWidth="1"/>
    <col min="15" max="18" width="9.81640625" bestFit="1" customWidth="1"/>
    <col min="19" max="22" width="8.81640625" bestFit="1" customWidth="1"/>
    <col min="23" max="31" width="9.81640625" bestFit="1" customWidth="1"/>
    <col min="32" max="36" width="8.81640625" bestFit="1" customWidth="1"/>
    <col min="37" max="43" width="9.81640625" bestFit="1" customWidth="1"/>
    <col min="44" max="49" width="8.81640625" bestFit="1" customWidth="1"/>
    <col min="50" max="59" width="9.81640625" bestFit="1" customWidth="1"/>
    <col min="60" max="64" width="8.81640625" bestFit="1" customWidth="1"/>
    <col min="65" max="75" width="9.81640625" bestFit="1" customWidth="1"/>
    <col min="76" max="79" width="8.81640625" bestFit="1" customWidth="1"/>
    <col min="80" max="82" width="9.81640625" bestFit="1" customWidth="1"/>
    <col min="83" max="85" width="8.81640625" bestFit="1" customWidth="1"/>
    <col min="86" max="95" width="9.81640625" bestFit="1" customWidth="1"/>
    <col min="96" max="101" width="8.81640625" bestFit="1" customWidth="1"/>
    <col min="102" max="113" width="9.81640625" bestFit="1" customWidth="1"/>
    <col min="114" max="118" width="8.81640625" bestFit="1" customWidth="1"/>
    <col min="119" max="136" width="9.81640625" bestFit="1" customWidth="1"/>
    <col min="137" max="148" width="10.81640625" bestFit="1" customWidth="1"/>
    <col min="149" max="151" width="9.81640625" bestFit="1" customWidth="1"/>
    <col min="152" max="165" width="10.81640625" bestFit="1" customWidth="1"/>
    <col min="166" max="171" width="9.81640625" bestFit="1" customWidth="1"/>
    <col min="172" max="180" width="10.81640625" bestFit="1" customWidth="1"/>
    <col min="181" max="182" width="8.81640625" bestFit="1" customWidth="1"/>
    <col min="183" max="191" width="9.81640625" bestFit="1" customWidth="1"/>
    <col min="192" max="196" width="8.81640625" bestFit="1" customWidth="1"/>
    <col min="197" max="205" width="9.81640625" bestFit="1" customWidth="1"/>
    <col min="206" max="209" width="8.81640625" bestFit="1" customWidth="1"/>
    <col min="210" max="218" width="9.81640625" bestFit="1" customWidth="1"/>
    <col min="219" max="224" width="8.81640625" bestFit="1" customWidth="1"/>
    <col min="225" max="235" width="9.81640625" bestFit="1" customWidth="1"/>
    <col min="236" max="238" width="8.81640625" bestFit="1" customWidth="1"/>
    <col min="239" max="245" width="9.81640625" bestFit="1" customWidth="1"/>
    <col min="246" max="250" width="8.81640625" bestFit="1" customWidth="1"/>
    <col min="251" max="261" width="9.81640625" bestFit="1" customWidth="1"/>
    <col min="262" max="265" width="8.81640625" bestFit="1" customWidth="1"/>
    <col min="266" max="275" width="9.81640625" bestFit="1" customWidth="1"/>
    <col min="276" max="280" width="8.81640625" bestFit="1" customWidth="1"/>
    <col min="281" max="292" width="9.81640625" bestFit="1" customWidth="1"/>
    <col min="293" max="296" width="8.81640625" bestFit="1" customWidth="1"/>
    <col min="297" max="313" width="9.81640625" bestFit="1" customWidth="1"/>
    <col min="314" max="324" width="10.81640625" bestFit="1" customWidth="1"/>
    <col min="325" max="329" width="9.81640625" bestFit="1" customWidth="1"/>
    <col min="330" max="341" width="10.81640625" bestFit="1" customWidth="1"/>
    <col min="342" max="345" width="9.81640625" bestFit="1" customWidth="1"/>
    <col min="346" max="354" width="10.81640625" bestFit="1" customWidth="1"/>
    <col min="355" max="355" width="11" bestFit="1" customWidth="1"/>
  </cols>
  <sheetData>
    <row r="1" spans="1:14" x14ac:dyDescent="0.35">
      <c r="A1" s="3" t="s">
        <v>8</v>
      </c>
      <c r="B1" t="s">
        <v>523</v>
      </c>
    </row>
    <row r="3" spans="1:14" ht="19.5" customHeight="1" x14ac:dyDescent="0.35">
      <c r="A3" s="3" t="s">
        <v>522</v>
      </c>
      <c r="B3" s="3" t="s">
        <v>529</v>
      </c>
    </row>
    <row r="4" spans="1:14" x14ac:dyDescent="0.35">
      <c r="B4" t="s">
        <v>530</v>
      </c>
      <c r="C4" t="s">
        <v>531</v>
      </c>
      <c r="D4" t="s">
        <v>532</v>
      </c>
      <c r="E4" t="s">
        <v>533</v>
      </c>
      <c r="F4" t="s">
        <v>534</v>
      </c>
      <c r="G4" t="s">
        <v>535</v>
      </c>
      <c r="H4" t="s">
        <v>536</v>
      </c>
      <c r="I4" t="s">
        <v>537</v>
      </c>
      <c r="J4" t="s">
        <v>538</v>
      </c>
      <c r="K4" t="s">
        <v>539</v>
      </c>
      <c r="L4" t="s">
        <v>540</v>
      </c>
      <c r="M4" t="s">
        <v>541</v>
      </c>
      <c r="N4" t="s">
        <v>521</v>
      </c>
    </row>
    <row r="5" spans="1:14" x14ac:dyDescent="0.35">
      <c r="A5" s="3" t="s">
        <v>520</v>
      </c>
    </row>
    <row r="6" spans="1:14" x14ac:dyDescent="0.35">
      <c r="A6" s="4" t="s">
        <v>14</v>
      </c>
      <c r="B6" s="5">
        <v>13</v>
      </c>
      <c r="C6" s="5">
        <v>8</v>
      </c>
      <c r="D6" s="5">
        <v>6</v>
      </c>
      <c r="E6" s="5">
        <v>9</v>
      </c>
      <c r="F6" s="5">
        <v>8</v>
      </c>
      <c r="G6" s="5">
        <v>7</v>
      </c>
      <c r="H6" s="5">
        <v>8</v>
      </c>
      <c r="I6" s="5">
        <v>9</v>
      </c>
      <c r="J6" s="5">
        <v>7</v>
      </c>
      <c r="K6" s="5">
        <v>17</v>
      </c>
      <c r="L6" s="5">
        <v>8</v>
      </c>
      <c r="M6" s="5">
        <v>8</v>
      </c>
      <c r="N6" s="5">
        <v>108</v>
      </c>
    </row>
    <row r="7" spans="1:14" x14ac:dyDescent="0.35">
      <c r="A7" s="4" t="s">
        <v>31</v>
      </c>
      <c r="B7" s="5">
        <v>9</v>
      </c>
      <c r="C7" s="5">
        <v>5</v>
      </c>
      <c r="D7" s="5">
        <v>8</v>
      </c>
      <c r="E7" s="5">
        <v>13</v>
      </c>
      <c r="F7" s="5">
        <v>8</v>
      </c>
      <c r="G7" s="5">
        <v>9</v>
      </c>
      <c r="H7" s="5">
        <v>6</v>
      </c>
      <c r="I7" s="5">
        <v>7</v>
      </c>
      <c r="J7" s="5">
        <v>11</v>
      </c>
      <c r="K7" s="5">
        <v>10</v>
      </c>
      <c r="L7" s="5">
        <v>15</v>
      </c>
      <c r="M7" s="5">
        <v>7</v>
      </c>
      <c r="N7" s="5">
        <v>108</v>
      </c>
    </row>
    <row r="8" spans="1:14" x14ac:dyDescent="0.35">
      <c r="A8" s="4" t="s">
        <v>27</v>
      </c>
      <c r="B8" s="5">
        <v>5</v>
      </c>
      <c r="C8" s="5">
        <v>9</v>
      </c>
      <c r="D8" s="5">
        <v>7</v>
      </c>
      <c r="E8" s="5">
        <v>10</v>
      </c>
      <c r="F8" s="5">
        <v>5</v>
      </c>
      <c r="G8" s="5">
        <v>6</v>
      </c>
      <c r="H8" s="5">
        <v>8</v>
      </c>
      <c r="I8" s="5">
        <v>9</v>
      </c>
      <c r="J8" s="5">
        <v>9</v>
      </c>
      <c r="K8" s="5">
        <v>8</v>
      </c>
      <c r="L8" s="5">
        <v>11</v>
      </c>
      <c r="M8" s="5">
        <v>6</v>
      </c>
      <c r="N8" s="5">
        <v>93</v>
      </c>
    </row>
    <row r="9" spans="1:14" x14ac:dyDescent="0.35">
      <c r="A9" s="4" t="s">
        <v>10</v>
      </c>
      <c r="B9" s="5">
        <v>9</v>
      </c>
      <c r="C9" s="5">
        <v>9</v>
      </c>
      <c r="D9" s="5">
        <v>10</v>
      </c>
      <c r="E9" s="5">
        <v>11</v>
      </c>
      <c r="F9" s="5">
        <v>8</v>
      </c>
      <c r="G9" s="5">
        <v>3</v>
      </c>
      <c r="H9" s="5">
        <v>6</v>
      </c>
      <c r="I9" s="5">
        <v>7</v>
      </c>
      <c r="J9" s="5">
        <v>6</v>
      </c>
      <c r="K9" s="5">
        <v>9</v>
      </c>
      <c r="L9" s="5">
        <v>8</v>
      </c>
      <c r="M9" s="5">
        <v>11</v>
      </c>
      <c r="N9" s="5">
        <v>97</v>
      </c>
    </row>
    <row r="10" spans="1:14" x14ac:dyDescent="0.35">
      <c r="A10" s="4" t="s">
        <v>19</v>
      </c>
      <c r="B10" s="5">
        <v>9</v>
      </c>
      <c r="C10" s="5">
        <v>9</v>
      </c>
      <c r="D10" s="5">
        <v>6</v>
      </c>
      <c r="E10" s="5">
        <v>8</v>
      </c>
      <c r="F10" s="5">
        <v>7</v>
      </c>
      <c r="G10" s="5">
        <v>6</v>
      </c>
      <c r="H10" s="5">
        <v>6</v>
      </c>
      <c r="I10" s="5">
        <v>11</v>
      </c>
      <c r="J10" s="5">
        <v>11</v>
      </c>
      <c r="K10" s="5">
        <v>6</v>
      </c>
      <c r="L10" s="5">
        <v>7</v>
      </c>
      <c r="M10" s="5">
        <v>8</v>
      </c>
      <c r="N10" s="5">
        <v>94</v>
      </c>
    </row>
    <row r="11" spans="1:14" x14ac:dyDescent="0.35">
      <c r="A11" s="4" t="s">
        <v>521</v>
      </c>
      <c r="B11" s="5">
        <v>45</v>
      </c>
      <c r="C11" s="5">
        <v>40</v>
      </c>
      <c r="D11" s="5">
        <v>37</v>
      </c>
      <c r="E11" s="5">
        <v>51</v>
      </c>
      <c r="F11" s="5">
        <v>36</v>
      </c>
      <c r="G11" s="5">
        <v>31</v>
      </c>
      <c r="H11" s="5">
        <v>34</v>
      </c>
      <c r="I11" s="5">
        <v>43</v>
      </c>
      <c r="J11" s="5">
        <v>44</v>
      </c>
      <c r="K11" s="5">
        <v>50</v>
      </c>
      <c r="L11" s="5">
        <v>49</v>
      </c>
      <c r="M11" s="5">
        <v>40</v>
      </c>
      <c r="N11" s="5">
        <v>500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D5D2B-F6C4-4335-B52D-8A076428F6B5}">
  <sheetPr>
    <tabColor rgb="FF189C2E"/>
  </sheetPr>
  <dimension ref="A1"/>
  <sheetViews>
    <sheetView showGridLines="0" tabSelected="1" zoomScale="69" zoomScaleNormal="69" workbookViewId="0">
      <selection activeCell="Z31" sqref="Z31"/>
    </sheetView>
  </sheetViews>
  <sheetFormatPr defaultRowHeight="14.5" x14ac:dyDescent="0.35"/>
  <cols>
    <col min="1" max="16384" width="8.726562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Data - Sheet1</vt:lpstr>
      <vt:lpstr>KPI Card (Total Active.C)</vt:lpstr>
      <vt:lpstr>KPI Card (Average Customer LTV)</vt:lpstr>
      <vt:lpstr>KPI Card (MRR)</vt:lpstr>
      <vt:lpstr>KPI Card ( Churn rate)</vt:lpstr>
      <vt:lpstr>Retention rate by product line</vt:lpstr>
      <vt:lpstr>Churn analysis by customer sgt</vt:lpstr>
      <vt:lpstr>Customer health score breakdown</vt:lpstr>
      <vt:lpstr>Time series retention trend</vt:lpstr>
      <vt:lpstr>Retention drivers analysis</vt:lpstr>
      <vt:lpstr>Month over month trend</vt:lpstr>
      <vt:lpstr>Dashboard Page</vt:lpstr>
      <vt:lpstr>Churn</vt:lpstr>
      <vt:lpstr>LTV</vt:lpstr>
      <vt:lpstr>MRR</vt:lpstr>
      <vt:lpstr>TAC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Ajiboye Abdullahi</dc:creator>
  <cp:lastModifiedBy>Ajiboye Abdullahi</cp:lastModifiedBy>
  <dcterms:created xsi:type="dcterms:W3CDTF">2025-10-29T22:49:10Z</dcterms:created>
  <dcterms:modified xsi:type="dcterms:W3CDTF">2025-10-29T22:49:11Z</dcterms:modified>
</cp:coreProperties>
</file>