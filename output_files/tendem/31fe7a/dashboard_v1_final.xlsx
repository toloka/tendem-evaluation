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" sheetId="2" r:id="rId5"/>
    <sheet state="visible" name="Global Filters" sheetId="3" r:id="rId6"/>
    <sheet state="visible" name="Executive Summary" sheetId="4" r:id="rId7"/>
    <sheet state="visible" name="Timeline" sheetId="5" r:id="rId8"/>
    <sheet state="visible" name="Budget" sheetId="6" r:id="rId9"/>
    <sheet state="visible" name="Team" sheetId="7" r:id="rId10"/>
    <sheet state="visible" name="Delivery" sheetId="8" r:id="rId11"/>
    <sheet state="visible" name="Revenue" sheetId="9" r:id="rId12"/>
    <sheet state="visible" name="Risk Heatmap" sheetId="10" r:id="rId13"/>
    <sheet state="visible" name="Status Waterfall" sheetId="11" r:id="rId14"/>
    <sheet state="visible" name="Data Dictionary" sheetId="12" r:id="rId15"/>
  </sheets>
  <externalReferences>
    <externalReference r:id="rId16"/>
  </externalReferences>
  <definedNames>
    <definedName hidden="1" localSheetId="4" name="_xlnm._FilterDatabase">Timeline!$A$1:$K$81</definedName>
    <definedName hidden="1" localSheetId="5" name="_xlnm._FilterDatabase">Budget!$A$1:$G$1000</definedName>
    <definedName hidden="1" localSheetId="7" name="_xlnm._FilterDatabase">Delivery!$A$1:$O$1000</definedName>
    <definedName hidden="1" localSheetId="8" name="_xlnm._FilterDatabase">Revenue!$A$1:$H$163</definedName>
    <definedName hidden="1" localSheetId="10" name="_xlnm._FilterDatabase">'Status Waterfall'!$A$1:$F$6</definedName>
  </definedNames>
  <calcPr/>
  <extLst>
    <ext uri="GoogleSheetsCustomDataVersion2">
      <go:sheetsCustomData xmlns:go="http://customooxmlschemas.google.com/" r:id="rId17" roundtripDataChecksum="fXm3pNUcZjbJ2QcpLZRTwVyEcCktTxrO6LLcuyAtoyU="/>
    </ext>
  </extLst>
</workbook>
</file>

<file path=xl/sharedStrings.xml><?xml version="1.0" encoding="utf-8"?>
<sst xmlns="http://schemas.openxmlformats.org/spreadsheetml/2006/main" count="2265" uniqueCount="366">
  <si>
    <t>Interactive Product Development Dashboard — Instructions</t>
  </si>
  <si>
    <t>Overview</t>
  </si>
  <si>
    <t>This workbook provides an interactive overview of product development initiatives, including KPIs, timelines, budget performance, resource allocation, delivery comparisons, revenue impact, status waterfall, and risk heatmap.</t>
  </si>
  <si>
    <t>Sheets &amp; Purpose</t>
  </si>
  <si>
    <t>• Executive Summary: Top-line KPIs and status overview, filter-responsive via Master Visible Flag.</t>
  </si>
  <si>
    <t>• Delivery: Scatter (Budget vs Schedule), Bubble (Priority vs Budget vs Delivery Status), Planned vs Actual Duration.</t>
  </si>
  <si>
    <t>• Budget: Initiative-level budget analysis and Product Line totals with charts.</t>
  </si>
  <si>
    <t>• Team: Resource allocation by team with table and distribution chart.</t>
  </si>
  <si>
    <t>• Revenue: Expected vs Actual revenue by initiative, ranking table, and Product Line totals.</t>
  </si>
  <si>
    <t>• Status Waterfall: Stacked horizontal breakdown of initiatives count by status per product line.</t>
  </si>
  <si>
    <t>• Risk Heatmap: Matrix of Budget variance (%) vs Schedule variance (days), color-coded counts.</t>
  </si>
  <si>
    <t>• Global Filters: Centralized dropdowns for Product Line, Status, Priority, Team, optional Start/End dates.</t>
  </si>
  <si>
    <t>• Data: Source table with visibility flags and calculated fields; drives all visuals.</t>
  </si>
  <si>
    <t>Filters &amp; Cross-filtering</t>
  </si>
  <si>
    <t>• Use Global Filters sheet to select Product Line, Status, Priority, Team, and date range (blank selections act as pass-through).</t>
  </si>
  <si>
    <t>• Convert Data to an Excel Table (Ctrl+T) and add slicers (Insert → Slicer) for layered filtering; slicers update the Visible (Filter Flag).</t>
  </si>
  <si>
    <t>• Master Visible Flag in Data = AND(Global Include, Visible (Filter Flag)=1); visuals only include rows where Master Visible Flag=1.</t>
  </si>
  <si>
    <t>• Executive Summary KPIs, Delivery, Revenue, Status Waterfall, and Risk Heatmap all respond to Global Filters and slicers.</t>
  </si>
  <si>
    <t>Refresh &amp; Verification</t>
  </si>
  <si>
    <t>1) Set Global Filters (e.g., Product Line and Status) and/or apply slicers on the Data table.</t>
  </si>
  <si>
    <t>2) In Data, filter Master Visible Flag=1; confirm rows match selections and are visible.</t>
  </si>
  <si>
    <t>3) Check Executive Summary: KPIs and Status counts update immediately.</t>
  </si>
  <si>
    <t>4) Verify Delivery and Revenue only show matching initiatives (Include=1).</t>
  </si>
  <si>
    <t>5) Check Risk Heatmap: counts and color intensity reflect the filtered subset; validate using Row/Column totals.</t>
  </si>
  <si>
    <t>Data Assumptions</t>
  </si>
  <si>
    <t>• Resource Utilization (%) stored as 0–100; KPIs compute weighted average and display as percentage.</t>
  </si>
  <si>
    <t>• Budget and Revenue figures are in $; currency formatting applied where appropriate.</t>
  </si>
  <si>
    <t>• Schedule Variance (days) = Actual Duration − Planned Duration; fallback used where precomputed values are missing.</t>
  </si>
  <si>
    <t>• Global Include uses exact text matches (TRIM/EXACT) for filter selections; blanks act as pass-through.</t>
  </si>
  <si>
    <t>Formula References</t>
  </si>
  <si>
    <t>• Visible (Filter Flag): =SUBTOTAL(103,OFFSET($A$2,ROW()-ROW($A$2),0,1,1))</t>
  </si>
  <si>
    <t>• Master Visible Flag: =AND(Global Include, Visible (Filter Flag)=1)</t>
  </si>
  <si>
    <t>• KPI gating: SUMIF/SUMPRODUCT over Data ranges multiplied by Master Visible Flag.</t>
  </si>
  <si>
    <t>• Risk Heatmap counts: COUNTIFS(BV bin, SV bin, Master Visible Flag=1) with extended bins.</t>
  </si>
  <si>
    <t>Troubleshooting</t>
  </si>
  <si>
    <t>• If charts appear empty, ensure Include or Master Visible Flag = 1 for some rows and that helper columns return numeric values.</t>
  </si>
  <si>
    <t>• If slicers do not appear, convert Data to Table, then Insert → Slicer to add controls.</t>
  </si>
  <si>
    <t>• If totals do not align, use Row/Column totals in Risk Heatmap and confirm numeric variances exist for visible rows.</t>
  </si>
  <si>
    <t>Initiative ID</t>
  </si>
  <si>
    <t>Initiative Name</t>
  </si>
  <si>
    <t>Product Line</t>
  </si>
  <si>
    <t>Status</t>
  </si>
  <si>
    <t>Start Date</t>
  </si>
  <si>
    <t>Target Completion Date</t>
  </si>
  <si>
    <t>Actual Completion Date</t>
  </si>
  <si>
    <t>Assigned Team Size</t>
  </si>
  <si>
    <t>Budget Allocated</t>
  </si>
  <si>
    <t>Budget Spent</t>
  </si>
  <si>
    <t>Resource Utilization (%)</t>
  </si>
  <si>
    <t>Priority Level</t>
  </si>
  <si>
    <t>Expected Revenue Impact ($)</t>
  </si>
  <si>
    <t>Actual Revenue Impact ($)</t>
  </si>
  <si>
    <t>Progress % (heuristic)</t>
  </si>
  <si>
    <t>Assigned Team</t>
  </si>
  <si>
    <t>Planned Duration (days)</t>
  </si>
  <si>
    <t>Actual Duration (days)</t>
  </si>
  <si>
    <t>Schedule Variance (days)</t>
  </si>
  <si>
    <t>Budget Variance ($)</t>
  </si>
  <si>
    <t>Budget Variance (%)</t>
  </si>
  <si>
    <t>On-time (Yes=1, No=0)</t>
  </si>
  <si>
    <t>Revenue Delta ($)</t>
  </si>
  <si>
    <t>Visible (Filter Flag)</t>
  </si>
  <si>
    <t>Global Include</t>
  </si>
  <si>
    <t>Master Visible Flag</t>
  </si>
  <si>
    <t>INIT0001</t>
  </si>
  <si>
    <t>Analytics Suite - Feature 1</t>
  </si>
  <si>
    <t>Analytics Suite</t>
  </si>
  <si>
    <t>Testing</t>
  </si>
  <si>
    <t>Medium</t>
  </si>
  <si>
    <t>Team Alpha</t>
  </si>
  <si>
    <t>INIT0002</t>
  </si>
  <si>
    <t>Mobile App - Feature 2</t>
  </si>
  <si>
    <t>Mobile App</t>
  </si>
  <si>
    <t>On Hold</t>
  </si>
  <si>
    <t>Low</t>
  </si>
  <si>
    <t>INIT0003</t>
  </si>
  <si>
    <t>Analytics Suite - Feature 3</t>
  </si>
  <si>
    <t>Planning</t>
  </si>
  <si>
    <t>Team Epsilon</t>
  </si>
  <si>
    <t>INIT0004</t>
  </si>
  <si>
    <t>Mobile App - Feature 4</t>
  </si>
  <si>
    <t>In Development</t>
  </si>
  <si>
    <t>Team Delta</t>
  </si>
  <si>
    <t>INIT0005</t>
  </si>
  <si>
    <t>Data Infrastructure - Feature 5</t>
  </si>
  <si>
    <t>Data Infrastructure</t>
  </si>
  <si>
    <t>INIT0006</t>
  </si>
  <si>
    <t>Web Platform - Feature 6</t>
  </si>
  <si>
    <t>Web Platform</t>
  </si>
  <si>
    <t>Team Gamma</t>
  </si>
  <si>
    <t>INIT0007</t>
  </si>
  <si>
    <t>Data Infrastructure - Feature 7</t>
  </si>
  <si>
    <t>Launched</t>
  </si>
  <si>
    <t>INIT0008</t>
  </si>
  <si>
    <t>Web Platform - Feature 8</t>
  </si>
  <si>
    <t>High</t>
  </si>
  <si>
    <t>INIT0009</t>
  </si>
  <si>
    <t>Analytics Suite - Feature 9</t>
  </si>
  <si>
    <t>Critical</t>
  </si>
  <si>
    <t>INIT0010</t>
  </si>
  <si>
    <t>API - Feature 10</t>
  </si>
  <si>
    <t>API</t>
  </si>
  <si>
    <t>INIT0011</t>
  </si>
  <si>
    <t>Web Platform - Feature 11</t>
  </si>
  <si>
    <t>INIT0012</t>
  </si>
  <si>
    <t>Web Platform - Feature 12</t>
  </si>
  <si>
    <t>INIT0013</t>
  </si>
  <si>
    <t>Analytics Suite - Feature 13</t>
  </si>
  <si>
    <t>INIT0014</t>
  </si>
  <si>
    <t>API - Feature 14</t>
  </si>
  <si>
    <t>INIT0015</t>
  </si>
  <si>
    <t>Web Platform - Feature 15</t>
  </si>
  <si>
    <t>INIT0016</t>
  </si>
  <si>
    <t>API - Feature 16</t>
  </si>
  <si>
    <t>INIT0017</t>
  </si>
  <si>
    <t>Web Platform - Feature 17</t>
  </si>
  <si>
    <t>INIT0018</t>
  </si>
  <si>
    <t>Mobile App - Feature 18</t>
  </si>
  <si>
    <t>INIT0019</t>
  </si>
  <si>
    <t>API - Feature 19</t>
  </si>
  <si>
    <t>INIT0020</t>
  </si>
  <si>
    <t>Data Infrastructure - Feature 20</t>
  </si>
  <si>
    <t>INIT0021</t>
  </si>
  <si>
    <t>API - Feature 21</t>
  </si>
  <si>
    <t>Team Beta</t>
  </si>
  <si>
    <t>INIT0022</t>
  </si>
  <si>
    <t>API - Feature 22</t>
  </si>
  <si>
    <t>INIT0023</t>
  </si>
  <si>
    <t>Data Infrastructure - Feature 23</t>
  </si>
  <si>
    <t>INIT0024</t>
  </si>
  <si>
    <t>Mobile App - Feature 24</t>
  </si>
  <si>
    <t>INIT0025</t>
  </si>
  <si>
    <t>Mobile App - Feature 25</t>
  </si>
  <si>
    <t>INIT0026</t>
  </si>
  <si>
    <t>Data Infrastructure - Feature 26</t>
  </si>
  <si>
    <t>INIT0027</t>
  </si>
  <si>
    <t>Analytics Suite - Feature 27</t>
  </si>
  <si>
    <t>INIT0028</t>
  </si>
  <si>
    <t>Analytics Suite - Feature 28</t>
  </si>
  <si>
    <t>INIT0029</t>
  </si>
  <si>
    <t>Data Infrastructure - Feature 29</t>
  </si>
  <si>
    <t>INIT0030</t>
  </si>
  <si>
    <t>Data Infrastructure - Feature 30</t>
  </si>
  <si>
    <t>INIT0031</t>
  </si>
  <si>
    <t>API - Feature 31</t>
  </si>
  <si>
    <t>INIT0032</t>
  </si>
  <si>
    <t>Analytics Suite - Feature 32</t>
  </si>
  <si>
    <t>INIT0033</t>
  </si>
  <si>
    <t>Mobile App - Feature 33</t>
  </si>
  <si>
    <t>INIT0034</t>
  </si>
  <si>
    <t>Web Platform - Feature 34</t>
  </si>
  <si>
    <t>INIT0035</t>
  </si>
  <si>
    <t>Data Infrastructure - Feature 35</t>
  </si>
  <si>
    <t>INIT0036</t>
  </si>
  <si>
    <t>Analytics Suite - Feature 36</t>
  </si>
  <si>
    <t>INIT0037</t>
  </si>
  <si>
    <t>Mobile App - Feature 37</t>
  </si>
  <si>
    <t>INIT0038</t>
  </si>
  <si>
    <t>API - Feature 38</t>
  </si>
  <si>
    <t>INIT0039</t>
  </si>
  <si>
    <t>Analytics Suite - Feature 39</t>
  </si>
  <si>
    <t>INIT0040</t>
  </si>
  <si>
    <t>Data Infrastructure - Feature 40</t>
  </si>
  <si>
    <t>INIT0041</t>
  </si>
  <si>
    <t>Web Platform - Feature 41</t>
  </si>
  <si>
    <t>INIT0042</t>
  </si>
  <si>
    <t>Data Infrastructure - Feature 42</t>
  </si>
  <si>
    <t>INIT0043</t>
  </si>
  <si>
    <t>Analytics Suite - Feature 43</t>
  </si>
  <si>
    <t>INIT0044</t>
  </si>
  <si>
    <t>API - Feature 44</t>
  </si>
  <si>
    <t>INIT0045</t>
  </si>
  <si>
    <t>Data Infrastructure - Feature 45</t>
  </si>
  <si>
    <t>INIT0046</t>
  </si>
  <si>
    <t>Web Platform - Feature 46</t>
  </si>
  <si>
    <t>INIT0047</t>
  </si>
  <si>
    <t>Data Infrastructure - Feature 47</t>
  </si>
  <si>
    <t>INIT0048</t>
  </si>
  <si>
    <t>Web Platform - Feature 48</t>
  </si>
  <si>
    <t>INIT0049</t>
  </si>
  <si>
    <t>API - Feature 49</t>
  </si>
  <si>
    <t>INIT0050</t>
  </si>
  <si>
    <t>Analytics Suite - Feature 50</t>
  </si>
  <si>
    <t>INIT0051</t>
  </si>
  <si>
    <t>Mobile App - Feature 51</t>
  </si>
  <si>
    <t>INIT0052</t>
  </si>
  <si>
    <t>Mobile App - Feature 52</t>
  </si>
  <si>
    <t>INIT0053</t>
  </si>
  <si>
    <t>Analytics Suite - Feature 53</t>
  </si>
  <si>
    <t>INIT0054</t>
  </si>
  <si>
    <t>Analytics Suite - Feature 54</t>
  </si>
  <si>
    <t>INIT0055</t>
  </si>
  <si>
    <t>Web Platform - Feature 55</t>
  </si>
  <si>
    <t>INIT0056</t>
  </si>
  <si>
    <t>API - Feature 56</t>
  </si>
  <si>
    <t>INIT0057</t>
  </si>
  <si>
    <t>Analytics Suite - Feature 57</t>
  </si>
  <si>
    <t>INIT0058</t>
  </si>
  <si>
    <t>Analytics Suite - Feature 58</t>
  </si>
  <si>
    <t>INIT0059</t>
  </si>
  <si>
    <t>Web Platform - Feature 59</t>
  </si>
  <si>
    <t>INIT0060</t>
  </si>
  <si>
    <t>Web Platform - Feature 60</t>
  </si>
  <si>
    <t>INIT0061</t>
  </si>
  <si>
    <t>API - Feature 61</t>
  </si>
  <si>
    <t>INIT0062</t>
  </si>
  <si>
    <t>API - Feature 62</t>
  </si>
  <si>
    <t>INIT0063</t>
  </si>
  <si>
    <t>Analytics Suite - Feature 63</t>
  </si>
  <si>
    <t>INIT0064</t>
  </si>
  <si>
    <t>Data Infrastructure - Feature 64</t>
  </si>
  <si>
    <t>INIT0065</t>
  </si>
  <si>
    <t>API - Feature 65</t>
  </si>
  <si>
    <t>INIT0066</t>
  </si>
  <si>
    <t>Data Infrastructure - Feature 66</t>
  </si>
  <si>
    <t>INIT0067</t>
  </si>
  <si>
    <t>Analytics Suite - Feature 67</t>
  </si>
  <si>
    <t>INIT0068</t>
  </si>
  <si>
    <t>API - Feature 68</t>
  </si>
  <si>
    <t>INIT0069</t>
  </si>
  <si>
    <t>Web Platform - Feature 69</t>
  </si>
  <si>
    <t>INIT0070</t>
  </si>
  <si>
    <t>Analytics Suite - Feature 70</t>
  </si>
  <si>
    <t>INIT0071</t>
  </si>
  <si>
    <t>Web Platform - Feature 71</t>
  </si>
  <si>
    <t>INIT0072</t>
  </si>
  <si>
    <t>Analytics Suite - Feature 72</t>
  </si>
  <si>
    <t>INIT0073</t>
  </si>
  <si>
    <t>Web Platform - Feature 73</t>
  </si>
  <si>
    <t>INIT0074</t>
  </si>
  <si>
    <t>Analytics Suite - Feature 74</t>
  </si>
  <si>
    <t>INIT0075</t>
  </si>
  <si>
    <t>API - Feature 75</t>
  </si>
  <si>
    <t>INIT0076</t>
  </si>
  <si>
    <t>Web Platform - Feature 76</t>
  </si>
  <si>
    <t>INIT0077</t>
  </si>
  <si>
    <t>Mobile App - Feature 77</t>
  </si>
  <si>
    <t>INIT0078</t>
  </si>
  <si>
    <t>Analytics Suite - Feature 78</t>
  </si>
  <si>
    <t>INIT0079</t>
  </si>
  <si>
    <t>Data Infrastructure - Feature 79</t>
  </si>
  <si>
    <t>INIT0080</t>
  </si>
  <si>
    <t>Analytics Suite - Feature 80</t>
  </si>
  <si>
    <t>Global Filters</t>
  </si>
  <si>
    <t>Helper Lists</t>
  </si>
  <si>
    <t>Product Lines</t>
  </si>
  <si>
    <t>Priority</t>
  </si>
  <si>
    <t>Teams</t>
  </si>
  <si>
    <t>Product Line:</t>
  </si>
  <si>
    <t>Status:</t>
  </si>
  <si>
    <t>Priority:</t>
  </si>
  <si>
    <t>Team:</t>
  </si>
  <si>
    <t>Start Date:</t>
  </si>
  <si>
    <t>End Date:</t>
  </si>
  <si>
    <t>Executive Summary KPI Cards</t>
  </si>
  <si>
    <t>KPI</t>
  </si>
  <si>
    <t>Value</t>
  </si>
  <si>
    <t>Notes</t>
  </si>
  <si>
    <t>Count</t>
  </si>
  <si>
    <t>Initiatives (Total)</t>
  </si>
  <si>
    <t>On-time delivery rate (%)</t>
  </si>
  <si>
    <t>Average of 1/0 flags</t>
  </si>
  <si>
    <t>Budget utilization rate (%)</t>
  </si>
  <si>
    <t>Spent / Allocated</t>
  </si>
  <si>
    <t>Avg. resource utilization (%)</t>
  </si>
  <si>
    <t>Mean across initiatives</t>
  </si>
  <si>
    <t>Expected revenue (Total $)</t>
  </si>
  <si>
    <t>Actual revenue (Total $)</t>
  </si>
  <si>
    <t>All Product Lines</t>
  </si>
  <si>
    <t>All Statuses</t>
  </si>
  <si>
    <t>Progress %</t>
  </si>
  <si>
    <t>Start Offset (days)</t>
  </si>
  <si>
    <t>Product Line Helper (use sheet filters; slicers in later subtask)</t>
  </si>
  <si>
    <t>Statuses</t>
  </si>
  <si>
    <t>Include Flag</t>
  </si>
  <si>
    <t>Start Offset (visible)</t>
  </si>
  <si>
    <t>Planned Duration (visible)</t>
  </si>
  <si>
    <t>Actual Duration (visible)</t>
  </si>
  <si>
    <t>Planned End Offset (days)</t>
  </si>
  <si>
    <t>Actual End Offset (days)</t>
  </si>
  <si>
    <t>Planned End Offset (visible)</t>
  </si>
  <si>
    <t>Actual End Offset (visible)</t>
  </si>
  <si>
    <t>Row Index</t>
  </si>
  <si>
    <t>Include</t>
  </si>
  <si>
    <t>Select Product Line:</t>
  </si>
  <si>
    <t>Select Status:</t>
  </si>
  <si>
    <t>Variance ($)</t>
  </si>
  <si>
    <t>Variance (%)</t>
  </si>
  <si>
    <t>Budget Performance by Product Line</t>
  </si>
  <si>
    <t>Allocated (sum)</t>
  </si>
  <si>
    <t>Spent (sum)</t>
  </si>
  <si>
    <t>Team Name</t>
  </si>
  <si>
    <t>Initiatives Count</t>
  </si>
  <si>
    <t>Allocated Resources (sum)</t>
  </si>
  <si>
    <t>Avg Utilization (%)</t>
  </si>
  <si>
    <t>Allocation Status</t>
  </si>
  <si>
    <t>On-time</t>
  </si>
  <si>
    <t>X (Sched Var) - On-time</t>
  </si>
  <si>
    <t>Y (Budget Var %) - On-time</t>
  </si>
  <si>
    <t>X (Sched Var) - Late</t>
  </si>
  <si>
    <t>Y (Budget Var %) - Late</t>
  </si>
  <si>
    <t>Bub X Budget (Critical)</t>
  </si>
  <si>
    <t>Bub Y On-time (Critical)</t>
  </si>
  <si>
    <t>Bub Z Team (Critical)</t>
  </si>
  <si>
    <t>Bub X Budget (High)</t>
  </si>
  <si>
    <t>Bub Y On-time (High)</t>
  </si>
  <si>
    <t>Bub Z Team (High)</t>
  </si>
  <si>
    <t>Bub X Budget (Medium)</t>
  </si>
  <si>
    <t>Bub Y On-time (Medium)</t>
  </si>
  <si>
    <t>Bub Z Team (Medium)</t>
  </si>
  <si>
    <t>Bub X Budget (Low)</t>
  </si>
  <si>
    <t>Bub Y On-time (Low)</t>
  </si>
  <si>
    <t>Bub Z Team (Low)</t>
  </si>
  <si>
    <t>Expected Revenue ($)</t>
  </si>
  <si>
    <t>Actual Revenue ($)</t>
  </si>
  <si>
    <t>Expected (visible)</t>
  </si>
  <si>
    <t>Actual (visible)</t>
  </si>
  <si>
    <t>Rank</t>
  </si>
  <si>
    <t>Risk &amp; Performance Heatmap (Gated by Master Visible Flag)</t>
  </si>
  <si>
    <t>Y: Schedule Variance (days)</t>
  </si>
  <si>
    <t>X: Budget Variance (%)</t>
  </si>
  <si>
    <t>&lt; -20%</t>
  </si>
  <si>
    <t>-20% to -10%</t>
  </si>
  <si>
    <t>-10% to 0%</t>
  </si>
  <si>
    <t>0% to 10%</t>
  </si>
  <si>
    <t>10% to 20%</t>
  </si>
  <si>
    <t>&gt; 20%</t>
  </si>
  <si>
    <t>Row Total</t>
  </si>
  <si>
    <t>&lt; -30 days</t>
  </si>
  <si>
    <t>-30 to -15 days</t>
  </si>
  <si>
    <t>-15 to 0 days</t>
  </si>
  <si>
    <t>0 to 15 days</t>
  </si>
  <si>
    <t>15 to 30 days</t>
  </si>
  <si>
    <t>&gt; 30 days</t>
  </si>
  <si>
    <t>Col Total</t>
  </si>
  <si>
    <t>Total</t>
  </si>
  <si>
    <t>Column</t>
  </si>
  <si>
    <t>Type</t>
  </si>
  <si>
    <t>Description</t>
  </si>
  <si>
    <t>object</t>
  </si>
  <si>
    <t>Unique identifier for initiative</t>
  </si>
  <si>
    <t>Name/title of initiative</t>
  </si>
  <si>
    <t>Product line category</t>
  </si>
  <si>
    <t>Lifecycle status: Planning, In Development, Testing, Launched, On Hold</t>
  </si>
  <si>
    <t>datetime64[ns]</t>
  </si>
  <si>
    <t>Initiative start date</t>
  </si>
  <si>
    <t>Planned completion date</t>
  </si>
  <si>
    <t>Actual completion date (if completed)</t>
  </si>
  <si>
    <t>int64</t>
  </si>
  <si>
    <t>Number of team members assigned</t>
  </si>
  <si>
    <t>Total budget allocated ($)</t>
  </si>
  <si>
    <t>Actual spend to date ($)</t>
  </si>
  <si>
    <t>Resource utilization percentage</t>
  </si>
  <si>
    <t>Priority: Critical, High, Medium, Low</t>
  </si>
  <si>
    <t>Projected revenue impact</t>
  </si>
  <si>
    <t>float64</t>
  </si>
  <si>
    <t>Realized revenue impact</t>
  </si>
  <si>
    <t>Heuristic or provided progress %</t>
  </si>
  <si>
    <t>Name of assigned team</t>
  </si>
  <si>
    <t>Target Completion Date - Start Date</t>
  </si>
  <si>
    <t>Actual Completion Date - Start Date</t>
  </si>
  <si>
    <t>Actual Duration - Planned Duration; negative = early</t>
  </si>
  <si>
    <t>Budget Allocated - Budget Spent; positive = under budget</t>
  </si>
  <si>
    <t>Budget Variance ($) / Budget Allocated * 100%</t>
  </si>
  <si>
    <t>1 if Actual Completion Date &lt;= Target Completion Date</t>
  </si>
  <si>
    <t>Actual Revenue Impact - Expected Revenue 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</si>
</sst>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\ hh:mm:ss"/>
    <numFmt numFmtId="165" formatCode="0.0%"/>
    <numFmt numFmtId="166" formatCode="\$#,##0"/>
    <numFmt numFmtId="167" formatCode="yyyy\-mm\-dd\ h:mm:ss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rgb="FF000000"/>
      <name val="Calibri"/>
    </font>
    <font>
      <b/>
      <sz val="13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8696B"/>
        <bgColor rgb="FFF8696B"/>
      </patternFill>
    </fill>
    <fill>
      <patternFill patternType="solid">
        <fgColor rgb="FFA9D08E"/>
        <bgColor rgb="FFA9D08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2" fillId="2" fontId="2" numFmtId="0" xfId="0" applyBorder="1" applyFill="1" applyFont="1"/>
    <xf borderId="0" fillId="0" fontId="2" numFmtId="164" xfId="0" applyFont="1" applyNumberFormat="1"/>
    <xf borderId="2" fillId="3" fontId="2" numFmtId="0" xfId="0" applyBorder="1" applyFill="1" applyFont="1"/>
    <xf borderId="2" fillId="4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2" numFmtId="1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0" xfId="0" applyAlignment="1" applyFont="1">
      <alignment horizontal="center"/>
    </xf>
    <xf borderId="2" fillId="5" fontId="2" numFmtId="0" xfId="0" applyBorder="1" applyFill="1" applyFont="1"/>
    <xf borderId="2" fillId="6" fontId="2" numFmtId="0" xfId="0" applyBorder="1" applyFill="1" applyFont="1"/>
    <xf borderId="0" fillId="0" fontId="2" numFmtId="166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solid">
          <fgColor rgb="FFA9D08E"/>
          <bgColor rgb="FFA9D08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8696B"/>
          <bgColor rgb="FFF8696B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9BC2E6"/>
          <bgColor rgb="FF9BC2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Milestones: Planned vs Actual End Datese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Planned End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Timeline!$AA$2:$AA$1048</c:f>
            </c:numRef>
          </c:xVal>
          <c:yVal>
            <c:numRef>
              <c:f>Timeline!$AC$2:$AC$1048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274514"/>
        <c:axId val="693638851"/>
      </c:scatterChart>
      <c:valAx>
        <c:axId val="12472745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 since earliest start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638851"/>
      </c:valAx>
      <c:valAx>
        <c:axId val="693638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Initiative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274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Planned Timeline (Gantt)</a:t>
            </a:r>
          </a:p>
        </c:rich>
      </c:tx>
      <c:overlay val="0"/>
    </c:title>
    <c:plotArea>
      <c:layout>
        <c:manualLayout>
          <c:xMode val="edge"/>
          <c:yMode val="edge"/>
          <c:x val="0.2877947295423023"/>
          <c:y val="0.04179566563467492"/>
          <c:w val="0.5672676837725381"/>
          <c:h val="0.8796205692530625"/>
        </c:manualLayout>
      </c:layout>
      <c:barChart>
        <c:barDir val="bar"/>
        <c:grouping val="stacked"/>
        <c:ser>
          <c:idx val="0"/>
          <c:order val="0"/>
          <c:tx>
            <c:v>Start Offset (visible)</c:v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Timeline!$A$2:$A$81</c:f>
            </c:strRef>
          </c:cat>
          <c:val>
            <c:numRef>
              <c:f>Timeline!$V$2:$V$81</c:f>
              <c:numCache/>
            </c:numRef>
          </c:val>
        </c:ser>
        <c:ser>
          <c:idx val="1"/>
          <c:order val="1"/>
          <c:tx>
            <c:v>Planned Duration (visible)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Timeline!$A$2:$A$81</c:f>
            </c:strRef>
          </c:cat>
          <c:val>
            <c:numRef>
              <c:f>Timeline!$W$2:$W$81</c:f>
              <c:numCache/>
            </c:numRef>
          </c:val>
        </c:ser>
        <c:overlap val="100"/>
        <c:axId val="1020803957"/>
        <c:axId val="579814068"/>
      </c:barChart>
      <c:catAx>
        <c:axId val="10208039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 since earliest start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579814068"/>
      </c:catAx>
      <c:valAx>
        <c:axId val="5798140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Initiative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080395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Actual Timeline (Gantt)</a:t>
            </a:r>
          </a:p>
        </c:rich>
      </c:tx>
      <c:overlay val="0"/>
    </c:title>
    <c:plotArea>
      <c:layout>
        <c:manualLayout>
          <c:xMode val="edge"/>
          <c:yMode val="edge"/>
          <c:x val="0.2729196050775741"/>
          <c:y val="0.03944444444444441"/>
          <c:w val="0.5384891915452124"/>
          <c:h val="0.8972554133080449"/>
        </c:manualLayout>
      </c:layout>
      <c:barChart>
        <c:barDir val="bar"/>
        <c:grouping val="stacked"/>
        <c:ser>
          <c:idx val="0"/>
          <c:order val="0"/>
          <c:tx>
            <c:v>Start Offset (visible)</c:v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Timeline!$A$2:$A$81</c:f>
            </c:strRef>
          </c:cat>
          <c:val>
            <c:numRef>
              <c:f>Timeline!$V$2:$V$81</c:f>
              <c:numCache/>
            </c:numRef>
          </c:val>
        </c:ser>
        <c:ser>
          <c:idx val="1"/>
          <c:order val="1"/>
          <c:tx>
            <c:v>Actual Duration (visible)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Timeline!$A$2:$A$81</c:f>
            </c:strRef>
          </c:cat>
          <c:val>
            <c:numRef>
              <c:f>Timeline!$X$2:$X$81</c:f>
              <c:numCache/>
            </c:numRef>
          </c:val>
        </c:ser>
        <c:overlap val="100"/>
        <c:axId val="165021682"/>
        <c:axId val="1990532411"/>
      </c:barChart>
      <c:catAx>
        <c:axId val="1650216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 since earliest start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990532411"/>
      </c:catAx>
      <c:valAx>
        <c:axId val="19905324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Initiative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502168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Budget Allocation by Product Line (Spent + Variance = Allocated)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Spent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Budget!$A$85:$A$89</c:f>
            </c:strRef>
          </c:cat>
          <c:val>
            <c:numRef>
              <c:f>Budget!$C$85:$C$96</c:f>
              <c:numCache/>
            </c:numRef>
          </c:val>
        </c:ser>
        <c:overlap val="100"/>
        <c:axId val="330371583"/>
        <c:axId val="109460364"/>
      </c:barChart>
      <c:catAx>
        <c:axId val="330371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Product 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460364"/>
      </c:catAx>
      <c:valAx>
        <c:axId val="109460364"/>
        <c:scaling>
          <c:orientation val="minMax"/>
          <c:max val="8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037158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Team Resource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Team!$C$1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Team!$A$2:$A$6</c:f>
            </c:strRef>
          </c:cat>
          <c:val>
            <c:numRef>
              <c:f>Team!$C$2:$C$6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Budget vs Schedule (On-time vs Late)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On-time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Delivery!$P$2:$P$81</c:f>
            </c:numRef>
          </c:xVal>
          <c:yVal>
            <c:numRef>
              <c:f>Delivery!$Q$2:$Q$81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580952"/>
        <c:axId val="1404415090"/>
      </c:scatterChart>
      <c:valAx>
        <c:axId val="4395809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Schedule Variance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415090"/>
      </c:valAx>
      <c:valAx>
        <c:axId val="1404415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Budget Variance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580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Expected vs Actual Revenue Impact by Initiative</a:t>
            </a:r>
          </a:p>
        </c:rich>
      </c:tx>
      <c:overlay val="0"/>
    </c:title>
    <c:plotArea>
      <c:layout>
        <c:manualLayout>
          <c:xMode val="edge"/>
          <c:yMode val="edge"/>
          <c:x val="0.05605310815363873"/>
          <c:y val="0.1114718614718615"/>
          <c:w val="0.9439468918463613"/>
          <c:h val="0.6332661153950216"/>
        </c:manualLayout>
      </c:layout>
      <c:barChart>
        <c:barDir val="col"/>
        <c:ser>
          <c:idx val="0"/>
          <c:order val="0"/>
          <c:tx>
            <c:v>Expected (visible)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Revenue!$B$2:$B$163</c:f>
            </c:strRef>
          </c:cat>
          <c:val>
            <c:numRef>
              <c:f>Revenue!$I$2:$I$163</c:f>
              <c:numCache/>
            </c:numRef>
          </c:val>
        </c:ser>
        <c:ser>
          <c:idx val="1"/>
          <c:order val="1"/>
          <c:tx>
            <c:v>Actual (visible)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Revenue!$B$2:$B$163</c:f>
            </c:strRef>
          </c:cat>
          <c:val>
            <c:numRef>
              <c:f>Revenue!$J$2:$J$163</c:f>
              <c:numCache/>
            </c:numRef>
          </c:val>
        </c:ser>
        <c:axId val="1521069275"/>
        <c:axId val="807848835"/>
      </c:barChart>
      <c:catAx>
        <c:axId val="1521069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Initiative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7848835"/>
      </c:catAx>
      <c:valAx>
        <c:axId val="807848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106927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Status Waterfall by Product Line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Planning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'Status Waterfall'!$A$2:$A$6</c:f>
            </c:strRef>
          </c:cat>
          <c:val>
            <c:numRef>
              <c:f>'Status Waterfall'!$B$2:$B$6</c:f>
              <c:numCache/>
            </c:numRef>
          </c:val>
        </c:ser>
        <c:ser>
          <c:idx val="1"/>
          <c:order val="1"/>
          <c:tx>
            <c:v>In Development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'Status Waterfall'!$A$2:$A$6</c:f>
            </c:strRef>
          </c:cat>
          <c:val>
            <c:numRef>
              <c:f>'Status Waterfall'!$C$2:$C$6</c:f>
              <c:numCache/>
            </c:numRef>
          </c:val>
        </c:ser>
        <c:ser>
          <c:idx val="2"/>
          <c:order val="2"/>
          <c:tx>
            <c:v>Testing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'Status Waterfall'!$A$2:$A$6</c:f>
            </c:strRef>
          </c:cat>
          <c:val>
            <c:numRef>
              <c:f>'Status Waterfall'!$D$2:$D$6</c:f>
              <c:numCache/>
            </c:numRef>
          </c:val>
        </c:ser>
        <c:ser>
          <c:idx val="3"/>
          <c:order val="3"/>
          <c:tx>
            <c:v>Launched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'Status Waterfall'!$A$2:$A$6</c:f>
            </c:strRef>
          </c:cat>
          <c:val>
            <c:numRef>
              <c:f>'Status Waterfall'!$E$2:$E$6</c:f>
              <c:numCache/>
            </c:numRef>
          </c:val>
        </c:ser>
        <c:overlap val="100"/>
        <c:axId val="1244852603"/>
        <c:axId val="290889042"/>
      </c:barChart>
      <c:catAx>
        <c:axId val="12448526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Initiatives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889042"/>
      </c:catAx>
      <c:valAx>
        <c:axId val="2908890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Product 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8526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133</xdr:row>
      <xdr:rowOff>76200</xdr:rowOff>
    </xdr:from>
    <xdr:ext cx="12944475" cy="3448050"/>
    <xdr:graphicFrame>
      <xdr:nvGraphicFramePr>
        <xdr:cNvPr id="6691510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84</xdr:row>
      <xdr:rowOff>171450</xdr:rowOff>
    </xdr:from>
    <xdr:ext cx="7620000" cy="9229725"/>
    <xdr:graphicFrame>
      <xdr:nvGraphicFramePr>
        <xdr:cNvPr id="39554223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828675</xdr:colOff>
      <xdr:row>84</xdr:row>
      <xdr:rowOff>161925</xdr:rowOff>
    </xdr:from>
    <xdr:ext cx="6753225" cy="9258300"/>
    <xdr:graphicFrame>
      <xdr:nvGraphicFramePr>
        <xdr:cNvPr id="17263192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90</xdr:row>
      <xdr:rowOff>0</xdr:rowOff>
    </xdr:from>
    <xdr:ext cx="7229475" cy="3609975"/>
    <xdr:graphicFrame>
      <xdr:nvGraphicFramePr>
        <xdr:cNvPr id="142874879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391150" cy="2695575"/>
    <xdr:graphicFrame>
      <xdr:nvGraphicFramePr>
        <xdr:cNvPr id="152144664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101</xdr:row>
      <xdr:rowOff>180975</xdr:rowOff>
    </xdr:from>
    <xdr:ext cx="5419725" cy="2695575"/>
    <xdr:graphicFrame>
      <xdr:nvGraphicFramePr>
        <xdr:cNvPr id="51521988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163</xdr:row>
      <xdr:rowOff>0</xdr:rowOff>
    </xdr:from>
    <xdr:ext cx="21202650" cy="8801100"/>
    <xdr:graphicFrame>
      <xdr:nvGraphicFramePr>
        <xdr:cNvPr id="127190420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391150" cy="2695575"/>
    <xdr:graphicFrame>
      <xdr:nvGraphicFramePr>
        <xdr:cNvPr id="116493852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ashboard_v1%20(1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livery"/>
      <sheetName val="Executive Summary"/>
      <sheetName val="Timeline"/>
      <sheetName val="Budget"/>
      <sheetName val="Team"/>
      <sheetName val="Data"/>
      <sheetName val="Data Dictiona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2"/>
    </row>
    <row r="6">
      <c r="A6" s="3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3" t="s">
        <v>10</v>
      </c>
    </row>
    <row r="14">
      <c r="A14" s="2" t="s">
        <v>11</v>
      </c>
    </row>
    <row r="15">
      <c r="A15" s="2" t="s">
        <v>12</v>
      </c>
    </row>
    <row r="16">
      <c r="A16" s="2"/>
    </row>
    <row r="17">
      <c r="A17" s="3" t="s">
        <v>13</v>
      </c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1" ht="15.75" customHeight="1">
      <c r="A21" s="2" t="s">
        <v>17</v>
      </c>
    </row>
    <row r="22" ht="15.75" customHeight="1">
      <c r="A22" s="2"/>
    </row>
    <row r="23" ht="15.75" customHeight="1">
      <c r="A23" s="3" t="s">
        <v>18</v>
      </c>
    </row>
    <row r="24" ht="15.75" customHeight="1">
      <c r="A24" s="2" t="s">
        <v>19</v>
      </c>
    </row>
    <row r="25" ht="15.75" customHeight="1">
      <c r="A25" s="2" t="s">
        <v>20</v>
      </c>
    </row>
    <row r="26" ht="15.75" customHeight="1">
      <c r="A26" s="2" t="s">
        <v>21</v>
      </c>
    </row>
    <row r="27" ht="15.75" customHeight="1">
      <c r="A27" s="2" t="s">
        <v>22</v>
      </c>
    </row>
    <row r="28" ht="15.75" customHeight="1">
      <c r="A28" s="2" t="s">
        <v>23</v>
      </c>
    </row>
    <row r="29" ht="15.75" customHeight="1">
      <c r="A29" s="2"/>
    </row>
    <row r="30" ht="15.75" customHeight="1">
      <c r="A30" s="3" t="s">
        <v>24</v>
      </c>
    </row>
    <row r="31" ht="15.75" customHeight="1">
      <c r="A31" s="2" t="s">
        <v>25</v>
      </c>
    </row>
    <row r="32" ht="15.75" customHeight="1">
      <c r="A32" s="2" t="s">
        <v>26</v>
      </c>
    </row>
    <row r="33" ht="15.75" customHeight="1">
      <c r="A33" s="2" t="s">
        <v>27</v>
      </c>
    </row>
    <row r="34" ht="15.75" customHeight="1">
      <c r="A34" s="2" t="s">
        <v>28</v>
      </c>
    </row>
    <row r="35" ht="15.75" customHeight="1">
      <c r="A35" s="2"/>
    </row>
    <row r="36" ht="15.75" customHeight="1">
      <c r="A36" s="3" t="s">
        <v>29</v>
      </c>
    </row>
    <row r="37" ht="15.75" customHeight="1">
      <c r="A37" s="2" t="s">
        <v>30</v>
      </c>
    </row>
    <row r="38" ht="15.75" customHeight="1">
      <c r="A38" s="2" t="s">
        <v>31</v>
      </c>
    </row>
    <row r="39" ht="15.75" customHeight="1">
      <c r="A39" s="2" t="s">
        <v>32</v>
      </c>
    </row>
    <row r="40" ht="15.75" customHeight="1">
      <c r="A40" s="2" t="s">
        <v>33</v>
      </c>
    </row>
    <row r="41" ht="15.75" customHeight="1">
      <c r="A41" s="2"/>
    </row>
    <row r="42" ht="15.75" customHeight="1">
      <c r="A42" s="3" t="s">
        <v>34</v>
      </c>
    </row>
    <row r="43" ht="15.75" customHeight="1">
      <c r="A43" s="2" t="s">
        <v>35</v>
      </c>
    </row>
    <row r="44" ht="15.75" customHeight="1">
      <c r="A44" s="2" t="s">
        <v>36</v>
      </c>
    </row>
    <row r="45" ht="15.75" customHeight="1">
      <c r="A45" s="2" t="s">
        <v>37</v>
      </c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32.29"/>
    <col customWidth="1" min="3" max="3" width="19.14"/>
    <col customWidth="1" min="4" max="4" width="15.71"/>
    <col customWidth="1" min="5" max="5" width="21.29"/>
    <col customWidth="1" min="6" max="6" width="24.71"/>
    <col customWidth="1" min="7" max="7" width="22.43"/>
    <col customWidth="1" min="8" max="8" width="20.14"/>
    <col customWidth="1" min="9" max="9" width="17.29"/>
    <col customWidth="1" min="10" max="10" width="16.0"/>
    <col customWidth="1" min="11" max="11" width="23.0"/>
    <col customWidth="1" min="12" max="12" width="17.43"/>
    <col customWidth="1" min="13" max="13" width="28.86"/>
    <col customWidth="1" min="14" max="14" width="24.43"/>
    <col customWidth="1" min="15" max="15" width="20.29"/>
    <col customWidth="1" min="16" max="16" width="16.57"/>
    <col customWidth="1" min="17" max="17" width="26.71"/>
    <col customWidth="1" min="18" max="18" width="24.71"/>
    <col customWidth="1" min="19" max="19" width="25.14"/>
    <col customWidth="1" min="20" max="20" width="21.14"/>
    <col customWidth="1" min="21" max="21" width="22.57"/>
    <col customWidth="1" min="22" max="22" width="22.71"/>
    <col customWidth="1" min="23" max="23" width="17.43"/>
    <col customWidth="1" min="24" max="24" width="8.71"/>
  </cols>
  <sheetData>
    <row r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4" t="s">
        <v>61</v>
      </c>
      <c r="Y1" s="4"/>
      <c r="Z1" s="4"/>
      <c r="AA1" s="4" t="s">
        <v>62</v>
      </c>
      <c r="AB1" s="4" t="s">
        <v>63</v>
      </c>
    </row>
    <row r="2">
      <c r="A2" s="4" t="s">
        <v>64</v>
      </c>
      <c r="B2" s="4" t="s">
        <v>65</v>
      </c>
      <c r="C2" s="4" t="s">
        <v>66</v>
      </c>
      <c r="D2" s="6" t="s">
        <v>67</v>
      </c>
      <c r="E2" s="7">
        <v>44971.0</v>
      </c>
      <c r="F2" s="7">
        <v>45100.0</v>
      </c>
      <c r="G2" s="4"/>
      <c r="H2" s="4">
        <v>8.0</v>
      </c>
      <c r="I2" s="4">
        <v>1000000.0</v>
      </c>
      <c r="J2" s="4">
        <v>617883.0</v>
      </c>
      <c r="K2" s="4">
        <v>77.0</v>
      </c>
      <c r="L2" s="4" t="s">
        <v>68</v>
      </c>
      <c r="M2" s="4">
        <v>5000000.0</v>
      </c>
      <c r="N2" s="4"/>
      <c r="O2" s="4">
        <v>80.0</v>
      </c>
      <c r="P2" s="4" t="s">
        <v>69</v>
      </c>
      <c r="Q2" s="4">
        <v>129.0</v>
      </c>
      <c r="R2" s="4"/>
      <c r="S2" s="4"/>
      <c r="T2" s="4">
        <v>382117.0</v>
      </c>
      <c r="U2" s="4">
        <v>38.2117</v>
      </c>
      <c r="V2" s="4">
        <v>0.0</v>
      </c>
      <c r="W2" s="4"/>
      <c r="X2" s="4">
        <v>1.0</v>
      </c>
      <c r="Y2" s="4"/>
      <c r="Z2" s="4"/>
      <c r="AA2" s="4" t="b">
        <f>AND(OR('Global Filters'!$B$2="",EXACT(TRIM(C2),TRIM('Global Filters'!$B$2))),OR('Global Filters'!$B$3="",EXACT(TRIM(D2),TRIM('Global Filters'!$B$3))),OR('Global Filters'!$B$4="",EXACT(TRIM(L2),TRIM('Global Filters'!$B$4))),OR('Global Filters'!$B$5="",EXACT(TRIM(P2),TRIM('Global Filters'!$B$5))),OR('Global Filters'!$B$6="",E2&gt;= 'Global Filters'!$B$6),OR('Global Filters'!$B$7="",F2&lt;= 'Global Filters'!$B$7))</f>
        <v>1</v>
      </c>
      <c r="AB2" s="4">
        <f t="shared" ref="AB2:AB81" si="1">IF(AND(AA2,X2=1),1,0)</f>
        <v>1</v>
      </c>
    </row>
    <row r="3">
      <c r="A3" s="4" t="s">
        <v>70</v>
      </c>
      <c r="B3" s="4" t="s">
        <v>71</v>
      </c>
      <c r="C3" s="4" t="s">
        <v>72</v>
      </c>
      <c r="D3" s="8" t="s">
        <v>73</v>
      </c>
      <c r="E3" s="7">
        <v>45139.0</v>
      </c>
      <c r="F3" s="7">
        <v>45207.0</v>
      </c>
      <c r="G3" s="4"/>
      <c r="H3" s="4">
        <v>12.0</v>
      </c>
      <c r="I3" s="4">
        <v>100000.0</v>
      </c>
      <c r="J3" s="4">
        <v>75327.0</v>
      </c>
      <c r="K3" s="4">
        <v>66.0</v>
      </c>
      <c r="L3" s="4" t="s">
        <v>74</v>
      </c>
      <c r="M3" s="4">
        <v>100000.0</v>
      </c>
      <c r="N3" s="4"/>
      <c r="O3" s="4">
        <v>25.0</v>
      </c>
      <c r="P3" s="4" t="s">
        <v>69</v>
      </c>
      <c r="Q3" s="4">
        <v>68.0</v>
      </c>
      <c r="R3" s="4"/>
      <c r="S3" s="4"/>
      <c r="T3" s="4">
        <v>24673.0</v>
      </c>
      <c r="U3" s="4">
        <v>24.673</v>
      </c>
      <c r="V3" s="4">
        <v>0.0</v>
      </c>
      <c r="W3" s="4"/>
      <c r="X3" s="4">
        <v>1.0</v>
      </c>
      <c r="Y3" s="4"/>
      <c r="Z3" s="4"/>
      <c r="AA3" s="4" t="b">
        <f>AND(OR('Global Filters'!$B$2="",EXACT(TRIM(C3),TRIM('Global Filters'!$B$2))),OR('Global Filters'!$B$3="",EXACT(TRIM(D3),TRIM('Global Filters'!$B$3))),OR('Global Filters'!$B$4="",EXACT(TRIM(L3),TRIM('Global Filters'!$B$4))),OR('Global Filters'!$B$5="",EXACT(TRIM(P3),TRIM('Global Filters'!$B$5))),OR('Global Filters'!$B$6="",E3&gt;= 'Global Filters'!$B$6),OR('Global Filters'!$B$7="",F3&lt;= 'Global Filters'!$B$7))</f>
        <v>1</v>
      </c>
      <c r="AB3" s="4">
        <f t="shared" si="1"/>
        <v>1</v>
      </c>
    </row>
    <row r="4">
      <c r="A4" s="4" t="s">
        <v>75</v>
      </c>
      <c r="B4" s="4" t="s">
        <v>76</v>
      </c>
      <c r="C4" s="4" t="s">
        <v>66</v>
      </c>
      <c r="D4" s="6" t="s">
        <v>77</v>
      </c>
      <c r="E4" s="7">
        <v>45103.0</v>
      </c>
      <c r="F4" s="7">
        <v>45238.0</v>
      </c>
      <c r="G4" s="4"/>
      <c r="H4" s="4">
        <v>10.0</v>
      </c>
      <c r="I4" s="4">
        <v>250000.0</v>
      </c>
      <c r="J4" s="4">
        <v>151608.0</v>
      </c>
      <c r="K4" s="4">
        <v>96.0</v>
      </c>
      <c r="L4" s="4" t="s">
        <v>68</v>
      </c>
      <c r="M4" s="4">
        <v>5000000.0</v>
      </c>
      <c r="N4" s="4"/>
      <c r="O4" s="4">
        <v>10.0</v>
      </c>
      <c r="P4" s="4" t="s">
        <v>78</v>
      </c>
      <c r="Q4" s="4">
        <v>135.0</v>
      </c>
      <c r="R4" s="4"/>
      <c r="S4" s="4"/>
      <c r="T4" s="4">
        <v>98392.0</v>
      </c>
      <c r="U4" s="4">
        <v>39.3568</v>
      </c>
      <c r="V4" s="4">
        <v>0.0</v>
      </c>
      <c r="W4" s="4"/>
      <c r="X4" s="4">
        <v>1.0</v>
      </c>
      <c r="Y4" s="4"/>
      <c r="Z4" s="4"/>
      <c r="AA4" s="4" t="b">
        <f>AND(OR('Global Filters'!$B$2="",EXACT(TRIM(C4),TRIM('Global Filters'!$B$2))),OR('Global Filters'!$B$3="",EXACT(TRIM(D4),TRIM('Global Filters'!$B$3))),OR('Global Filters'!$B$4="",EXACT(TRIM(L4),TRIM('Global Filters'!$B$4))),OR('Global Filters'!$B$5="",EXACT(TRIM(P4),TRIM('Global Filters'!$B$5))),OR('Global Filters'!$B$6="",E4&gt;= 'Global Filters'!$B$6),OR('Global Filters'!$B$7="",F4&lt;= 'Global Filters'!$B$7))</f>
        <v>1</v>
      </c>
      <c r="AB4" s="4">
        <f t="shared" si="1"/>
        <v>1</v>
      </c>
    </row>
    <row r="5">
      <c r="A5" s="4" t="s">
        <v>79</v>
      </c>
      <c r="B5" s="4" t="s">
        <v>80</v>
      </c>
      <c r="C5" s="4" t="s">
        <v>72</v>
      </c>
      <c r="D5" s="6" t="s">
        <v>81</v>
      </c>
      <c r="E5" s="7">
        <v>45000.0</v>
      </c>
      <c r="F5" s="7">
        <v>45132.0</v>
      </c>
      <c r="G5" s="4"/>
      <c r="H5" s="4">
        <v>8.0</v>
      </c>
      <c r="I5" s="4">
        <v>50000.0</v>
      </c>
      <c r="J5" s="4">
        <v>30831.0</v>
      </c>
      <c r="K5" s="4">
        <v>75.0</v>
      </c>
      <c r="L5" s="4" t="s">
        <v>68</v>
      </c>
      <c r="M5" s="4">
        <v>100000.0</v>
      </c>
      <c r="N5" s="4"/>
      <c r="O5" s="4">
        <v>50.0</v>
      </c>
      <c r="P5" s="4" t="s">
        <v>82</v>
      </c>
      <c r="Q5" s="4">
        <v>132.0</v>
      </c>
      <c r="R5" s="4"/>
      <c r="S5" s="4"/>
      <c r="T5" s="4">
        <v>19169.0</v>
      </c>
      <c r="U5" s="4">
        <v>38.338</v>
      </c>
      <c r="V5" s="4">
        <v>0.0</v>
      </c>
      <c r="W5" s="4"/>
      <c r="X5" s="4">
        <v>1.0</v>
      </c>
      <c r="Y5" s="4"/>
      <c r="Z5" s="4"/>
      <c r="AA5" s="4" t="b">
        <f>AND(OR('Global Filters'!$B$2="",EXACT(TRIM(C5),TRIM('Global Filters'!$B$2))),OR('Global Filters'!$B$3="",EXACT(TRIM(D5),TRIM('Global Filters'!$B$3))),OR('Global Filters'!$B$4="",EXACT(TRIM(L5),TRIM('Global Filters'!$B$4))),OR('Global Filters'!$B$5="",EXACT(TRIM(P5),TRIM('Global Filters'!$B$5))),OR('Global Filters'!$B$6="",E5&gt;= 'Global Filters'!$B$6),OR('Global Filters'!$B$7="",F5&lt;= 'Global Filters'!$B$7))</f>
        <v>1</v>
      </c>
      <c r="AB5" s="4">
        <f t="shared" si="1"/>
        <v>1</v>
      </c>
    </row>
    <row r="6">
      <c r="A6" s="4" t="s">
        <v>83</v>
      </c>
      <c r="B6" s="4" t="s">
        <v>84</v>
      </c>
      <c r="C6" s="4" t="s">
        <v>85</v>
      </c>
      <c r="D6" s="6" t="s">
        <v>67</v>
      </c>
      <c r="E6" s="7">
        <v>45099.0</v>
      </c>
      <c r="F6" s="7">
        <v>45206.0</v>
      </c>
      <c r="G6" s="4"/>
      <c r="H6" s="4">
        <v>10.0</v>
      </c>
      <c r="I6" s="4">
        <v>250000.0</v>
      </c>
      <c r="J6" s="4">
        <v>131069.0</v>
      </c>
      <c r="K6" s="4">
        <v>66.0</v>
      </c>
      <c r="L6" s="4" t="s">
        <v>68</v>
      </c>
      <c r="M6" s="4">
        <v>500000.0</v>
      </c>
      <c r="N6" s="4"/>
      <c r="O6" s="4">
        <v>80.0</v>
      </c>
      <c r="P6" s="4" t="s">
        <v>69</v>
      </c>
      <c r="Q6" s="4">
        <v>107.0</v>
      </c>
      <c r="R6" s="4"/>
      <c r="S6" s="4"/>
      <c r="T6" s="4">
        <v>118931.0</v>
      </c>
      <c r="U6" s="4">
        <v>47.57239999999999</v>
      </c>
      <c r="V6" s="4">
        <v>0.0</v>
      </c>
      <c r="W6" s="4"/>
      <c r="X6" s="4">
        <v>1.0</v>
      </c>
      <c r="Y6" s="4"/>
      <c r="Z6" s="4"/>
      <c r="AA6" s="4" t="b">
        <f>AND(OR('Global Filters'!$B$2="",EXACT(TRIM(C6),TRIM('Global Filters'!$B$2))),OR('Global Filters'!$B$3="",EXACT(TRIM(D6),TRIM('Global Filters'!$B$3))),OR('Global Filters'!$B$4="",EXACT(TRIM(L6),TRIM('Global Filters'!$B$4))),OR('Global Filters'!$B$5="",EXACT(TRIM(P6),TRIM('Global Filters'!$B$5))),OR('Global Filters'!$B$6="",E6&gt;= 'Global Filters'!$B$6),OR('Global Filters'!$B$7="",F6&lt;= 'Global Filters'!$B$7))</f>
        <v>1</v>
      </c>
      <c r="AB6" s="4">
        <f t="shared" si="1"/>
        <v>1</v>
      </c>
    </row>
    <row r="7">
      <c r="A7" s="4" t="s">
        <v>86</v>
      </c>
      <c r="B7" s="4" t="s">
        <v>87</v>
      </c>
      <c r="C7" s="4" t="s">
        <v>88</v>
      </c>
      <c r="D7" s="6" t="s">
        <v>67</v>
      </c>
      <c r="E7" s="7">
        <v>45064.0</v>
      </c>
      <c r="F7" s="7">
        <v>45200.0</v>
      </c>
      <c r="G7" s="4"/>
      <c r="H7" s="4">
        <v>6.0</v>
      </c>
      <c r="I7" s="4">
        <v>1000000.0</v>
      </c>
      <c r="J7" s="4">
        <v>816443.0</v>
      </c>
      <c r="K7" s="4">
        <v>88.0</v>
      </c>
      <c r="L7" s="4" t="s">
        <v>74</v>
      </c>
      <c r="M7" s="4">
        <v>500000.0</v>
      </c>
      <c r="N7" s="4"/>
      <c r="O7" s="4">
        <v>80.0</v>
      </c>
      <c r="P7" s="4" t="s">
        <v>89</v>
      </c>
      <c r="Q7" s="4">
        <v>136.0</v>
      </c>
      <c r="R7" s="4"/>
      <c r="S7" s="4"/>
      <c r="T7" s="4">
        <v>183557.0</v>
      </c>
      <c r="U7" s="4">
        <v>18.3557</v>
      </c>
      <c r="V7" s="4">
        <v>0.0</v>
      </c>
      <c r="W7" s="4"/>
      <c r="X7" s="4">
        <v>1.0</v>
      </c>
      <c r="Y7" s="4"/>
      <c r="Z7" s="4"/>
      <c r="AA7" s="4" t="b">
        <f>AND(OR('Global Filters'!$B$2="",EXACT(TRIM(C7),TRIM('Global Filters'!$B$2))),OR('Global Filters'!$B$3="",EXACT(TRIM(D7),TRIM('Global Filters'!$B$3))),OR('Global Filters'!$B$4="",EXACT(TRIM(L7),TRIM('Global Filters'!$B$4))),OR('Global Filters'!$B$5="",EXACT(TRIM(P7),TRIM('Global Filters'!$B$5))),OR('Global Filters'!$B$6="",E7&gt;= 'Global Filters'!$B$6),OR('Global Filters'!$B$7="",F7&lt;= 'Global Filters'!$B$7))</f>
        <v>1</v>
      </c>
      <c r="AB7" s="4">
        <f t="shared" si="1"/>
        <v>1</v>
      </c>
    </row>
    <row r="8">
      <c r="A8" s="4" t="s">
        <v>90</v>
      </c>
      <c r="B8" s="4" t="s">
        <v>91</v>
      </c>
      <c r="C8" s="4" t="s">
        <v>85</v>
      </c>
      <c r="D8" s="9" t="s">
        <v>92</v>
      </c>
      <c r="E8" s="7">
        <v>45190.0</v>
      </c>
      <c r="F8" s="7">
        <v>45260.0</v>
      </c>
      <c r="G8" s="7">
        <v>45263.0</v>
      </c>
      <c r="H8" s="4">
        <v>11.0</v>
      </c>
      <c r="I8" s="4">
        <v>500000.0</v>
      </c>
      <c r="J8" s="4">
        <v>204259.0</v>
      </c>
      <c r="K8" s="4">
        <v>96.0</v>
      </c>
      <c r="L8" s="4" t="s">
        <v>68</v>
      </c>
      <c r="M8" s="4">
        <v>100000.0</v>
      </c>
      <c r="N8" s="4">
        <v>62161.0</v>
      </c>
      <c r="O8" s="4">
        <v>100.0</v>
      </c>
      <c r="P8" s="4" t="s">
        <v>69</v>
      </c>
      <c r="Q8" s="4">
        <v>70.0</v>
      </c>
      <c r="R8" s="4">
        <v>73.0</v>
      </c>
      <c r="S8" s="4">
        <v>3.0</v>
      </c>
      <c r="T8" s="4">
        <v>295741.0</v>
      </c>
      <c r="U8" s="4">
        <v>59.1482</v>
      </c>
      <c r="V8" s="4">
        <v>0.0</v>
      </c>
      <c r="W8" s="4">
        <v>-37839.0</v>
      </c>
      <c r="X8" s="4">
        <v>1.0</v>
      </c>
      <c r="Y8" s="4"/>
      <c r="Z8" s="4"/>
      <c r="AA8" s="4" t="b">
        <f>AND(OR('Global Filters'!$B$2="",EXACT(TRIM(C8),TRIM('Global Filters'!$B$2))),OR('Global Filters'!$B$3="",EXACT(TRIM(D8),TRIM('Global Filters'!$B$3))),OR('Global Filters'!$B$4="",EXACT(TRIM(L8),TRIM('Global Filters'!$B$4))),OR('Global Filters'!$B$5="",EXACT(TRIM(P8),TRIM('Global Filters'!$B$5))),OR('Global Filters'!$B$6="",E8&gt;= 'Global Filters'!$B$6),OR('Global Filters'!$B$7="",F8&lt;= 'Global Filters'!$B$7))</f>
        <v>1</v>
      </c>
      <c r="AB8" s="4">
        <f t="shared" si="1"/>
        <v>1</v>
      </c>
    </row>
    <row r="9">
      <c r="A9" s="4" t="s">
        <v>93</v>
      </c>
      <c r="B9" s="4" t="s">
        <v>94</v>
      </c>
      <c r="C9" s="4" t="s">
        <v>88</v>
      </c>
      <c r="D9" s="6" t="s">
        <v>77</v>
      </c>
      <c r="E9" s="7">
        <v>45160.0</v>
      </c>
      <c r="F9" s="7">
        <v>45202.0</v>
      </c>
      <c r="G9" s="4"/>
      <c r="H9" s="4">
        <v>7.0</v>
      </c>
      <c r="I9" s="4">
        <v>250000.0</v>
      </c>
      <c r="J9" s="4">
        <v>215926.0</v>
      </c>
      <c r="K9" s="4">
        <v>83.0</v>
      </c>
      <c r="L9" s="4" t="s">
        <v>95</v>
      </c>
      <c r="M9" s="4">
        <v>5000000.0</v>
      </c>
      <c r="N9" s="4"/>
      <c r="O9" s="4">
        <v>10.0</v>
      </c>
      <c r="P9" s="4" t="s">
        <v>69</v>
      </c>
      <c r="Q9" s="4">
        <v>42.0</v>
      </c>
      <c r="R9" s="4"/>
      <c r="S9" s="4"/>
      <c r="T9" s="4">
        <v>34074.0</v>
      </c>
      <c r="U9" s="4">
        <v>13.6296</v>
      </c>
      <c r="V9" s="4">
        <v>0.0</v>
      </c>
      <c r="W9" s="4"/>
      <c r="X9" s="4">
        <v>1.0</v>
      </c>
      <c r="Y9" s="4"/>
      <c r="Z9" s="4"/>
      <c r="AA9" s="4" t="b">
        <f>AND(OR('Global Filters'!$B$2="",EXACT(TRIM(C9),TRIM('Global Filters'!$B$2))),OR('Global Filters'!$B$3="",EXACT(TRIM(D9),TRIM('Global Filters'!$B$3))),OR('Global Filters'!$B$4="",EXACT(TRIM(L9),TRIM('Global Filters'!$B$4))),OR('Global Filters'!$B$5="",EXACT(TRIM(P9),TRIM('Global Filters'!$B$5))),OR('Global Filters'!$B$6="",E9&gt;= 'Global Filters'!$B$6),OR('Global Filters'!$B$7="",F9&lt;= 'Global Filters'!$B$7))</f>
        <v>1</v>
      </c>
      <c r="AB9" s="4">
        <f t="shared" si="1"/>
        <v>1</v>
      </c>
    </row>
    <row r="10">
      <c r="A10" s="4" t="s">
        <v>96</v>
      </c>
      <c r="B10" s="4" t="s">
        <v>97</v>
      </c>
      <c r="C10" s="4" t="s">
        <v>66</v>
      </c>
      <c r="D10" s="9" t="s">
        <v>92</v>
      </c>
      <c r="E10" s="7">
        <v>45050.0</v>
      </c>
      <c r="F10" s="7">
        <v>45175.0</v>
      </c>
      <c r="G10" s="7">
        <v>45177.0</v>
      </c>
      <c r="H10" s="4">
        <v>10.0</v>
      </c>
      <c r="I10" s="4">
        <v>100000.0</v>
      </c>
      <c r="J10" s="4">
        <v>106841.0</v>
      </c>
      <c r="K10" s="4">
        <v>97.0</v>
      </c>
      <c r="L10" s="4" t="s">
        <v>98</v>
      </c>
      <c r="M10" s="4">
        <v>1000000.0</v>
      </c>
      <c r="N10" s="4">
        <v>740974.0</v>
      </c>
      <c r="O10" s="4">
        <v>100.0</v>
      </c>
      <c r="P10" s="4" t="s">
        <v>69</v>
      </c>
      <c r="Q10" s="4">
        <v>125.0</v>
      </c>
      <c r="R10" s="4">
        <v>127.0</v>
      </c>
      <c r="S10" s="4">
        <v>2.0</v>
      </c>
      <c r="T10" s="4">
        <v>-6841.0</v>
      </c>
      <c r="U10" s="4">
        <v>-6.841</v>
      </c>
      <c r="V10" s="4">
        <v>0.0</v>
      </c>
      <c r="W10" s="4">
        <v>-259026.0</v>
      </c>
      <c r="X10" s="4">
        <v>1.0</v>
      </c>
      <c r="Y10" s="4"/>
      <c r="Z10" s="4"/>
      <c r="AA10" s="4" t="b">
        <f>AND(OR('Global Filters'!$B$2="",EXACT(TRIM(C10),TRIM('Global Filters'!$B$2))),OR('Global Filters'!$B$3="",EXACT(TRIM(D10),TRIM('Global Filters'!$B$3))),OR('Global Filters'!$B$4="",EXACT(TRIM(L10),TRIM('Global Filters'!$B$4))),OR('Global Filters'!$B$5="",EXACT(TRIM(P10),TRIM('Global Filters'!$B$5))),OR('Global Filters'!$B$6="",E10&gt;= 'Global Filters'!$B$6),OR('Global Filters'!$B$7="",F10&lt;= 'Global Filters'!$B$7))</f>
        <v>1</v>
      </c>
      <c r="AB10" s="4">
        <f t="shared" si="1"/>
        <v>1</v>
      </c>
    </row>
    <row r="11">
      <c r="A11" s="4" t="s">
        <v>99</v>
      </c>
      <c r="B11" s="4" t="s">
        <v>100</v>
      </c>
      <c r="C11" s="4" t="s">
        <v>101</v>
      </c>
      <c r="D11" s="6" t="s">
        <v>77</v>
      </c>
      <c r="E11" s="7">
        <v>45124.0</v>
      </c>
      <c r="F11" s="7">
        <v>45166.0</v>
      </c>
      <c r="G11" s="4"/>
      <c r="H11" s="4">
        <v>15.0</v>
      </c>
      <c r="I11" s="4">
        <v>100000.0</v>
      </c>
      <c r="J11" s="4">
        <v>98305.0</v>
      </c>
      <c r="K11" s="4">
        <v>73.0</v>
      </c>
      <c r="L11" s="4" t="s">
        <v>68</v>
      </c>
      <c r="M11" s="4">
        <v>500000.0</v>
      </c>
      <c r="N11" s="4"/>
      <c r="O11" s="4">
        <v>10.0</v>
      </c>
      <c r="P11" s="4" t="s">
        <v>69</v>
      </c>
      <c r="Q11" s="4">
        <v>42.0</v>
      </c>
      <c r="R11" s="4"/>
      <c r="S11" s="4"/>
      <c r="T11" s="4">
        <v>1695.0</v>
      </c>
      <c r="U11" s="4">
        <v>1.695</v>
      </c>
      <c r="V11" s="4">
        <v>0.0</v>
      </c>
      <c r="W11" s="4"/>
      <c r="X11" s="4">
        <v>1.0</v>
      </c>
      <c r="Y11" s="4"/>
      <c r="Z11" s="4"/>
      <c r="AA11" s="4" t="b">
        <f>AND(OR('Global Filters'!$B$2="",EXACT(TRIM(C11),TRIM('Global Filters'!$B$2))),OR('Global Filters'!$B$3="",EXACT(TRIM(D11),TRIM('Global Filters'!$B$3))),OR('Global Filters'!$B$4="",EXACT(TRIM(L11),TRIM('Global Filters'!$B$4))),OR('Global Filters'!$B$5="",EXACT(TRIM(P11),TRIM('Global Filters'!$B$5))),OR('Global Filters'!$B$6="",E11&gt;= 'Global Filters'!$B$6),OR('Global Filters'!$B$7="",F11&lt;= 'Global Filters'!$B$7))</f>
        <v>1</v>
      </c>
      <c r="AB11" s="4">
        <f t="shared" si="1"/>
        <v>1</v>
      </c>
    </row>
    <row r="12">
      <c r="A12" s="4" t="s">
        <v>102</v>
      </c>
      <c r="B12" s="4" t="s">
        <v>103</v>
      </c>
      <c r="C12" s="4" t="s">
        <v>88</v>
      </c>
      <c r="D12" s="6" t="s">
        <v>81</v>
      </c>
      <c r="E12" s="7">
        <v>45189.0</v>
      </c>
      <c r="F12" s="7">
        <v>45224.0</v>
      </c>
      <c r="G12" s="4"/>
      <c r="H12" s="4">
        <v>5.0</v>
      </c>
      <c r="I12" s="4">
        <v>50000.0</v>
      </c>
      <c r="J12" s="4">
        <v>33963.0</v>
      </c>
      <c r="K12" s="4">
        <v>71.0</v>
      </c>
      <c r="L12" s="4" t="s">
        <v>68</v>
      </c>
      <c r="M12" s="4">
        <v>100000.0</v>
      </c>
      <c r="N12" s="4"/>
      <c r="O12" s="4">
        <v>50.0</v>
      </c>
      <c r="P12" s="4" t="s">
        <v>82</v>
      </c>
      <c r="Q12" s="4">
        <v>35.0</v>
      </c>
      <c r="R12" s="4"/>
      <c r="S12" s="4"/>
      <c r="T12" s="4">
        <v>16037.0</v>
      </c>
      <c r="U12" s="4">
        <v>32.07400000000001</v>
      </c>
      <c r="V12" s="4">
        <v>0.0</v>
      </c>
      <c r="W12" s="4"/>
      <c r="X12" s="4">
        <v>1.0</v>
      </c>
      <c r="Y12" s="4"/>
      <c r="Z12" s="4"/>
      <c r="AA12" s="4" t="b">
        <f>AND(OR('Global Filters'!$B$2="",EXACT(TRIM(C12),TRIM('Global Filters'!$B$2))),OR('Global Filters'!$B$3="",EXACT(TRIM(D12),TRIM('Global Filters'!$B$3))),OR('Global Filters'!$B$4="",EXACT(TRIM(L12),TRIM('Global Filters'!$B$4))),OR('Global Filters'!$B$5="",EXACT(TRIM(P12),TRIM('Global Filters'!$B$5))),OR('Global Filters'!$B$6="",E12&gt;= 'Global Filters'!$B$6),OR('Global Filters'!$B$7="",F12&lt;= 'Global Filters'!$B$7))</f>
        <v>1</v>
      </c>
      <c r="AB12" s="4">
        <f t="shared" si="1"/>
        <v>1</v>
      </c>
    </row>
    <row r="13">
      <c r="A13" s="4" t="s">
        <v>104</v>
      </c>
      <c r="B13" s="4" t="s">
        <v>105</v>
      </c>
      <c r="C13" s="4" t="s">
        <v>88</v>
      </c>
      <c r="D13" s="6" t="s">
        <v>67</v>
      </c>
      <c r="E13" s="7">
        <v>45143.0</v>
      </c>
      <c r="F13" s="7">
        <v>45269.0</v>
      </c>
      <c r="G13" s="4"/>
      <c r="H13" s="4">
        <v>6.0</v>
      </c>
      <c r="I13" s="4">
        <v>250000.0</v>
      </c>
      <c r="J13" s="4">
        <v>166799.0</v>
      </c>
      <c r="K13" s="4">
        <v>89.0</v>
      </c>
      <c r="L13" s="4" t="s">
        <v>68</v>
      </c>
      <c r="M13" s="4">
        <v>1000000.0</v>
      </c>
      <c r="N13" s="4"/>
      <c r="O13" s="4">
        <v>80.0</v>
      </c>
      <c r="P13" s="4" t="s">
        <v>89</v>
      </c>
      <c r="Q13" s="4">
        <v>126.0</v>
      </c>
      <c r="R13" s="4"/>
      <c r="S13" s="4"/>
      <c r="T13" s="4">
        <v>83201.0</v>
      </c>
      <c r="U13" s="4">
        <v>33.2804</v>
      </c>
      <c r="V13" s="4">
        <v>0.0</v>
      </c>
      <c r="W13" s="4"/>
      <c r="X13" s="4">
        <v>1.0</v>
      </c>
      <c r="Y13" s="4"/>
      <c r="Z13" s="4"/>
      <c r="AA13" s="4" t="b">
        <f>AND(OR('Global Filters'!$B$2="",EXACT(TRIM(C13),TRIM('Global Filters'!$B$2))),OR('Global Filters'!$B$3="",EXACT(TRIM(D13),TRIM('Global Filters'!$B$3))),OR('Global Filters'!$B$4="",EXACT(TRIM(L13),TRIM('Global Filters'!$B$4))),OR('Global Filters'!$B$5="",EXACT(TRIM(P13),TRIM('Global Filters'!$B$5))),OR('Global Filters'!$B$6="",E13&gt;= 'Global Filters'!$B$6),OR('Global Filters'!$B$7="",F13&lt;= 'Global Filters'!$B$7))</f>
        <v>1</v>
      </c>
      <c r="AB13" s="4">
        <f t="shared" si="1"/>
        <v>1</v>
      </c>
    </row>
    <row r="14">
      <c r="A14" s="4" t="s">
        <v>106</v>
      </c>
      <c r="B14" s="4" t="s">
        <v>107</v>
      </c>
      <c r="C14" s="4" t="s">
        <v>66</v>
      </c>
      <c r="D14" s="8" t="s">
        <v>73</v>
      </c>
      <c r="E14" s="7">
        <v>44979.0</v>
      </c>
      <c r="F14" s="7">
        <v>45010.0</v>
      </c>
      <c r="G14" s="4"/>
      <c r="H14" s="4">
        <v>8.0</v>
      </c>
      <c r="I14" s="4">
        <v>1000000.0</v>
      </c>
      <c r="J14" s="4">
        <v>1099543.0</v>
      </c>
      <c r="K14" s="4">
        <v>95.0</v>
      </c>
      <c r="L14" s="4" t="s">
        <v>74</v>
      </c>
      <c r="M14" s="4">
        <v>1000000.0</v>
      </c>
      <c r="N14" s="4"/>
      <c r="O14" s="4">
        <v>25.0</v>
      </c>
      <c r="P14" s="4" t="s">
        <v>78</v>
      </c>
      <c r="Q14" s="4">
        <v>31.0</v>
      </c>
      <c r="R14" s="4"/>
      <c r="S14" s="4"/>
      <c r="T14" s="4">
        <v>-99543.0</v>
      </c>
      <c r="U14" s="4">
        <v>-9.9543</v>
      </c>
      <c r="V14" s="4">
        <v>0.0</v>
      </c>
      <c r="W14" s="4"/>
      <c r="X14" s="4">
        <v>1.0</v>
      </c>
      <c r="Y14" s="4"/>
      <c r="Z14" s="4"/>
      <c r="AA14" s="4" t="b">
        <f>AND(OR('Global Filters'!$B$2="",EXACT(TRIM(C14),TRIM('Global Filters'!$B$2))),OR('Global Filters'!$B$3="",EXACT(TRIM(D14),TRIM('Global Filters'!$B$3))),OR('Global Filters'!$B$4="",EXACT(TRIM(L14),TRIM('Global Filters'!$B$4))),OR('Global Filters'!$B$5="",EXACT(TRIM(P14),TRIM('Global Filters'!$B$5))),OR('Global Filters'!$B$6="",E14&gt;= 'Global Filters'!$B$6),OR('Global Filters'!$B$7="",F14&lt;= 'Global Filters'!$B$7))</f>
        <v>1</v>
      </c>
      <c r="AB14" s="4">
        <f t="shared" si="1"/>
        <v>1</v>
      </c>
    </row>
    <row r="15">
      <c r="A15" s="4" t="s">
        <v>108</v>
      </c>
      <c r="B15" s="4" t="s">
        <v>109</v>
      </c>
      <c r="C15" s="4" t="s">
        <v>101</v>
      </c>
      <c r="D15" s="6" t="s">
        <v>77</v>
      </c>
      <c r="E15" s="7">
        <v>45099.0</v>
      </c>
      <c r="F15" s="7">
        <v>45199.0</v>
      </c>
      <c r="G15" s="4"/>
      <c r="H15" s="4">
        <v>7.0</v>
      </c>
      <c r="I15" s="4">
        <v>250000.0</v>
      </c>
      <c r="J15" s="4">
        <v>247298.0</v>
      </c>
      <c r="K15" s="4">
        <v>79.0</v>
      </c>
      <c r="L15" s="4" t="s">
        <v>74</v>
      </c>
      <c r="M15" s="4">
        <v>500000.0</v>
      </c>
      <c r="N15" s="4"/>
      <c r="O15" s="4">
        <v>10.0</v>
      </c>
      <c r="P15" s="4" t="s">
        <v>69</v>
      </c>
      <c r="Q15" s="4">
        <v>100.0</v>
      </c>
      <c r="R15" s="4"/>
      <c r="S15" s="4"/>
      <c r="T15" s="4">
        <v>2702.0</v>
      </c>
      <c r="U15" s="4">
        <v>1.0808</v>
      </c>
      <c r="V15" s="4">
        <v>0.0</v>
      </c>
      <c r="W15" s="4"/>
      <c r="X15" s="4">
        <v>1.0</v>
      </c>
      <c r="Y15" s="4"/>
      <c r="Z15" s="4"/>
      <c r="AA15" s="4" t="b">
        <f>AND(OR('Global Filters'!$B$2="",EXACT(TRIM(C15),TRIM('Global Filters'!$B$2))),OR('Global Filters'!$B$3="",EXACT(TRIM(D15),TRIM('Global Filters'!$B$3))),OR('Global Filters'!$B$4="",EXACT(TRIM(L15),TRIM('Global Filters'!$B$4))),OR('Global Filters'!$B$5="",EXACT(TRIM(P15),TRIM('Global Filters'!$B$5))),OR('Global Filters'!$B$6="",E15&gt;= 'Global Filters'!$B$6),OR('Global Filters'!$B$7="",F15&lt;= 'Global Filters'!$B$7))</f>
        <v>1</v>
      </c>
      <c r="AB15" s="4">
        <f t="shared" si="1"/>
        <v>1</v>
      </c>
    </row>
    <row r="16">
      <c r="A16" s="4" t="s">
        <v>110</v>
      </c>
      <c r="B16" s="4" t="s">
        <v>111</v>
      </c>
      <c r="C16" s="4" t="s">
        <v>88</v>
      </c>
      <c r="D16" s="8" t="s">
        <v>73</v>
      </c>
      <c r="E16" s="7">
        <v>45234.0</v>
      </c>
      <c r="F16" s="7">
        <v>45367.0</v>
      </c>
      <c r="G16" s="4"/>
      <c r="H16" s="4">
        <v>14.0</v>
      </c>
      <c r="I16" s="4">
        <v>250000.0</v>
      </c>
      <c r="J16" s="4">
        <v>211151.0</v>
      </c>
      <c r="K16" s="4">
        <v>61.0</v>
      </c>
      <c r="L16" s="4" t="s">
        <v>95</v>
      </c>
      <c r="M16" s="4">
        <v>5000000.0</v>
      </c>
      <c r="N16" s="4"/>
      <c r="O16" s="4">
        <v>25.0</v>
      </c>
      <c r="P16" s="4" t="s">
        <v>69</v>
      </c>
      <c r="Q16" s="4">
        <v>133.0</v>
      </c>
      <c r="R16" s="4"/>
      <c r="S16" s="4"/>
      <c r="T16" s="4">
        <v>38849.0</v>
      </c>
      <c r="U16" s="4">
        <v>15.5396</v>
      </c>
      <c r="V16" s="4">
        <v>0.0</v>
      </c>
      <c r="W16" s="4"/>
      <c r="X16" s="4">
        <v>1.0</v>
      </c>
      <c r="Y16" s="4"/>
      <c r="Z16" s="4"/>
      <c r="AA16" s="4" t="b">
        <f>AND(OR('Global Filters'!$B$2="",EXACT(TRIM(C16),TRIM('Global Filters'!$B$2))),OR('Global Filters'!$B$3="",EXACT(TRIM(D16),TRIM('Global Filters'!$B$3))),OR('Global Filters'!$B$4="",EXACT(TRIM(L16),TRIM('Global Filters'!$B$4))),OR('Global Filters'!$B$5="",EXACT(TRIM(P16),TRIM('Global Filters'!$B$5))),OR('Global Filters'!$B$6="",E16&gt;= 'Global Filters'!$B$6),OR('Global Filters'!$B$7="",F16&lt;= 'Global Filters'!$B$7))</f>
        <v>1</v>
      </c>
      <c r="AB16" s="4">
        <f t="shared" si="1"/>
        <v>1</v>
      </c>
    </row>
    <row r="17">
      <c r="A17" s="4" t="s">
        <v>112</v>
      </c>
      <c r="B17" s="4" t="s">
        <v>113</v>
      </c>
      <c r="C17" s="4" t="s">
        <v>101</v>
      </c>
      <c r="D17" s="6" t="s">
        <v>67</v>
      </c>
      <c r="E17" s="7">
        <v>45125.0</v>
      </c>
      <c r="F17" s="7">
        <v>45164.0</v>
      </c>
      <c r="G17" s="4"/>
      <c r="H17" s="4">
        <v>12.0</v>
      </c>
      <c r="I17" s="4">
        <v>1000000.0</v>
      </c>
      <c r="J17" s="4">
        <v>866455.0</v>
      </c>
      <c r="K17" s="4">
        <v>72.0</v>
      </c>
      <c r="L17" s="4" t="s">
        <v>74</v>
      </c>
      <c r="M17" s="4">
        <v>1000000.0</v>
      </c>
      <c r="N17" s="4"/>
      <c r="O17" s="4">
        <v>80.0</v>
      </c>
      <c r="P17" s="4" t="s">
        <v>82</v>
      </c>
      <c r="Q17" s="4">
        <v>39.0</v>
      </c>
      <c r="R17" s="4"/>
      <c r="S17" s="4"/>
      <c r="T17" s="4">
        <v>133545.0</v>
      </c>
      <c r="U17" s="4">
        <v>13.3545</v>
      </c>
      <c r="V17" s="4">
        <v>0.0</v>
      </c>
      <c r="W17" s="4"/>
      <c r="X17" s="4">
        <v>1.0</v>
      </c>
      <c r="Y17" s="4"/>
      <c r="Z17" s="4"/>
      <c r="AA17" s="4" t="b">
        <f>AND(OR('Global Filters'!$B$2="",EXACT(TRIM(C17),TRIM('Global Filters'!$B$2))),OR('Global Filters'!$B$3="",EXACT(TRIM(D17),TRIM('Global Filters'!$B$3))),OR('Global Filters'!$B$4="",EXACT(TRIM(L17),TRIM('Global Filters'!$B$4))),OR('Global Filters'!$B$5="",EXACT(TRIM(P17),TRIM('Global Filters'!$B$5))),OR('Global Filters'!$B$6="",E17&gt;= 'Global Filters'!$B$6),OR('Global Filters'!$B$7="",F17&lt;= 'Global Filters'!$B$7))</f>
        <v>1</v>
      </c>
      <c r="AB17" s="4">
        <f t="shared" si="1"/>
        <v>1</v>
      </c>
    </row>
    <row r="18">
      <c r="A18" s="4" t="s">
        <v>114</v>
      </c>
      <c r="B18" s="4" t="s">
        <v>115</v>
      </c>
      <c r="C18" s="4" t="s">
        <v>88</v>
      </c>
      <c r="D18" s="8" t="s">
        <v>73</v>
      </c>
      <c r="E18" s="7">
        <v>45186.0</v>
      </c>
      <c r="F18" s="7">
        <v>45292.0</v>
      </c>
      <c r="G18" s="4"/>
      <c r="H18" s="4">
        <v>11.0</v>
      </c>
      <c r="I18" s="4">
        <v>100000.0</v>
      </c>
      <c r="J18" s="4">
        <v>97251.0</v>
      </c>
      <c r="K18" s="4">
        <v>71.0</v>
      </c>
      <c r="L18" s="4" t="s">
        <v>74</v>
      </c>
      <c r="M18" s="4">
        <v>1000000.0</v>
      </c>
      <c r="N18" s="4"/>
      <c r="O18" s="4">
        <v>25.0</v>
      </c>
      <c r="P18" s="4" t="s">
        <v>89</v>
      </c>
      <c r="Q18" s="4">
        <v>106.0</v>
      </c>
      <c r="R18" s="4"/>
      <c r="S18" s="4"/>
      <c r="T18" s="4">
        <v>2749.0</v>
      </c>
      <c r="U18" s="4">
        <v>2.749</v>
      </c>
      <c r="V18" s="4">
        <v>0.0</v>
      </c>
      <c r="W18" s="4"/>
      <c r="X18" s="4">
        <v>1.0</v>
      </c>
      <c r="Y18" s="4"/>
      <c r="Z18" s="4"/>
      <c r="AA18" s="4" t="b">
        <f>AND(OR('Global Filters'!$B$2="",EXACT(TRIM(C18),TRIM('Global Filters'!$B$2))),OR('Global Filters'!$B$3="",EXACT(TRIM(D18),TRIM('Global Filters'!$B$3))),OR('Global Filters'!$B$4="",EXACT(TRIM(L18),TRIM('Global Filters'!$B$4))),OR('Global Filters'!$B$5="",EXACT(TRIM(P18),TRIM('Global Filters'!$B$5))),OR('Global Filters'!$B$6="",E18&gt;= 'Global Filters'!$B$6),OR('Global Filters'!$B$7="",F18&lt;= 'Global Filters'!$B$7))</f>
        <v>1</v>
      </c>
      <c r="AB18" s="4">
        <f t="shared" si="1"/>
        <v>1</v>
      </c>
    </row>
    <row r="19">
      <c r="A19" s="4" t="s">
        <v>116</v>
      </c>
      <c r="B19" s="4" t="s">
        <v>117</v>
      </c>
      <c r="C19" s="4" t="s">
        <v>72</v>
      </c>
      <c r="D19" s="9" t="s">
        <v>92</v>
      </c>
      <c r="E19" s="7">
        <v>45213.0</v>
      </c>
      <c r="F19" s="7">
        <v>45289.0</v>
      </c>
      <c r="G19" s="7">
        <v>45315.0</v>
      </c>
      <c r="H19" s="4">
        <v>6.0</v>
      </c>
      <c r="I19" s="4">
        <v>50000.0</v>
      </c>
      <c r="J19" s="4">
        <v>23890.0</v>
      </c>
      <c r="K19" s="4">
        <v>79.0</v>
      </c>
      <c r="L19" s="4" t="s">
        <v>95</v>
      </c>
      <c r="M19" s="4">
        <v>5000000.0</v>
      </c>
      <c r="N19" s="4">
        <v>5258316.0</v>
      </c>
      <c r="O19" s="4">
        <v>100.0</v>
      </c>
      <c r="P19" s="4" t="s">
        <v>89</v>
      </c>
      <c r="Q19" s="4">
        <v>76.0</v>
      </c>
      <c r="R19" s="4">
        <v>102.0</v>
      </c>
      <c r="S19" s="4">
        <v>26.0</v>
      </c>
      <c r="T19" s="4">
        <v>26110.0</v>
      </c>
      <c r="U19" s="4">
        <v>52.22</v>
      </c>
      <c r="V19" s="4">
        <v>0.0</v>
      </c>
      <c r="W19" s="4">
        <v>258316.0</v>
      </c>
      <c r="X19" s="4">
        <v>1.0</v>
      </c>
      <c r="Y19" s="4"/>
      <c r="Z19" s="4"/>
      <c r="AA19" s="4" t="b">
        <f>AND(OR('Global Filters'!$B$2="",EXACT(TRIM(C19),TRIM('Global Filters'!$B$2))),OR('Global Filters'!$B$3="",EXACT(TRIM(D19),TRIM('Global Filters'!$B$3))),OR('Global Filters'!$B$4="",EXACT(TRIM(L19),TRIM('Global Filters'!$B$4))),OR('Global Filters'!$B$5="",EXACT(TRIM(P19),TRIM('Global Filters'!$B$5))),OR('Global Filters'!$B$6="",E19&gt;= 'Global Filters'!$B$6),OR('Global Filters'!$B$7="",F19&lt;= 'Global Filters'!$B$7))</f>
        <v>1</v>
      </c>
      <c r="AB19" s="4">
        <f t="shared" si="1"/>
        <v>1</v>
      </c>
    </row>
    <row r="20">
      <c r="A20" s="4" t="s">
        <v>118</v>
      </c>
      <c r="B20" s="4" t="s">
        <v>119</v>
      </c>
      <c r="C20" s="4" t="s">
        <v>101</v>
      </c>
      <c r="D20" s="6" t="s">
        <v>67</v>
      </c>
      <c r="E20" s="7">
        <v>45077.0</v>
      </c>
      <c r="F20" s="7">
        <v>45225.0</v>
      </c>
      <c r="G20" s="4"/>
      <c r="H20" s="4">
        <v>13.0</v>
      </c>
      <c r="I20" s="4">
        <v>50000.0</v>
      </c>
      <c r="J20" s="4">
        <v>33821.0</v>
      </c>
      <c r="K20" s="4">
        <v>97.0</v>
      </c>
      <c r="L20" s="4" t="s">
        <v>68</v>
      </c>
      <c r="M20" s="4">
        <v>100000.0</v>
      </c>
      <c r="N20" s="4"/>
      <c r="O20" s="4">
        <v>80.0</v>
      </c>
      <c r="P20" s="4" t="s">
        <v>78</v>
      </c>
      <c r="Q20" s="4">
        <v>148.0</v>
      </c>
      <c r="R20" s="4"/>
      <c r="S20" s="4"/>
      <c r="T20" s="4">
        <v>16179.0</v>
      </c>
      <c r="U20" s="4">
        <v>32.358</v>
      </c>
      <c r="V20" s="4">
        <v>0.0</v>
      </c>
      <c r="W20" s="4"/>
      <c r="X20" s="4">
        <v>1.0</v>
      </c>
      <c r="Y20" s="4"/>
      <c r="Z20" s="4"/>
      <c r="AA20" s="4" t="b">
        <f>AND(OR('Global Filters'!$B$2="",EXACT(TRIM(C20),TRIM('Global Filters'!$B$2))),OR('Global Filters'!$B$3="",EXACT(TRIM(D20),TRIM('Global Filters'!$B$3))),OR('Global Filters'!$B$4="",EXACT(TRIM(L20),TRIM('Global Filters'!$B$4))),OR('Global Filters'!$B$5="",EXACT(TRIM(P20),TRIM('Global Filters'!$B$5))),OR('Global Filters'!$B$6="",E20&gt;= 'Global Filters'!$B$6),OR('Global Filters'!$B$7="",F20&lt;= 'Global Filters'!$B$7))</f>
        <v>1</v>
      </c>
      <c r="AB20" s="4">
        <f t="shared" si="1"/>
        <v>1</v>
      </c>
    </row>
    <row r="21" ht="15.75" customHeight="1">
      <c r="A21" s="4" t="s">
        <v>120</v>
      </c>
      <c r="B21" s="4" t="s">
        <v>121</v>
      </c>
      <c r="C21" s="4" t="s">
        <v>85</v>
      </c>
      <c r="D21" s="6" t="s">
        <v>81</v>
      </c>
      <c r="E21" s="7">
        <v>45198.0</v>
      </c>
      <c r="F21" s="7">
        <v>45304.0</v>
      </c>
      <c r="G21" s="4"/>
      <c r="H21" s="4">
        <v>5.0</v>
      </c>
      <c r="I21" s="4">
        <v>500000.0</v>
      </c>
      <c r="J21" s="4">
        <v>171624.0</v>
      </c>
      <c r="K21" s="4">
        <v>68.0</v>
      </c>
      <c r="L21" s="4" t="s">
        <v>98</v>
      </c>
      <c r="M21" s="4">
        <v>500000.0</v>
      </c>
      <c r="N21" s="4"/>
      <c r="O21" s="4">
        <v>50.0</v>
      </c>
      <c r="P21" s="4" t="s">
        <v>82</v>
      </c>
      <c r="Q21" s="4">
        <v>106.0</v>
      </c>
      <c r="R21" s="4"/>
      <c r="S21" s="4"/>
      <c r="T21" s="4">
        <v>328376.0</v>
      </c>
      <c r="U21" s="4">
        <v>65.6752</v>
      </c>
      <c r="V21" s="4">
        <v>0.0</v>
      </c>
      <c r="W21" s="4"/>
      <c r="X21" s="4">
        <v>1.0</v>
      </c>
      <c r="Y21" s="4"/>
      <c r="Z21" s="4"/>
      <c r="AA21" s="4" t="b">
        <f>AND(OR('Global Filters'!$B$2="",EXACT(TRIM(C21),TRIM('Global Filters'!$B$2))),OR('Global Filters'!$B$3="",EXACT(TRIM(D21),TRIM('Global Filters'!$B$3))),OR('Global Filters'!$B$4="",EXACT(TRIM(L21),TRIM('Global Filters'!$B$4))),OR('Global Filters'!$B$5="",EXACT(TRIM(P21),TRIM('Global Filters'!$B$5))),OR('Global Filters'!$B$6="",E21&gt;= 'Global Filters'!$B$6),OR('Global Filters'!$B$7="",F21&lt;= 'Global Filters'!$B$7))</f>
        <v>1</v>
      </c>
      <c r="AB21" s="4">
        <f t="shared" si="1"/>
        <v>1</v>
      </c>
    </row>
    <row r="22" ht="15.75" customHeight="1">
      <c r="A22" s="4" t="s">
        <v>122</v>
      </c>
      <c r="B22" s="4" t="s">
        <v>123</v>
      </c>
      <c r="C22" s="4" t="s">
        <v>101</v>
      </c>
      <c r="D22" s="9" t="s">
        <v>92</v>
      </c>
      <c r="E22" s="7">
        <v>45088.0</v>
      </c>
      <c r="F22" s="7">
        <v>45164.0</v>
      </c>
      <c r="G22" s="7">
        <v>45200.0</v>
      </c>
      <c r="H22" s="4">
        <v>5.0</v>
      </c>
      <c r="I22" s="4">
        <v>250000.0</v>
      </c>
      <c r="J22" s="4">
        <v>201206.0</v>
      </c>
      <c r="K22" s="4">
        <v>80.0</v>
      </c>
      <c r="L22" s="4" t="s">
        <v>74</v>
      </c>
      <c r="M22" s="4">
        <v>100000.0</v>
      </c>
      <c r="N22" s="4">
        <v>50329.0</v>
      </c>
      <c r="O22" s="4">
        <v>100.0</v>
      </c>
      <c r="P22" s="4" t="s">
        <v>124</v>
      </c>
      <c r="Q22" s="4">
        <v>76.0</v>
      </c>
      <c r="R22" s="4">
        <v>112.0</v>
      </c>
      <c r="S22" s="4">
        <v>36.0</v>
      </c>
      <c r="T22" s="4">
        <v>48794.0</v>
      </c>
      <c r="U22" s="4">
        <v>19.5176</v>
      </c>
      <c r="V22" s="4">
        <v>0.0</v>
      </c>
      <c r="W22" s="4">
        <v>-49671.0</v>
      </c>
      <c r="X22" s="4">
        <v>1.0</v>
      </c>
      <c r="Y22" s="4"/>
      <c r="Z22" s="4"/>
      <c r="AA22" s="4" t="b">
        <f>AND(OR('Global Filters'!$B$2="",EXACT(TRIM(C22),TRIM('Global Filters'!$B$2))),OR('Global Filters'!$B$3="",EXACT(TRIM(D22),TRIM('Global Filters'!$B$3))),OR('Global Filters'!$B$4="",EXACT(TRIM(L22),TRIM('Global Filters'!$B$4))),OR('Global Filters'!$B$5="",EXACT(TRIM(P22),TRIM('Global Filters'!$B$5))),OR('Global Filters'!$B$6="",E22&gt;= 'Global Filters'!$B$6),OR('Global Filters'!$B$7="",F22&lt;= 'Global Filters'!$B$7))</f>
        <v>1</v>
      </c>
      <c r="AB22" s="4">
        <f t="shared" si="1"/>
        <v>1</v>
      </c>
    </row>
    <row r="23" ht="15.75" customHeight="1">
      <c r="A23" s="4" t="s">
        <v>125</v>
      </c>
      <c r="B23" s="4" t="s">
        <v>126</v>
      </c>
      <c r="C23" s="4" t="s">
        <v>101</v>
      </c>
      <c r="D23" s="6" t="s">
        <v>81</v>
      </c>
      <c r="E23" s="7">
        <v>45008.0</v>
      </c>
      <c r="F23" s="7">
        <v>45163.0</v>
      </c>
      <c r="G23" s="4"/>
      <c r="H23" s="4">
        <v>9.0</v>
      </c>
      <c r="I23" s="4">
        <v>50000.0</v>
      </c>
      <c r="J23" s="4">
        <v>20176.0</v>
      </c>
      <c r="K23" s="4">
        <v>100.0</v>
      </c>
      <c r="L23" s="4" t="s">
        <v>95</v>
      </c>
      <c r="M23" s="4">
        <v>5000000.0</v>
      </c>
      <c r="N23" s="4"/>
      <c r="O23" s="4">
        <v>50.0</v>
      </c>
      <c r="P23" s="4" t="s">
        <v>78</v>
      </c>
      <c r="Q23" s="4">
        <v>155.0</v>
      </c>
      <c r="R23" s="4"/>
      <c r="S23" s="4"/>
      <c r="T23" s="4">
        <v>29824.0</v>
      </c>
      <c r="U23" s="4">
        <v>59.648</v>
      </c>
      <c r="V23" s="4">
        <v>0.0</v>
      </c>
      <c r="W23" s="4"/>
      <c r="X23" s="4">
        <v>1.0</v>
      </c>
      <c r="Y23" s="4"/>
      <c r="Z23" s="4"/>
      <c r="AA23" s="4" t="b">
        <f>AND(OR('Global Filters'!$B$2="",EXACT(TRIM(C23),TRIM('Global Filters'!$B$2))),OR('Global Filters'!$B$3="",EXACT(TRIM(D23),TRIM('Global Filters'!$B$3))),OR('Global Filters'!$B$4="",EXACT(TRIM(L23),TRIM('Global Filters'!$B$4))),OR('Global Filters'!$B$5="",EXACT(TRIM(P23),TRIM('Global Filters'!$B$5))),OR('Global Filters'!$B$6="",E23&gt;= 'Global Filters'!$B$6),OR('Global Filters'!$B$7="",F23&lt;= 'Global Filters'!$B$7))</f>
        <v>1</v>
      </c>
      <c r="AB23" s="4">
        <f t="shared" si="1"/>
        <v>1</v>
      </c>
    </row>
    <row r="24" ht="15.75" customHeight="1">
      <c r="A24" s="4" t="s">
        <v>127</v>
      </c>
      <c r="B24" s="4" t="s">
        <v>128</v>
      </c>
      <c r="C24" s="4" t="s">
        <v>85</v>
      </c>
      <c r="D24" s="9" t="s">
        <v>92</v>
      </c>
      <c r="E24" s="7">
        <v>44929.0</v>
      </c>
      <c r="F24" s="7">
        <v>44968.0</v>
      </c>
      <c r="G24" s="7">
        <v>44968.0</v>
      </c>
      <c r="H24" s="4">
        <v>15.0</v>
      </c>
      <c r="I24" s="4">
        <v>50000.0</v>
      </c>
      <c r="J24" s="4">
        <v>50680.0</v>
      </c>
      <c r="K24" s="4">
        <v>93.0</v>
      </c>
      <c r="L24" s="4" t="s">
        <v>74</v>
      </c>
      <c r="M24" s="4">
        <v>500000.0</v>
      </c>
      <c r="N24" s="4">
        <v>256270.0</v>
      </c>
      <c r="O24" s="4">
        <v>100.0</v>
      </c>
      <c r="P24" s="4" t="s">
        <v>82</v>
      </c>
      <c r="Q24" s="4">
        <v>39.0</v>
      </c>
      <c r="R24" s="4">
        <v>39.0</v>
      </c>
      <c r="S24" s="4">
        <v>0.0</v>
      </c>
      <c r="T24" s="4">
        <v>-680.0</v>
      </c>
      <c r="U24" s="4">
        <v>-1.36</v>
      </c>
      <c r="V24" s="4">
        <v>1.0</v>
      </c>
      <c r="W24" s="4">
        <v>-243730.0</v>
      </c>
      <c r="X24" s="4">
        <v>1.0</v>
      </c>
      <c r="Y24" s="4"/>
      <c r="Z24" s="4"/>
      <c r="AA24" s="4" t="b">
        <f>AND(OR('Global Filters'!$B$2="",EXACT(TRIM(C24),TRIM('Global Filters'!$B$2))),OR('Global Filters'!$B$3="",EXACT(TRIM(D24),TRIM('Global Filters'!$B$3))),OR('Global Filters'!$B$4="",EXACT(TRIM(L24),TRIM('Global Filters'!$B$4))),OR('Global Filters'!$B$5="",EXACT(TRIM(P24),TRIM('Global Filters'!$B$5))),OR('Global Filters'!$B$6="",E24&gt;= 'Global Filters'!$B$6),OR('Global Filters'!$B$7="",F24&lt;= 'Global Filters'!$B$7))</f>
        <v>1</v>
      </c>
      <c r="AB24" s="4">
        <f t="shared" si="1"/>
        <v>1</v>
      </c>
    </row>
    <row r="25" ht="15.75" customHeight="1">
      <c r="A25" s="4" t="s">
        <v>129</v>
      </c>
      <c r="B25" s="4" t="s">
        <v>130</v>
      </c>
      <c r="C25" s="4" t="s">
        <v>72</v>
      </c>
      <c r="D25" s="6" t="s">
        <v>81</v>
      </c>
      <c r="E25" s="7">
        <v>45086.0</v>
      </c>
      <c r="F25" s="7">
        <v>45149.0</v>
      </c>
      <c r="G25" s="4"/>
      <c r="H25" s="4">
        <v>12.0</v>
      </c>
      <c r="I25" s="4">
        <v>50000.0</v>
      </c>
      <c r="J25" s="4">
        <v>30342.0</v>
      </c>
      <c r="K25" s="4">
        <v>79.0</v>
      </c>
      <c r="L25" s="4" t="s">
        <v>95</v>
      </c>
      <c r="M25" s="4">
        <v>500000.0</v>
      </c>
      <c r="N25" s="4"/>
      <c r="O25" s="4">
        <v>50.0</v>
      </c>
      <c r="P25" s="4" t="s">
        <v>89</v>
      </c>
      <c r="Q25" s="4">
        <v>63.0</v>
      </c>
      <c r="R25" s="4"/>
      <c r="S25" s="4"/>
      <c r="T25" s="4">
        <v>19658.0</v>
      </c>
      <c r="U25" s="4">
        <v>39.316</v>
      </c>
      <c r="V25" s="4">
        <v>0.0</v>
      </c>
      <c r="W25" s="4"/>
      <c r="X25" s="4">
        <v>1.0</v>
      </c>
      <c r="Y25" s="4"/>
      <c r="Z25" s="4"/>
      <c r="AA25" s="4" t="b">
        <f>AND(OR('Global Filters'!$B$2="",EXACT(TRIM(C25),TRIM('Global Filters'!$B$2))),OR('Global Filters'!$B$3="",EXACT(TRIM(D25),TRIM('Global Filters'!$B$3))),OR('Global Filters'!$B$4="",EXACT(TRIM(L25),TRIM('Global Filters'!$B$4))),OR('Global Filters'!$B$5="",EXACT(TRIM(P25),TRIM('Global Filters'!$B$5))),OR('Global Filters'!$B$6="",E25&gt;= 'Global Filters'!$B$6),OR('Global Filters'!$B$7="",F25&lt;= 'Global Filters'!$B$7))</f>
        <v>1</v>
      </c>
      <c r="AB25" s="4">
        <f t="shared" si="1"/>
        <v>1</v>
      </c>
    </row>
    <row r="26" ht="15.75" customHeight="1">
      <c r="A26" s="4" t="s">
        <v>131</v>
      </c>
      <c r="B26" s="4" t="s">
        <v>132</v>
      </c>
      <c r="C26" s="4" t="s">
        <v>72</v>
      </c>
      <c r="D26" s="6" t="s">
        <v>77</v>
      </c>
      <c r="E26" s="7">
        <v>45160.0</v>
      </c>
      <c r="F26" s="7">
        <v>45323.0</v>
      </c>
      <c r="G26" s="4"/>
      <c r="H26" s="4">
        <v>9.0</v>
      </c>
      <c r="I26" s="4">
        <v>1000000.0</v>
      </c>
      <c r="J26" s="4">
        <v>719294.0</v>
      </c>
      <c r="K26" s="4">
        <v>68.0</v>
      </c>
      <c r="L26" s="4" t="s">
        <v>68</v>
      </c>
      <c r="M26" s="4">
        <v>1000000.0</v>
      </c>
      <c r="N26" s="4"/>
      <c r="O26" s="4">
        <v>10.0</v>
      </c>
      <c r="P26" s="4" t="s">
        <v>89</v>
      </c>
      <c r="Q26" s="4">
        <v>163.0</v>
      </c>
      <c r="R26" s="4"/>
      <c r="S26" s="4"/>
      <c r="T26" s="4">
        <v>280706.0</v>
      </c>
      <c r="U26" s="4">
        <v>28.0706</v>
      </c>
      <c r="V26" s="4">
        <v>0.0</v>
      </c>
      <c r="W26" s="4"/>
      <c r="X26" s="4">
        <v>1.0</v>
      </c>
      <c r="Y26" s="4"/>
      <c r="Z26" s="4"/>
      <c r="AA26" s="4" t="b">
        <f>AND(OR('Global Filters'!$B$2="",EXACT(TRIM(C26),TRIM('Global Filters'!$B$2))),OR('Global Filters'!$B$3="",EXACT(TRIM(D26),TRIM('Global Filters'!$B$3))),OR('Global Filters'!$B$4="",EXACT(TRIM(L26),TRIM('Global Filters'!$B$4))),OR('Global Filters'!$B$5="",EXACT(TRIM(P26),TRIM('Global Filters'!$B$5))),OR('Global Filters'!$B$6="",E26&gt;= 'Global Filters'!$B$6),OR('Global Filters'!$B$7="",F26&lt;= 'Global Filters'!$B$7))</f>
        <v>1</v>
      </c>
      <c r="AB26" s="4">
        <f t="shared" si="1"/>
        <v>1</v>
      </c>
    </row>
    <row r="27" ht="15.75" customHeight="1">
      <c r="A27" s="4" t="s">
        <v>133</v>
      </c>
      <c r="B27" s="4" t="s">
        <v>134</v>
      </c>
      <c r="C27" s="4" t="s">
        <v>85</v>
      </c>
      <c r="D27" s="6" t="s">
        <v>67</v>
      </c>
      <c r="E27" s="7">
        <v>45133.0</v>
      </c>
      <c r="F27" s="7">
        <v>45167.0</v>
      </c>
      <c r="G27" s="4"/>
      <c r="H27" s="4">
        <v>5.0</v>
      </c>
      <c r="I27" s="4">
        <v>100000.0</v>
      </c>
      <c r="J27" s="4">
        <v>47945.0</v>
      </c>
      <c r="K27" s="4">
        <v>73.0</v>
      </c>
      <c r="L27" s="4" t="s">
        <v>95</v>
      </c>
      <c r="M27" s="4">
        <v>100000.0</v>
      </c>
      <c r="N27" s="4"/>
      <c r="O27" s="4">
        <v>80.0</v>
      </c>
      <c r="P27" s="4" t="s">
        <v>124</v>
      </c>
      <c r="Q27" s="4">
        <v>34.0</v>
      </c>
      <c r="R27" s="4"/>
      <c r="S27" s="4"/>
      <c r="T27" s="4">
        <v>52055.0</v>
      </c>
      <c r="U27" s="4">
        <v>52.05499999999999</v>
      </c>
      <c r="V27" s="4">
        <v>0.0</v>
      </c>
      <c r="W27" s="4"/>
      <c r="X27" s="4">
        <v>1.0</v>
      </c>
      <c r="Y27" s="4"/>
      <c r="Z27" s="4"/>
      <c r="AA27" s="4" t="b">
        <f>AND(OR('Global Filters'!$B$2="",EXACT(TRIM(C27),TRIM('Global Filters'!$B$2))),OR('Global Filters'!$B$3="",EXACT(TRIM(D27),TRIM('Global Filters'!$B$3))),OR('Global Filters'!$B$4="",EXACT(TRIM(L27),TRIM('Global Filters'!$B$4))),OR('Global Filters'!$B$5="",EXACT(TRIM(P27),TRIM('Global Filters'!$B$5))),OR('Global Filters'!$B$6="",E27&gt;= 'Global Filters'!$B$6),OR('Global Filters'!$B$7="",F27&lt;= 'Global Filters'!$B$7))</f>
        <v>1</v>
      </c>
      <c r="AB27" s="4">
        <f t="shared" si="1"/>
        <v>1</v>
      </c>
    </row>
    <row r="28" ht="15.75" customHeight="1">
      <c r="A28" s="4" t="s">
        <v>135</v>
      </c>
      <c r="B28" s="4" t="s">
        <v>136</v>
      </c>
      <c r="C28" s="4" t="s">
        <v>66</v>
      </c>
      <c r="D28" s="8" t="s">
        <v>73</v>
      </c>
      <c r="E28" s="7">
        <v>45114.0</v>
      </c>
      <c r="F28" s="7">
        <v>45153.0</v>
      </c>
      <c r="G28" s="4"/>
      <c r="H28" s="4">
        <v>7.0</v>
      </c>
      <c r="I28" s="4">
        <v>500000.0</v>
      </c>
      <c r="J28" s="4">
        <v>500617.0</v>
      </c>
      <c r="K28" s="4">
        <v>94.0</v>
      </c>
      <c r="L28" s="4" t="s">
        <v>95</v>
      </c>
      <c r="M28" s="4">
        <v>100000.0</v>
      </c>
      <c r="N28" s="4"/>
      <c r="O28" s="4">
        <v>25.0</v>
      </c>
      <c r="P28" s="4" t="s">
        <v>69</v>
      </c>
      <c r="Q28" s="4">
        <v>39.0</v>
      </c>
      <c r="R28" s="4"/>
      <c r="S28" s="4"/>
      <c r="T28" s="4">
        <v>-617.0</v>
      </c>
      <c r="U28" s="4">
        <v>-0.1234</v>
      </c>
      <c r="V28" s="4">
        <v>0.0</v>
      </c>
      <c r="W28" s="4"/>
      <c r="X28" s="4">
        <v>1.0</v>
      </c>
      <c r="Y28" s="4"/>
      <c r="Z28" s="4"/>
      <c r="AA28" s="4" t="b">
        <f>AND(OR('Global Filters'!$B$2="",EXACT(TRIM(C28),TRIM('Global Filters'!$B$2))),OR('Global Filters'!$B$3="",EXACT(TRIM(D28),TRIM('Global Filters'!$B$3))),OR('Global Filters'!$B$4="",EXACT(TRIM(L28),TRIM('Global Filters'!$B$4))),OR('Global Filters'!$B$5="",EXACT(TRIM(P28),TRIM('Global Filters'!$B$5))),OR('Global Filters'!$B$6="",E28&gt;= 'Global Filters'!$B$6),OR('Global Filters'!$B$7="",F28&lt;= 'Global Filters'!$B$7))</f>
        <v>1</v>
      </c>
      <c r="AB28" s="4">
        <f t="shared" si="1"/>
        <v>1</v>
      </c>
    </row>
    <row r="29" ht="15.75" customHeight="1">
      <c r="A29" s="4" t="s">
        <v>137</v>
      </c>
      <c r="B29" s="4" t="s">
        <v>138</v>
      </c>
      <c r="C29" s="4" t="s">
        <v>66</v>
      </c>
      <c r="D29" s="6" t="s">
        <v>77</v>
      </c>
      <c r="E29" s="7">
        <v>44951.0</v>
      </c>
      <c r="F29" s="7">
        <v>45010.0</v>
      </c>
      <c r="G29" s="4"/>
      <c r="H29" s="4">
        <v>4.0</v>
      </c>
      <c r="I29" s="4">
        <v>500000.0</v>
      </c>
      <c r="J29" s="4">
        <v>327725.0</v>
      </c>
      <c r="K29" s="4">
        <v>95.0</v>
      </c>
      <c r="L29" s="4" t="s">
        <v>98</v>
      </c>
      <c r="M29" s="4">
        <v>1000000.0</v>
      </c>
      <c r="N29" s="4"/>
      <c r="O29" s="4">
        <v>10.0</v>
      </c>
      <c r="P29" s="4" t="s">
        <v>69</v>
      </c>
      <c r="Q29" s="4">
        <v>59.0</v>
      </c>
      <c r="R29" s="4"/>
      <c r="S29" s="4"/>
      <c r="T29" s="4">
        <v>172275.0</v>
      </c>
      <c r="U29" s="4">
        <v>34.45500000000001</v>
      </c>
      <c r="V29" s="4">
        <v>0.0</v>
      </c>
      <c r="W29" s="4"/>
      <c r="X29" s="4">
        <v>1.0</v>
      </c>
      <c r="Y29" s="4"/>
      <c r="Z29" s="4"/>
      <c r="AA29" s="4" t="b">
        <f>AND(OR('Global Filters'!$B$2="",EXACT(TRIM(C29),TRIM('Global Filters'!$B$2))),OR('Global Filters'!$B$3="",EXACT(TRIM(D29),TRIM('Global Filters'!$B$3))),OR('Global Filters'!$B$4="",EXACT(TRIM(L29),TRIM('Global Filters'!$B$4))),OR('Global Filters'!$B$5="",EXACT(TRIM(P29),TRIM('Global Filters'!$B$5))),OR('Global Filters'!$B$6="",E29&gt;= 'Global Filters'!$B$6),OR('Global Filters'!$B$7="",F29&lt;= 'Global Filters'!$B$7))</f>
        <v>1</v>
      </c>
      <c r="AB29" s="4">
        <f t="shared" si="1"/>
        <v>1</v>
      </c>
    </row>
    <row r="30" ht="15.75" customHeight="1">
      <c r="A30" s="4" t="s">
        <v>139</v>
      </c>
      <c r="B30" s="4" t="s">
        <v>140</v>
      </c>
      <c r="C30" s="4" t="s">
        <v>85</v>
      </c>
      <c r="D30" s="6" t="s">
        <v>81</v>
      </c>
      <c r="E30" s="7">
        <v>45081.0</v>
      </c>
      <c r="F30" s="7">
        <v>45218.0</v>
      </c>
      <c r="G30" s="4"/>
      <c r="H30" s="4">
        <v>7.0</v>
      </c>
      <c r="I30" s="4">
        <v>50000.0</v>
      </c>
      <c r="J30" s="4">
        <v>41499.0</v>
      </c>
      <c r="K30" s="4">
        <v>99.0</v>
      </c>
      <c r="L30" s="4" t="s">
        <v>95</v>
      </c>
      <c r="M30" s="4">
        <v>500000.0</v>
      </c>
      <c r="N30" s="4"/>
      <c r="O30" s="4">
        <v>50.0</v>
      </c>
      <c r="P30" s="4" t="s">
        <v>69</v>
      </c>
      <c r="Q30" s="4">
        <v>137.0</v>
      </c>
      <c r="R30" s="4"/>
      <c r="S30" s="4"/>
      <c r="T30" s="4">
        <v>8501.0</v>
      </c>
      <c r="U30" s="4">
        <v>17.002</v>
      </c>
      <c r="V30" s="4">
        <v>0.0</v>
      </c>
      <c r="W30" s="4"/>
      <c r="X30" s="4">
        <v>1.0</v>
      </c>
      <c r="Y30" s="4"/>
      <c r="Z30" s="4"/>
      <c r="AA30" s="4" t="b">
        <f>AND(OR('Global Filters'!$B$2="",EXACT(TRIM(C30),TRIM('Global Filters'!$B$2))),OR('Global Filters'!$B$3="",EXACT(TRIM(D30),TRIM('Global Filters'!$B$3))),OR('Global Filters'!$B$4="",EXACT(TRIM(L30),TRIM('Global Filters'!$B$4))),OR('Global Filters'!$B$5="",EXACT(TRIM(P30),TRIM('Global Filters'!$B$5))),OR('Global Filters'!$B$6="",E30&gt;= 'Global Filters'!$B$6),OR('Global Filters'!$B$7="",F30&lt;= 'Global Filters'!$B$7))</f>
        <v>1</v>
      </c>
      <c r="AB30" s="4">
        <f t="shared" si="1"/>
        <v>1</v>
      </c>
    </row>
    <row r="31" ht="15.75" customHeight="1">
      <c r="A31" s="4" t="s">
        <v>141</v>
      </c>
      <c r="B31" s="4" t="s">
        <v>142</v>
      </c>
      <c r="C31" s="4" t="s">
        <v>85</v>
      </c>
      <c r="D31" s="6" t="s">
        <v>77</v>
      </c>
      <c r="E31" s="7">
        <v>44985.0</v>
      </c>
      <c r="F31" s="7">
        <v>45042.0</v>
      </c>
      <c r="G31" s="4"/>
      <c r="H31" s="4">
        <v>6.0</v>
      </c>
      <c r="I31" s="4">
        <v>500000.0</v>
      </c>
      <c r="J31" s="4">
        <v>229458.0</v>
      </c>
      <c r="K31" s="4">
        <v>76.0</v>
      </c>
      <c r="L31" s="4" t="s">
        <v>98</v>
      </c>
      <c r="M31" s="4">
        <v>500000.0</v>
      </c>
      <c r="N31" s="4"/>
      <c r="O31" s="4">
        <v>10.0</v>
      </c>
      <c r="P31" s="4" t="s">
        <v>89</v>
      </c>
      <c r="Q31" s="4">
        <v>57.0</v>
      </c>
      <c r="R31" s="4"/>
      <c r="S31" s="4"/>
      <c r="T31" s="4">
        <v>270542.0</v>
      </c>
      <c r="U31" s="4">
        <v>54.1084</v>
      </c>
      <c r="V31" s="4">
        <v>0.0</v>
      </c>
      <c r="W31" s="4"/>
      <c r="X31" s="4">
        <v>1.0</v>
      </c>
      <c r="Y31" s="4"/>
      <c r="Z31" s="4"/>
      <c r="AA31" s="4" t="b">
        <f>AND(OR('Global Filters'!$B$2="",EXACT(TRIM(C31),TRIM('Global Filters'!$B$2))),OR('Global Filters'!$B$3="",EXACT(TRIM(D31),TRIM('Global Filters'!$B$3))),OR('Global Filters'!$B$4="",EXACT(TRIM(L31),TRIM('Global Filters'!$B$4))),OR('Global Filters'!$B$5="",EXACT(TRIM(P31),TRIM('Global Filters'!$B$5))),OR('Global Filters'!$B$6="",E31&gt;= 'Global Filters'!$B$6),OR('Global Filters'!$B$7="",F31&lt;= 'Global Filters'!$B$7))</f>
        <v>1</v>
      </c>
      <c r="AB31" s="4">
        <f t="shared" si="1"/>
        <v>1</v>
      </c>
    </row>
    <row r="32" ht="15.75" customHeight="1">
      <c r="A32" s="4" t="s">
        <v>143</v>
      </c>
      <c r="B32" s="4" t="s">
        <v>144</v>
      </c>
      <c r="C32" s="4" t="s">
        <v>101</v>
      </c>
      <c r="D32" s="9" t="s">
        <v>92</v>
      </c>
      <c r="E32" s="7">
        <v>44947.0</v>
      </c>
      <c r="F32" s="7">
        <v>45117.0</v>
      </c>
      <c r="G32" s="7">
        <v>45115.0</v>
      </c>
      <c r="H32" s="4">
        <v>3.0</v>
      </c>
      <c r="I32" s="4">
        <v>500000.0</v>
      </c>
      <c r="J32" s="4">
        <v>282241.0</v>
      </c>
      <c r="K32" s="4">
        <v>60.0</v>
      </c>
      <c r="L32" s="4" t="s">
        <v>68</v>
      </c>
      <c r="M32" s="4">
        <v>100000.0</v>
      </c>
      <c r="N32" s="4">
        <v>113481.0</v>
      </c>
      <c r="O32" s="4">
        <v>100.0</v>
      </c>
      <c r="P32" s="4" t="s">
        <v>124</v>
      </c>
      <c r="Q32" s="4">
        <v>170.0</v>
      </c>
      <c r="R32" s="4">
        <v>168.0</v>
      </c>
      <c r="S32" s="4">
        <v>-2.0</v>
      </c>
      <c r="T32" s="4">
        <v>217759.0</v>
      </c>
      <c r="U32" s="4">
        <v>43.5518</v>
      </c>
      <c r="V32" s="4">
        <v>1.0</v>
      </c>
      <c r="W32" s="4">
        <v>13481.0</v>
      </c>
      <c r="X32" s="4">
        <v>1.0</v>
      </c>
      <c r="Y32" s="4"/>
      <c r="Z32" s="4"/>
      <c r="AA32" s="4" t="b">
        <f>AND(OR('Global Filters'!$B$2="",EXACT(TRIM(C32),TRIM('Global Filters'!$B$2))),OR('Global Filters'!$B$3="",EXACT(TRIM(D32),TRIM('Global Filters'!$B$3))),OR('Global Filters'!$B$4="",EXACT(TRIM(L32),TRIM('Global Filters'!$B$4))),OR('Global Filters'!$B$5="",EXACT(TRIM(P32),TRIM('Global Filters'!$B$5))),OR('Global Filters'!$B$6="",E32&gt;= 'Global Filters'!$B$6),OR('Global Filters'!$B$7="",F32&lt;= 'Global Filters'!$B$7))</f>
        <v>1</v>
      </c>
      <c r="AB32" s="4">
        <f t="shared" si="1"/>
        <v>1</v>
      </c>
    </row>
    <row r="33" ht="15.75" customHeight="1">
      <c r="A33" s="4" t="s">
        <v>145</v>
      </c>
      <c r="B33" s="4" t="s">
        <v>146</v>
      </c>
      <c r="C33" s="4" t="s">
        <v>66</v>
      </c>
      <c r="D33" s="9" t="s">
        <v>92</v>
      </c>
      <c r="E33" s="7">
        <v>45188.0</v>
      </c>
      <c r="F33" s="7">
        <v>45237.0</v>
      </c>
      <c r="G33" s="7">
        <v>45248.0</v>
      </c>
      <c r="H33" s="4">
        <v>10.0</v>
      </c>
      <c r="I33" s="4">
        <v>250000.0</v>
      </c>
      <c r="J33" s="4">
        <v>203867.0</v>
      </c>
      <c r="K33" s="4">
        <v>78.0</v>
      </c>
      <c r="L33" s="4" t="s">
        <v>95</v>
      </c>
      <c r="M33" s="4">
        <v>1000000.0</v>
      </c>
      <c r="N33" s="4">
        <v>824994.0</v>
      </c>
      <c r="O33" s="4">
        <v>100.0</v>
      </c>
      <c r="P33" s="4" t="s">
        <v>69</v>
      </c>
      <c r="Q33" s="4">
        <v>49.0</v>
      </c>
      <c r="R33" s="4">
        <v>60.0</v>
      </c>
      <c r="S33" s="4">
        <v>11.0</v>
      </c>
      <c r="T33" s="4">
        <v>46133.0</v>
      </c>
      <c r="U33" s="4">
        <v>18.4532</v>
      </c>
      <c r="V33" s="4">
        <v>0.0</v>
      </c>
      <c r="W33" s="4">
        <v>-175006.0</v>
      </c>
      <c r="X33" s="4">
        <v>1.0</v>
      </c>
      <c r="Y33" s="4"/>
      <c r="Z33" s="4"/>
      <c r="AA33" s="4" t="b">
        <f>AND(OR('Global Filters'!$B$2="",EXACT(TRIM(C33),TRIM('Global Filters'!$B$2))),OR('Global Filters'!$B$3="",EXACT(TRIM(D33),TRIM('Global Filters'!$B$3))),OR('Global Filters'!$B$4="",EXACT(TRIM(L33),TRIM('Global Filters'!$B$4))),OR('Global Filters'!$B$5="",EXACT(TRIM(P33),TRIM('Global Filters'!$B$5))),OR('Global Filters'!$B$6="",E33&gt;= 'Global Filters'!$B$6),OR('Global Filters'!$B$7="",F33&lt;= 'Global Filters'!$B$7))</f>
        <v>1</v>
      </c>
      <c r="AB33" s="4">
        <f t="shared" si="1"/>
        <v>1</v>
      </c>
    </row>
    <row r="34" ht="15.75" customHeight="1">
      <c r="A34" s="4" t="s">
        <v>147</v>
      </c>
      <c r="B34" s="4" t="s">
        <v>148</v>
      </c>
      <c r="C34" s="4" t="s">
        <v>72</v>
      </c>
      <c r="D34" s="6" t="s">
        <v>81</v>
      </c>
      <c r="E34" s="7">
        <v>45111.0</v>
      </c>
      <c r="F34" s="7">
        <v>45221.0</v>
      </c>
      <c r="G34" s="4"/>
      <c r="H34" s="4">
        <v>4.0</v>
      </c>
      <c r="I34" s="4">
        <v>500000.0</v>
      </c>
      <c r="J34" s="4">
        <v>445416.0</v>
      </c>
      <c r="K34" s="4">
        <v>62.0</v>
      </c>
      <c r="L34" s="4" t="s">
        <v>98</v>
      </c>
      <c r="M34" s="4">
        <v>100000.0</v>
      </c>
      <c r="N34" s="4"/>
      <c r="O34" s="4">
        <v>50.0</v>
      </c>
      <c r="P34" s="4" t="s">
        <v>89</v>
      </c>
      <c r="Q34" s="4">
        <v>110.0</v>
      </c>
      <c r="R34" s="4"/>
      <c r="S34" s="4"/>
      <c r="T34" s="4">
        <v>54584.0</v>
      </c>
      <c r="U34" s="4">
        <v>10.9168</v>
      </c>
      <c r="V34" s="4">
        <v>0.0</v>
      </c>
      <c r="W34" s="4"/>
      <c r="X34" s="4">
        <v>1.0</v>
      </c>
      <c r="Y34" s="4"/>
      <c r="Z34" s="4"/>
      <c r="AA34" s="4" t="b">
        <f>AND(OR('Global Filters'!$B$2="",EXACT(TRIM(C34),TRIM('Global Filters'!$B$2))),OR('Global Filters'!$B$3="",EXACT(TRIM(D34),TRIM('Global Filters'!$B$3))),OR('Global Filters'!$B$4="",EXACT(TRIM(L34),TRIM('Global Filters'!$B$4))),OR('Global Filters'!$B$5="",EXACT(TRIM(P34),TRIM('Global Filters'!$B$5))),OR('Global Filters'!$B$6="",E34&gt;= 'Global Filters'!$B$6),OR('Global Filters'!$B$7="",F34&lt;= 'Global Filters'!$B$7))</f>
        <v>1</v>
      </c>
      <c r="AB34" s="4">
        <f t="shared" si="1"/>
        <v>1</v>
      </c>
    </row>
    <row r="35" ht="15.75" customHeight="1">
      <c r="A35" s="4" t="s">
        <v>149</v>
      </c>
      <c r="B35" s="4" t="s">
        <v>150</v>
      </c>
      <c r="C35" s="4" t="s">
        <v>88</v>
      </c>
      <c r="D35" s="6" t="s">
        <v>81</v>
      </c>
      <c r="E35" s="7">
        <v>45151.0</v>
      </c>
      <c r="F35" s="7">
        <v>45249.0</v>
      </c>
      <c r="G35" s="4"/>
      <c r="H35" s="4">
        <v>8.0</v>
      </c>
      <c r="I35" s="4">
        <v>50000.0</v>
      </c>
      <c r="J35" s="4">
        <v>29904.0</v>
      </c>
      <c r="K35" s="4">
        <v>71.0</v>
      </c>
      <c r="L35" s="4" t="s">
        <v>68</v>
      </c>
      <c r="M35" s="4">
        <v>100000.0</v>
      </c>
      <c r="N35" s="4"/>
      <c r="O35" s="4">
        <v>50.0</v>
      </c>
      <c r="P35" s="4" t="s">
        <v>89</v>
      </c>
      <c r="Q35" s="4">
        <v>98.0</v>
      </c>
      <c r="R35" s="4"/>
      <c r="S35" s="4"/>
      <c r="T35" s="4">
        <v>20096.0</v>
      </c>
      <c r="U35" s="4">
        <v>40.192</v>
      </c>
      <c r="V35" s="4">
        <v>0.0</v>
      </c>
      <c r="W35" s="4"/>
      <c r="X35" s="4">
        <v>1.0</v>
      </c>
      <c r="Y35" s="4"/>
      <c r="Z35" s="4"/>
      <c r="AA35" s="4" t="b">
        <f>AND(OR('Global Filters'!$B$2="",EXACT(TRIM(C35),TRIM('Global Filters'!$B$2))),OR('Global Filters'!$B$3="",EXACT(TRIM(D35),TRIM('Global Filters'!$B$3))),OR('Global Filters'!$B$4="",EXACT(TRIM(L35),TRIM('Global Filters'!$B$4))),OR('Global Filters'!$B$5="",EXACT(TRIM(P35),TRIM('Global Filters'!$B$5))),OR('Global Filters'!$B$6="",E35&gt;= 'Global Filters'!$B$6),OR('Global Filters'!$B$7="",F35&lt;= 'Global Filters'!$B$7))</f>
        <v>1</v>
      </c>
      <c r="AB35" s="4">
        <f t="shared" si="1"/>
        <v>1</v>
      </c>
    </row>
    <row r="36" ht="15.75" customHeight="1">
      <c r="A36" s="4" t="s">
        <v>151</v>
      </c>
      <c r="B36" s="4" t="s">
        <v>152</v>
      </c>
      <c r="C36" s="4" t="s">
        <v>85</v>
      </c>
      <c r="D36" s="9" t="s">
        <v>92</v>
      </c>
      <c r="E36" s="7">
        <v>45124.0</v>
      </c>
      <c r="F36" s="7">
        <v>45276.0</v>
      </c>
      <c r="G36" s="7">
        <v>45322.0</v>
      </c>
      <c r="H36" s="4">
        <v>14.0</v>
      </c>
      <c r="I36" s="4">
        <v>100000.0</v>
      </c>
      <c r="J36" s="4">
        <v>39044.0</v>
      </c>
      <c r="K36" s="4">
        <v>63.0</v>
      </c>
      <c r="L36" s="4" t="s">
        <v>74</v>
      </c>
      <c r="M36" s="4">
        <v>500000.0</v>
      </c>
      <c r="N36" s="4">
        <v>286299.0</v>
      </c>
      <c r="O36" s="4">
        <v>100.0</v>
      </c>
      <c r="P36" s="4" t="s">
        <v>89</v>
      </c>
      <c r="Q36" s="4">
        <v>152.0</v>
      </c>
      <c r="R36" s="4">
        <v>198.0</v>
      </c>
      <c r="S36" s="4">
        <v>46.0</v>
      </c>
      <c r="T36" s="4">
        <v>60956.0</v>
      </c>
      <c r="U36" s="4">
        <v>60.956</v>
      </c>
      <c r="V36" s="4">
        <v>0.0</v>
      </c>
      <c r="W36" s="4">
        <v>-213701.0</v>
      </c>
      <c r="X36" s="4">
        <v>1.0</v>
      </c>
      <c r="Y36" s="4"/>
      <c r="Z36" s="4"/>
      <c r="AA36" s="4" t="b">
        <f>AND(OR('Global Filters'!$B$2="",EXACT(TRIM(C36),TRIM('Global Filters'!$B$2))),OR('Global Filters'!$B$3="",EXACT(TRIM(D36),TRIM('Global Filters'!$B$3))),OR('Global Filters'!$B$4="",EXACT(TRIM(L36),TRIM('Global Filters'!$B$4))),OR('Global Filters'!$B$5="",EXACT(TRIM(P36),TRIM('Global Filters'!$B$5))),OR('Global Filters'!$B$6="",E36&gt;= 'Global Filters'!$B$6),OR('Global Filters'!$B$7="",F36&lt;= 'Global Filters'!$B$7))</f>
        <v>1</v>
      </c>
      <c r="AB36" s="4">
        <f t="shared" si="1"/>
        <v>1</v>
      </c>
    </row>
    <row r="37" ht="15.75" customHeight="1">
      <c r="A37" s="4" t="s">
        <v>153</v>
      </c>
      <c r="B37" s="4" t="s">
        <v>154</v>
      </c>
      <c r="C37" s="4" t="s">
        <v>66</v>
      </c>
      <c r="D37" s="9" t="s">
        <v>92</v>
      </c>
      <c r="E37" s="7">
        <v>45239.0</v>
      </c>
      <c r="F37" s="7">
        <v>45366.0</v>
      </c>
      <c r="G37" s="7">
        <v>45410.0</v>
      </c>
      <c r="H37" s="4">
        <v>14.0</v>
      </c>
      <c r="I37" s="4">
        <v>50000.0</v>
      </c>
      <c r="J37" s="4">
        <v>49503.0</v>
      </c>
      <c r="K37" s="4">
        <v>68.0</v>
      </c>
      <c r="L37" s="4" t="s">
        <v>74</v>
      </c>
      <c r="M37" s="4">
        <v>5000000.0</v>
      </c>
      <c r="N37" s="4">
        <v>5721392.0</v>
      </c>
      <c r="O37" s="4">
        <v>100.0</v>
      </c>
      <c r="P37" s="4" t="s">
        <v>124</v>
      </c>
      <c r="Q37" s="4">
        <v>127.0</v>
      </c>
      <c r="R37" s="4">
        <v>171.0</v>
      </c>
      <c r="S37" s="4">
        <v>44.0</v>
      </c>
      <c r="T37" s="4">
        <v>497.0</v>
      </c>
      <c r="U37" s="4">
        <v>0.9939999999999999</v>
      </c>
      <c r="V37" s="4">
        <v>0.0</v>
      </c>
      <c r="W37" s="4">
        <v>721392.0</v>
      </c>
      <c r="X37" s="4">
        <v>1.0</v>
      </c>
      <c r="Y37" s="4"/>
      <c r="Z37" s="4"/>
      <c r="AA37" s="4" t="b">
        <f>AND(OR('Global Filters'!$B$2="",EXACT(TRIM(C37),TRIM('Global Filters'!$B$2))),OR('Global Filters'!$B$3="",EXACT(TRIM(D37),TRIM('Global Filters'!$B$3))),OR('Global Filters'!$B$4="",EXACT(TRIM(L37),TRIM('Global Filters'!$B$4))),OR('Global Filters'!$B$5="",EXACT(TRIM(P37),TRIM('Global Filters'!$B$5))),OR('Global Filters'!$B$6="",E37&gt;= 'Global Filters'!$B$6),OR('Global Filters'!$B$7="",F37&lt;= 'Global Filters'!$B$7))</f>
        <v>1</v>
      </c>
      <c r="AB37" s="4">
        <f t="shared" si="1"/>
        <v>1</v>
      </c>
    </row>
    <row r="38" ht="15.75" customHeight="1">
      <c r="A38" s="4" t="s">
        <v>155</v>
      </c>
      <c r="B38" s="4" t="s">
        <v>156</v>
      </c>
      <c r="C38" s="4" t="s">
        <v>72</v>
      </c>
      <c r="D38" s="9" t="s">
        <v>92</v>
      </c>
      <c r="E38" s="7">
        <v>44959.0</v>
      </c>
      <c r="F38" s="7">
        <v>45055.0</v>
      </c>
      <c r="G38" s="7">
        <v>45050.0</v>
      </c>
      <c r="H38" s="4">
        <v>12.0</v>
      </c>
      <c r="I38" s="4">
        <v>1000000.0</v>
      </c>
      <c r="J38" s="4">
        <v>914022.0</v>
      </c>
      <c r="K38" s="4">
        <v>96.0</v>
      </c>
      <c r="L38" s="4" t="s">
        <v>74</v>
      </c>
      <c r="M38" s="4">
        <v>500000.0</v>
      </c>
      <c r="N38" s="4">
        <v>592263.0</v>
      </c>
      <c r="O38" s="4">
        <v>100.0</v>
      </c>
      <c r="P38" s="4" t="s">
        <v>69</v>
      </c>
      <c r="Q38" s="4">
        <v>96.0</v>
      </c>
      <c r="R38" s="4">
        <v>91.0</v>
      </c>
      <c r="S38" s="4">
        <v>-5.0</v>
      </c>
      <c r="T38" s="4">
        <v>85978.0</v>
      </c>
      <c r="U38" s="4">
        <v>8.5978</v>
      </c>
      <c r="V38" s="4">
        <v>1.0</v>
      </c>
      <c r="W38" s="4">
        <v>92263.0</v>
      </c>
      <c r="X38" s="4">
        <v>1.0</v>
      </c>
      <c r="Y38" s="4"/>
      <c r="Z38" s="4"/>
      <c r="AA38" s="4" t="b">
        <f>AND(OR('Global Filters'!$B$2="",EXACT(TRIM(C38),TRIM('Global Filters'!$B$2))),OR('Global Filters'!$B$3="",EXACT(TRIM(D38),TRIM('Global Filters'!$B$3))),OR('Global Filters'!$B$4="",EXACT(TRIM(L38),TRIM('Global Filters'!$B$4))),OR('Global Filters'!$B$5="",EXACT(TRIM(P38),TRIM('Global Filters'!$B$5))),OR('Global Filters'!$B$6="",E38&gt;= 'Global Filters'!$B$6),OR('Global Filters'!$B$7="",F38&lt;= 'Global Filters'!$B$7))</f>
        <v>1</v>
      </c>
      <c r="AB38" s="4">
        <f t="shared" si="1"/>
        <v>1</v>
      </c>
    </row>
    <row r="39" ht="15.75" customHeight="1">
      <c r="A39" s="4" t="s">
        <v>157</v>
      </c>
      <c r="B39" s="4" t="s">
        <v>158</v>
      </c>
      <c r="C39" s="4" t="s">
        <v>101</v>
      </c>
      <c r="D39" s="8" t="s">
        <v>73</v>
      </c>
      <c r="E39" s="7">
        <v>45265.0</v>
      </c>
      <c r="F39" s="7">
        <v>45358.0</v>
      </c>
      <c r="G39" s="4"/>
      <c r="H39" s="4">
        <v>13.0</v>
      </c>
      <c r="I39" s="4">
        <v>500000.0</v>
      </c>
      <c r="J39" s="4">
        <v>288299.0</v>
      </c>
      <c r="K39" s="4">
        <v>84.0</v>
      </c>
      <c r="L39" s="4" t="s">
        <v>98</v>
      </c>
      <c r="M39" s="4">
        <v>500000.0</v>
      </c>
      <c r="N39" s="4"/>
      <c r="O39" s="4">
        <v>25.0</v>
      </c>
      <c r="P39" s="4" t="s">
        <v>82</v>
      </c>
      <c r="Q39" s="4">
        <v>93.0</v>
      </c>
      <c r="R39" s="4"/>
      <c r="S39" s="4"/>
      <c r="T39" s="4">
        <v>211701.0</v>
      </c>
      <c r="U39" s="4">
        <v>42.3402</v>
      </c>
      <c r="V39" s="4">
        <v>0.0</v>
      </c>
      <c r="W39" s="4"/>
      <c r="X39" s="4">
        <v>1.0</v>
      </c>
      <c r="Y39" s="4"/>
      <c r="Z39" s="4"/>
      <c r="AA39" s="4" t="b">
        <f>AND(OR('Global Filters'!$B$2="",EXACT(TRIM(C39),TRIM('Global Filters'!$B$2))),OR('Global Filters'!$B$3="",EXACT(TRIM(D39),TRIM('Global Filters'!$B$3))),OR('Global Filters'!$B$4="",EXACT(TRIM(L39),TRIM('Global Filters'!$B$4))),OR('Global Filters'!$B$5="",EXACT(TRIM(P39),TRIM('Global Filters'!$B$5))),OR('Global Filters'!$B$6="",E39&gt;= 'Global Filters'!$B$6),OR('Global Filters'!$B$7="",F39&lt;= 'Global Filters'!$B$7))</f>
        <v>1</v>
      </c>
      <c r="AB39" s="4">
        <f t="shared" si="1"/>
        <v>1</v>
      </c>
    </row>
    <row r="40" ht="15.75" customHeight="1">
      <c r="A40" s="4" t="s">
        <v>159</v>
      </c>
      <c r="B40" s="4" t="s">
        <v>160</v>
      </c>
      <c r="C40" s="4" t="s">
        <v>66</v>
      </c>
      <c r="D40" s="8" t="s">
        <v>73</v>
      </c>
      <c r="E40" s="7">
        <v>45256.0</v>
      </c>
      <c r="F40" s="7">
        <v>45326.0</v>
      </c>
      <c r="G40" s="4"/>
      <c r="H40" s="4">
        <v>10.0</v>
      </c>
      <c r="I40" s="4">
        <v>1000000.0</v>
      </c>
      <c r="J40" s="4">
        <v>979076.0</v>
      </c>
      <c r="K40" s="4">
        <v>70.0</v>
      </c>
      <c r="L40" s="4" t="s">
        <v>98</v>
      </c>
      <c r="M40" s="4">
        <v>100000.0</v>
      </c>
      <c r="N40" s="4"/>
      <c r="O40" s="4">
        <v>25.0</v>
      </c>
      <c r="P40" s="4" t="s">
        <v>69</v>
      </c>
      <c r="Q40" s="4">
        <v>70.0</v>
      </c>
      <c r="R40" s="4"/>
      <c r="S40" s="4"/>
      <c r="T40" s="4">
        <v>20924.0</v>
      </c>
      <c r="U40" s="4">
        <v>2.0924</v>
      </c>
      <c r="V40" s="4">
        <v>0.0</v>
      </c>
      <c r="W40" s="4"/>
      <c r="X40" s="4">
        <v>1.0</v>
      </c>
      <c r="Y40" s="4"/>
      <c r="Z40" s="4"/>
      <c r="AA40" s="4" t="b">
        <f>AND(OR('Global Filters'!$B$2="",EXACT(TRIM(C40),TRIM('Global Filters'!$B$2))),OR('Global Filters'!$B$3="",EXACT(TRIM(D40),TRIM('Global Filters'!$B$3))),OR('Global Filters'!$B$4="",EXACT(TRIM(L40),TRIM('Global Filters'!$B$4))),OR('Global Filters'!$B$5="",EXACT(TRIM(P40),TRIM('Global Filters'!$B$5))),OR('Global Filters'!$B$6="",E40&gt;= 'Global Filters'!$B$6),OR('Global Filters'!$B$7="",F40&lt;= 'Global Filters'!$B$7))</f>
        <v>1</v>
      </c>
      <c r="AB40" s="4">
        <f t="shared" si="1"/>
        <v>1</v>
      </c>
    </row>
    <row r="41" ht="15.75" customHeight="1">
      <c r="A41" s="4" t="s">
        <v>161</v>
      </c>
      <c r="B41" s="4" t="s">
        <v>162</v>
      </c>
      <c r="C41" s="4" t="s">
        <v>85</v>
      </c>
      <c r="D41" s="6" t="s">
        <v>67</v>
      </c>
      <c r="E41" s="7">
        <v>45069.0</v>
      </c>
      <c r="F41" s="7">
        <v>45111.0</v>
      </c>
      <c r="G41" s="4"/>
      <c r="H41" s="4">
        <v>13.0</v>
      </c>
      <c r="I41" s="4">
        <v>1000000.0</v>
      </c>
      <c r="J41" s="4">
        <v>478165.0</v>
      </c>
      <c r="K41" s="4">
        <v>84.0</v>
      </c>
      <c r="L41" s="4" t="s">
        <v>95</v>
      </c>
      <c r="M41" s="4">
        <v>5000000.0</v>
      </c>
      <c r="N41" s="4"/>
      <c r="O41" s="4">
        <v>80.0</v>
      </c>
      <c r="P41" s="4" t="s">
        <v>89</v>
      </c>
      <c r="Q41" s="4">
        <v>42.0</v>
      </c>
      <c r="R41" s="4"/>
      <c r="S41" s="4"/>
      <c r="T41" s="4">
        <v>521835.0</v>
      </c>
      <c r="U41" s="4">
        <v>52.1835</v>
      </c>
      <c r="V41" s="4">
        <v>0.0</v>
      </c>
      <c r="W41" s="4"/>
      <c r="X41" s="4">
        <v>1.0</v>
      </c>
      <c r="Y41" s="4"/>
      <c r="Z41" s="4"/>
      <c r="AA41" s="4" t="b">
        <f>AND(OR('Global Filters'!$B$2="",EXACT(TRIM(C41),TRIM('Global Filters'!$B$2))),OR('Global Filters'!$B$3="",EXACT(TRIM(D41),TRIM('Global Filters'!$B$3))),OR('Global Filters'!$B$4="",EXACT(TRIM(L41),TRIM('Global Filters'!$B$4))),OR('Global Filters'!$B$5="",EXACT(TRIM(P41),TRIM('Global Filters'!$B$5))),OR('Global Filters'!$B$6="",E41&gt;= 'Global Filters'!$B$6),OR('Global Filters'!$B$7="",F41&lt;= 'Global Filters'!$B$7))</f>
        <v>1</v>
      </c>
      <c r="AB41" s="4">
        <f t="shared" si="1"/>
        <v>1</v>
      </c>
    </row>
    <row r="42" ht="15.75" customHeight="1">
      <c r="A42" s="4" t="s">
        <v>163</v>
      </c>
      <c r="B42" s="4" t="s">
        <v>164</v>
      </c>
      <c r="C42" s="4" t="s">
        <v>88</v>
      </c>
      <c r="D42" s="6" t="s">
        <v>77</v>
      </c>
      <c r="E42" s="7">
        <v>45220.0</v>
      </c>
      <c r="F42" s="7">
        <v>45364.0</v>
      </c>
      <c r="G42" s="4"/>
      <c r="H42" s="4">
        <v>10.0</v>
      </c>
      <c r="I42" s="4">
        <v>50000.0</v>
      </c>
      <c r="J42" s="4">
        <v>49263.0</v>
      </c>
      <c r="K42" s="4">
        <v>80.0</v>
      </c>
      <c r="L42" s="4" t="s">
        <v>74</v>
      </c>
      <c r="M42" s="4">
        <v>100000.0</v>
      </c>
      <c r="N42" s="4"/>
      <c r="O42" s="4">
        <v>10.0</v>
      </c>
      <c r="P42" s="4" t="s">
        <v>82</v>
      </c>
      <c r="Q42" s="4">
        <v>144.0</v>
      </c>
      <c r="R42" s="4"/>
      <c r="S42" s="4"/>
      <c r="T42" s="4">
        <v>737.0</v>
      </c>
      <c r="U42" s="4">
        <v>1.474</v>
      </c>
      <c r="V42" s="4">
        <v>0.0</v>
      </c>
      <c r="W42" s="4"/>
      <c r="X42" s="4">
        <v>1.0</v>
      </c>
      <c r="Y42" s="4"/>
      <c r="Z42" s="4"/>
      <c r="AA42" s="4" t="b">
        <f>AND(OR('Global Filters'!$B$2="",EXACT(TRIM(C42),TRIM('Global Filters'!$B$2))),OR('Global Filters'!$B$3="",EXACT(TRIM(D42),TRIM('Global Filters'!$B$3))),OR('Global Filters'!$B$4="",EXACT(TRIM(L42),TRIM('Global Filters'!$B$4))),OR('Global Filters'!$B$5="",EXACT(TRIM(P42),TRIM('Global Filters'!$B$5))),OR('Global Filters'!$B$6="",E42&gt;= 'Global Filters'!$B$6),OR('Global Filters'!$B$7="",F42&lt;= 'Global Filters'!$B$7))</f>
        <v>1</v>
      </c>
      <c r="AB42" s="4">
        <f t="shared" si="1"/>
        <v>1</v>
      </c>
    </row>
    <row r="43" ht="15.75" customHeight="1">
      <c r="A43" s="4" t="s">
        <v>165</v>
      </c>
      <c r="B43" s="4" t="s">
        <v>166</v>
      </c>
      <c r="C43" s="4" t="s">
        <v>85</v>
      </c>
      <c r="D43" s="6" t="s">
        <v>77</v>
      </c>
      <c r="E43" s="7">
        <v>45138.0</v>
      </c>
      <c r="F43" s="7">
        <v>45177.0</v>
      </c>
      <c r="G43" s="4"/>
      <c r="H43" s="4">
        <v>4.0</v>
      </c>
      <c r="I43" s="4">
        <v>1000000.0</v>
      </c>
      <c r="J43" s="4">
        <v>739279.0</v>
      </c>
      <c r="K43" s="4">
        <v>98.0</v>
      </c>
      <c r="L43" s="4" t="s">
        <v>98</v>
      </c>
      <c r="M43" s="4">
        <v>1000000.0</v>
      </c>
      <c r="N43" s="4"/>
      <c r="O43" s="4">
        <v>10.0</v>
      </c>
      <c r="P43" s="4" t="s">
        <v>82</v>
      </c>
      <c r="Q43" s="4">
        <v>39.0</v>
      </c>
      <c r="R43" s="4"/>
      <c r="S43" s="4"/>
      <c r="T43" s="4">
        <v>260721.0</v>
      </c>
      <c r="U43" s="4">
        <v>26.0721</v>
      </c>
      <c r="V43" s="4">
        <v>0.0</v>
      </c>
      <c r="W43" s="4"/>
      <c r="X43" s="4">
        <v>1.0</v>
      </c>
      <c r="Y43" s="4"/>
      <c r="Z43" s="4"/>
      <c r="AA43" s="4" t="b">
        <f>AND(OR('Global Filters'!$B$2="",EXACT(TRIM(C43),TRIM('Global Filters'!$B$2))),OR('Global Filters'!$B$3="",EXACT(TRIM(D43),TRIM('Global Filters'!$B$3))),OR('Global Filters'!$B$4="",EXACT(TRIM(L43),TRIM('Global Filters'!$B$4))),OR('Global Filters'!$B$5="",EXACT(TRIM(P43),TRIM('Global Filters'!$B$5))),OR('Global Filters'!$B$6="",E43&gt;= 'Global Filters'!$B$6),OR('Global Filters'!$B$7="",F43&lt;= 'Global Filters'!$B$7))</f>
        <v>1</v>
      </c>
      <c r="AB43" s="4">
        <f t="shared" si="1"/>
        <v>1</v>
      </c>
    </row>
    <row r="44" ht="15.75" customHeight="1">
      <c r="A44" s="4" t="s">
        <v>167</v>
      </c>
      <c r="B44" s="4" t="s">
        <v>168</v>
      </c>
      <c r="C44" s="4" t="s">
        <v>66</v>
      </c>
      <c r="D44" s="8" t="s">
        <v>73</v>
      </c>
      <c r="E44" s="7">
        <v>45101.0</v>
      </c>
      <c r="F44" s="7">
        <v>45224.0</v>
      </c>
      <c r="G44" s="4"/>
      <c r="H44" s="4">
        <v>10.0</v>
      </c>
      <c r="I44" s="4">
        <v>50000.0</v>
      </c>
      <c r="J44" s="4">
        <v>47663.0</v>
      </c>
      <c r="K44" s="4">
        <v>81.0</v>
      </c>
      <c r="L44" s="4" t="s">
        <v>95</v>
      </c>
      <c r="M44" s="4">
        <v>5000000.0</v>
      </c>
      <c r="N44" s="4"/>
      <c r="O44" s="4">
        <v>25.0</v>
      </c>
      <c r="P44" s="4" t="s">
        <v>82</v>
      </c>
      <c r="Q44" s="4">
        <v>123.0</v>
      </c>
      <c r="R44" s="4"/>
      <c r="S44" s="4"/>
      <c r="T44" s="4">
        <v>2337.0</v>
      </c>
      <c r="U44" s="4">
        <v>4.673999999999999</v>
      </c>
      <c r="V44" s="4">
        <v>0.0</v>
      </c>
      <c r="W44" s="4"/>
      <c r="X44" s="4">
        <v>1.0</v>
      </c>
      <c r="Y44" s="4"/>
      <c r="Z44" s="4"/>
      <c r="AA44" s="4" t="b">
        <f>AND(OR('Global Filters'!$B$2="",EXACT(TRIM(C44),TRIM('Global Filters'!$B$2))),OR('Global Filters'!$B$3="",EXACT(TRIM(D44),TRIM('Global Filters'!$B$3))),OR('Global Filters'!$B$4="",EXACT(TRIM(L44),TRIM('Global Filters'!$B$4))),OR('Global Filters'!$B$5="",EXACT(TRIM(P44),TRIM('Global Filters'!$B$5))),OR('Global Filters'!$B$6="",E44&gt;= 'Global Filters'!$B$6),OR('Global Filters'!$B$7="",F44&lt;= 'Global Filters'!$B$7))</f>
        <v>1</v>
      </c>
      <c r="AB44" s="4">
        <f t="shared" si="1"/>
        <v>1</v>
      </c>
    </row>
    <row r="45" ht="15.75" customHeight="1">
      <c r="A45" s="4" t="s">
        <v>169</v>
      </c>
      <c r="B45" s="4" t="s">
        <v>170</v>
      </c>
      <c r="C45" s="4" t="s">
        <v>101</v>
      </c>
      <c r="D45" s="9" t="s">
        <v>92</v>
      </c>
      <c r="E45" s="7">
        <v>45264.0</v>
      </c>
      <c r="F45" s="7">
        <v>45350.0</v>
      </c>
      <c r="G45" s="7">
        <v>45350.0</v>
      </c>
      <c r="H45" s="4">
        <v>8.0</v>
      </c>
      <c r="I45" s="4">
        <v>250000.0</v>
      </c>
      <c r="J45" s="4">
        <v>184538.0</v>
      </c>
      <c r="K45" s="4">
        <v>66.0</v>
      </c>
      <c r="L45" s="4" t="s">
        <v>98</v>
      </c>
      <c r="M45" s="4">
        <v>100000.0</v>
      </c>
      <c r="N45" s="4">
        <v>112781.0</v>
      </c>
      <c r="O45" s="4">
        <v>100.0</v>
      </c>
      <c r="P45" s="4" t="s">
        <v>69</v>
      </c>
      <c r="Q45" s="4">
        <v>86.0</v>
      </c>
      <c r="R45" s="4">
        <v>86.0</v>
      </c>
      <c r="S45" s="4">
        <v>0.0</v>
      </c>
      <c r="T45" s="4">
        <v>65462.0</v>
      </c>
      <c r="U45" s="4">
        <v>26.1848</v>
      </c>
      <c r="V45" s="4">
        <v>1.0</v>
      </c>
      <c r="W45" s="4">
        <v>12781.0</v>
      </c>
      <c r="X45" s="4">
        <v>1.0</v>
      </c>
      <c r="Y45" s="4"/>
      <c r="Z45" s="4"/>
      <c r="AA45" s="4" t="b">
        <f>AND(OR('Global Filters'!$B$2="",EXACT(TRIM(C45),TRIM('Global Filters'!$B$2))),OR('Global Filters'!$B$3="",EXACT(TRIM(D45),TRIM('Global Filters'!$B$3))),OR('Global Filters'!$B$4="",EXACT(TRIM(L45),TRIM('Global Filters'!$B$4))),OR('Global Filters'!$B$5="",EXACT(TRIM(P45),TRIM('Global Filters'!$B$5))),OR('Global Filters'!$B$6="",E45&gt;= 'Global Filters'!$B$6),OR('Global Filters'!$B$7="",F45&lt;= 'Global Filters'!$B$7))</f>
        <v>1</v>
      </c>
      <c r="AB45" s="4">
        <f t="shared" si="1"/>
        <v>1</v>
      </c>
    </row>
    <row r="46" ht="15.75" customHeight="1">
      <c r="A46" s="4" t="s">
        <v>171</v>
      </c>
      <c r="B46" s="4" t="s">
        <v>172</v>
      </c>
      <c r="C46" s="4" t="s">
        <v>85</v>
      </c>
      <c r="D46" s="6" t="s">
        <v>81</v>
      </c>
      <c r="E46" s="7">
        <v>45057.0</v>
      </c>
      <c r="F46" s="7">
        <v>45137.0</v>
      </c>
      <c r="G46" s="4"/>
      <c r="H46" s="4">
        <v>9.0</v>
      </c>
      <c r="I46" s="4">
        <v>100000.0</v>
      </c>
      <c r="J46" s="4">
        <v>39659.0</v>
      </c>
      <c r="K46" s="4">
        <v>73.0</v>
      </c>
      <c r="L46" s="4" t="s">
        <v>74</v>
      </c>
      <c r="M46" s="4">
        <v>5000000.0</v>
      </c>
      <c r="N46" s="4"/>
      <c r="O46" s="4">
        <v>50.0</v>
      </c>
      <c r="P46" s="4" t="s">
        <v>69</v>
      </c>
      <c r="Q46" s="4">
        <v>80.0</v>
      </c>
      <c r="R46" s="4"/>
      <c r="S46" s="4"/>
      <c r="T46" s="4">
        <v>60341.0</v>
      </c>
      <c r="U46" s="4">
        <v>60.341</v>
      </c>
      <c r="V46" s="4">
        <v>0.0</v>
      </c>
      <c r="W46" s="4"/>
      <c r="X46" s="4">
        <v>1.0</v>
      </c>
      <c r="Y46" s="4"/>
      <c r="Z46" s="4"/>
      <c r="AA46" s="4" t="b">
        <f>AND(OR('Global Filters'!$B$2="",EXACT(TRIM(C46),TRIM('Global Filters'!$B$2))),OR('Global Filters'!$B$3="",EXACT(TRIM(D46),TRIM('Global Filters'!$B$3))),OR('Global Filters'!$B$4="",EXACT(TRIM(L46),TRIM('Global Filters'!$B$4))),OR('Global Filters'!$B$5="",EXACT(TRIM(P46),TRIM('Global Filters'!$B$5))),OR('Global Filters'!$B$6="",E46&gt;= 'Global Filters'!$B$6),OR('Global Filters'!$B$7="",F46&lt;= 'Global Filters'!$B$7))</f>
        <v>1</v>
      </c>
      <c r="AB46" s="4">
        <f t="shared" si="1"/>
        <v>1</v>
      </c>
    </row>
    <row r="47" ht="15.75" customHeight="1">
      <c r="A47" s="4" t="s">
        <v>173</v>
      </c>
      <c r="B47" s="4" t="s">
        <v>174</v>
      </c>
      <c r="C47" s="4" t="s">
        <v>88</v>
      </c>
      <c r="D47" s="6" t="s">
        <v>67</v>
      </c>
      <c r="E47" s="7">
        <v>44950.0</v>
      </c>
      <c r="F47" s="7">
        <v>45130.0</v>
      </c>
      <c r="G47" s="4"/>
      <c r="H47" s="4">
        <v>10.0</v>
      </c>
      <c r="I47" s="4">
        <v>50000.0</v>
      </c>
      <c r="J47" s="4">
        <v>45885.0</v>
      </c>
      <c r="K47" s="4">
        <v>89.0</v>
      </c>
      <c r="L47" s="4" t="s">
        <v>98</v>
      </c>
      <c r="M47" s="4">
        <v>500000.0</v>
      </c>
      <c r="N47" s="4"/>
      <c r="O47" s="4">
        <v>80.0</v>
      </c>
      <c r="P47" s="4" t="s">
        <v>82</v>
      </c>
      <c r="Q47" s="4">
        <v>180.0</v>
      </c>
      <c r="R47" s="4"/>
      <c r="S47" s="4"/>
      <c r="T47" s="4">
        <v>4115.0</v>
      </c>
      <c r="U47" s="4">
        <v>8.23</v>
      </c>
      <c r="V47" s="4">
        <v>0.0</v>
      </c>
      <c r="W47" s="4"/>
      <c r="X47" s="4">
        <v>1.0</v>
      </c>
      <c r="Y47" s="4"/>
      <c r="Z47" s="4"/>
      <c r="AA47" s="4" t="b">
        <f>AND(OR('Global Filters'!$B$2="",EXACT(TRIM(C47),TRIM('Global Filters'!$B$2))),OR('Global Filters'!$B$3="",EXACT(TRIM(D47),TRIM('Global Filters'!$B$3))),OR('Global Filters'!$B$4="",EXACT(TRIM(L47),TRIM('Global Filters'!$B$4))),OR('Global Filters'!$B$5="",EXACT(TRIM(P47),TRIM('Global Filters'!$B$5))),OR('Global Filters'!$B$6="",E47&gt;= 'Global Filters'!$B$6),OR('Global Filters'!$B$7="",F47&lt;= 'Global Filters'!$B$7))</f>
        <v>1</v>
      </c>
      <c r="AB47" s="4">
        <f t="shared" si="1"/>
        <v>1</v>
      </c>
    </row>
    <row r="48" ht="15.75" customHeight="1">
      <c r="A48" s="4" t="s">
        <v>175</v>
      </c>
      <c r="B48" s="4" t="s">
        <v>176</v>
      </c>
      <c r="C48" s="4" t="s">
        <v>85</v>
      </c>
      <c r="D48" s="6" t="s">
        <v>77</v>
      </c>
      <c r="E48" s="7">
        <v>45148.0</v>
      </c>
      <c r="F48" s="7">
        <v>45327.0</v>
      </c>
      <c r="G48" s="4"/>
      <c r="H48" s="4">
        <v>15.0</v>
      </c>
      <c r="I48" s="4">
        <v>500000.0</v>
      </c>
      <c r="J48" s="4">
        <v>519748.0</v>
      </c>
      <c r="K48" s="4">
        <v>71.0</v>
      </c>
      <c r="L48" s="4" t="s">
        <v>98</v>
      </c>
      <c r="M48" s="4">
        <v>500000.0</v>
      </c>
      <c r="N48" s="4"/>
      <c r="O48" s="4">
        <v>10.0</v>
      </c>
      <c r="P48" s="4" t="s">
        <v>78</v>
      </c>
      <c r="Q48" s="4">
        <v>179.0</v>
      </c>
      <c r="R48" s="4"/>
      <c r="S48" s="4"/>
      <c r="T48" s="4">
        <v>-19748.0</v>
      </c>
      <c r="U48" s="4">
        <v>-3.9496</v>
      </c>
      <c r="V48" s="4">
        <v>0.0</v>
      </c>
      <c r="W48" s="4"/>
      <c r="X48" s="4">
        <v>1.0</v>
      </c>
      <c r="Y48" s="4"/>
      <c r="Z48" s="4"/>
      <c r="AA48" s="4" t="b">
        <f>AND(OR('Global Filters'!$B$2="",EXACT(TRIM(C48),TRIM('Global Filters'!$B$2))),OR('Global Filters'!$B$3="",EXACT(TRIM(D48),TRIM('Global Filters'!$B$3))),OR('Global Filters'!$B$4="",EXACT(TRIM(L48),TRIM('Global Filters'!$B$4))),OR('Global Filters'!$B$5="",EXACT(TRIM(P48),TRIM('Global Filters'!$B$5))),OR('Global Filters'!$B$6="",E48&gt;= 'Global Filters'!$B$6),OR('Global Filters'!$B$7="",F48&lt;= 'Global Filters'!$B$7))</f>
        <v>1</v>
      </c>
      <c r="AB48" s="4">
        <f t="shared" si="1"/>
        <v>1</v>
      </c>
    </row>
    <row r="49" ht="15.75" customHeight="1">
      <c r="A49" s="4" t="s">
        <v>177</v>
      </c>
      <c r="B49" s="4" t="s">
        <v>178</v>
      </c>
      <c r="C49" s="4" t="s">
        <v>88</v>
      </c>
      <c r="D49" s="6" t="s">
        <v>77</v>
      </c>
      <c r="E49" s="7">
        <v>45237.0</v>
      </c>
      <c r="F49" s="7">
        <v>45349.0</v>
      </c>
      <c r="G49" s="4"/>
      <c r="H49" s="4">
        <v>9.0</v>
      </c>
      <c r="I49" s="4">
        <v>1000000.0</v>
      </c>
      <c r="J49" s="4">
        <v>1005112.0</v>
      </c>
      <c r="K49" s="4">
        <v>98.0</v>
      </c>
      <c r="L49" s="4" t="s">
        <v>74</v>
      </c>
      <c r="M49" s="4">
        <v>500000.0</v>
      </c>
      <c r="N49" s="4"/>
      <c r="O49" s="4">
        <v>10.0</v>
      </c>
      <c r="P49" s="4" t="s">
        <v>78</v>
      </c>
      <c r="Q49" s="4">
        <v>112.0</v>
      </c>
      <c r="R49" s="4"/>
      <c r="S49" s="4"/>
      <c r="T49" s="4">
        <v>-5112.0</v>
      </c>
      <c r="U49" s="4">
        <v>-0.5112</v>
      </c>
      <c r="V49" s="4">
        <v>0.0</v>
      </c>
      <c r="W49" s="4"/>
      <c r="X49" s="4">
        <v>1.0</v>
      </c>
      <c r="Y49" s="4"/>
      <c r="Z49" s="4"/>
      <c r="AA49" s="4" t="b">
        <f>AND(OR('Global Filters'!$B$2="",EXACT(TRIM(C49),TRIM('Global Filters'!$B$2))),OR('Global Filters'!$B$3="",EXACT(TRIM(D49),TRIM('Global Filters'!$B$3))),OR('Global Filters'!$B$4="",EXACT(TRIM(L49),TRIM('Global Filters'!$B$4))),OR('Global Filters'!$B$5="",EXACT(TRIM(P49),TRIM('Global Filters'!$B$5))),OR('Global Filters'!$B$6="",E49&gt;= 'Global Filters'!$B$6),OR('Global Filters'!$B$7="",F49&lt;= 'Global Filters'!$B$7))</f>
        <v>1</v>
      </c>
      <c r="AB49" s="4">
        <f t="shared" si="1"/>
        <v>1</v>
      </c>
    </row>
    <row r="50" ht="15.75" customHeight="1">
      <c r="A50" s="4" t="s">
        <v>179</v>
      </c>
      <c r="B50" s="4" t="s">
        <v>180</v>
      </c>
      <c r="C50" s="4" t="s">
        <v>101</v>
      </c>
      <c r="D50" s="9" t="s">
        <v>92</v>
      </c>
      <c r="E50" s="7">
        <v>45158.0</v>
      </c>
      <c r="F50" s="7">
        <v>45222.0</v>
      </c>
      <c r="G50" s="7">
        <v>45226.0</v>
      </c>
      <c r="H50" s="4">
        <v>14.0</v>
      </c>
      <c r="I50" s="4">
        <v>1000000.0</v>
      </c>
      <c r="J50" s="4">
        <v>539130.0</v>
      </c>
      <c r="K50" s="4">
        <v>95.0</v>
      </c>
      <c r="L50" s="4" t="s">
        <v>68</v>
      </c>
      <c r="M50" s="4">
        <v>1000000.0</v>
      </c>
      <c r="N50" s="4">
        <v>998312.0</v>
      </c>
      <c r="O50" s="4">
        <v>100.0</v>
      </c>
      <c r="P50" s="4" t="s">
        <v>89</v>
      </c>
      <c r="Q50" s="4">
        <v>64.0</v>
      </c>
      <c r="R50" s="4">
        <v>68.0</v>
      </c>
      <c r="S50" s="4">
        <v>4.0</v>
      </c>
      <c r="T50" s="4">
        <v>460870.0</v>
      </c>
      <c r="U50" s="4">
        <v>46.087</v>
      </c>
      <c r="V50" s="4">
        <v>0.0</v>
      </c>
      <c r="W50" s="4">
        <v>-1688.0</v>
      </c>
      <c r="X50" s="4">
        <v>1.0</v>
      </c>
      <c r="Y50" s="4"/>
      <c r="Z50" s="4"/>
      <c r="AA50" s="4" t="b">
        <f>AND(OR('Global Filters'!$B$2="",EXACT(TRIM(C50),TRIM('Global Filters'!$B$2))),OR('Global Filters'!$B$3="",EXACT(TRIM(D50),TRIM('Global Filters'!$B$3))),OR('Global Filters'!$B$4="",EXACT(TRIM(L50),TRIM('Global Filters'!$B$4))),OR('Global Filters'!$B$5="",EXACT(TRIM(P50),TRIM('Global Filters'!$B$5))),OR('Global Filters'!$B$6="",E50&gt;= 'Global Filters'!$B$6),OR('Global Filters'!$B$7="",F50&lt;= 'Global Filters'!$B$7))</f>
        <v>1</v>
      </c>
      <c r="AB50" s="4">
        <f t="shared" si="1"/>
        <v>1</v>
      </c>
    </row>
    <row r="51" ht="15.75" customHeight="1">
      <c r="A51" s="4" t="s">
        <v>181</v>
      </c>
      <c r="B51" s="4" t="s">
        <v>182</v>
      </c>
      <c r="C51" s="4" t="s">
        <v>66</v>
      </c>
      <c r="D51" s="6" t="s">
        <v>81</v>
      </c>
      <c r="E51" s="7">
        <v>45246.0</v>
      </c>
      <c r="F51" s="7">
        <v>45350.0</v>
      </c>
      <c r="G51" s="4"/>
      <c r="H51" s="4">
        <v>5.0</v>
      </c>
      <c r="I51" s="4">
        <v>250000.0</v>
      </c>
      <c r="J51" s="4">
        <v>259238.0</v>
      </c>
      <c r="K51" s="4">
        <v>71.0</v>
      </c>
      <c r="L51" s="4" t="s">
        <v>95</v>
      </c>
      <c r="M51" s="4">
        <v>1000000.0</v>
      </c>
      <c r="N51" s="4"/>
      <c r="O51" s="4">
        <v>50.0</v>
      </c>
      <c r="P51" s="4" t="s">
        <v>124</v>
      </c>
      <c r="Q51" s="4">
        <v>104.0</v>
      </c>
      <c r="R51" s="4"/>
      <c r="S51" s="4"/>
      <c r="T51" s="4">
        <v>-9238.0</v>
      </c>
      <c r="U51" s="4">
        <v>-3.6952</v>
      </c>
      <c r="V51" s="4">
        <v>0.0</v>
      </c>
      <c r="W51" s="4"/>
      <c r="X51" s="4">
        <v>1.0</v>
      </c>
      <c r="Y51" s="4"/>
      <c r="Z51" s="4"/>
      <c r="AA51" s="4" t="b">
        <f>AND(OR('Global Filters'!$B$2="",EXACT(TRIM(C51),TRIM('Global Filters'!$B$2))),OR('Global Filters'!$B$3="",EXACT(TRIM(D51),TRIM('Global Filters'!$B$3))),OR('Global Filters'!$B$4="",EXACT(TRIM(L51),TRIM('Global Filters'!$B$4))),OR('Global Filters'!$B$5="",EXACT(TRIM(P51),TRIM('Global Filters'!$B$5))),OR('Global Filters'!$B$6="",E51&gt;= 'Global Filters'!$B$6),OR('Global Filters'!$B$7="",F51&lt;= 'Global Filters'!$B$7))</f>
        <v>1</v>
      </c>
      <c r="AB51" s="4">
        <f t="shared" si="1"/>
        <v>1</v>
      </c>
    </row>
    <row r="52" ht="15.75" customHeight="1">
      <c r="A52" s="4" t="s">
        <v>183</v>
      </c>
      <c r="B52" s="4" t="s">
        <v>184</v>
      </c>
      <c r="C52" s="4" t="s">
        <v>72</v>
      </c>
      <c r="D52" s="6" t="s">
        <v>67</v>
      </c>
      <c r="E52" s="7">
        <v>45219.0</v>
      </c>
      <c r="F52" s="7">
        <v>45355.0</v>
      </c>
      <c r="G52" s="4"/>
      <c r="H52" s="4">
        <v>9.0</v>
      </c>
      <c r="I52" s="4">
        <v>1000000.0</v>
      </c>
      <c r="J52" s="4">
        <v>528742.0</v>
      </c>
      <c r="K52" s="4">
        <v>60.0</v>
      </c>
      <c r="L52" s="4" t="s">
        <v>74</v>
      </c>
      <c r="M52" s="4">
        <v>100000.0</v>
      </c>
      <c r="N52" s="4"/>
      <c r="O52" s="4">
        <v>80.0</v>
      </c>
      <c r="P52" s="4" t="s">
        <v>78</v>
      </c>
      <c r="Q52" s="4">
        <v>136.0</v>
      </c>
      <c r="R52" s="4"/>
      <c r="S52" s="4"/>
      <c r="T52" s="4">
        <v>471258.0</v>
      </c>
      <c r="U52" s="4">
        <v>47.1258</v>
      </c>
      <c r="V52" s="4">
        <v>0.0</v>
      </c>
      <c r="W52" s="4"/>
      <c r="X52" s="4">
        <v>1.0</v>
      </c>
      <c r="Y52" s="4"/>
      <c r="Z52" s="4"/>
      <c r="AA52" s="4" t="b">
        <f>AND(OR('Global Filters'!$B$2="",EXACT(TRIM(C52),TRIM('Global Filters'!$B$2))),OR('Global Filters'!$B$3="",EXACT(TRIM(D52),TRIM('Global Filters'!$B$3))),OR('Global Filters'!$B$4="",EXACT(TRIM(L52),TRIM('Global Filters'!$B$4))),OR('Global Filters'!$B$5="",EXACT(TRIM(P52),TRIM('Global Filters'!$B$5))),OR('Global Filters'!$B$6="",E52&gt;= 'Global Filters'!$B$6),OR('Global Filters'!$B$7="",F52&lt;= 'Global Filters'!$B$7))</f>
        <v>1</v>
      </c>
      <c r="AB52" s="4">
        <f t="shared" si="1"/>
        <v>1</v>
      </c>
    </row>
    <row r="53" ht="15.75" customHeight="1">
      <c r="A53" s="4" t="s">
        <v>185</v>
      </c>
      <c r="B53" s="4" t="s">
        <v>186</v>
      </c>
      <c r="C53" s="4" t="s">
        <v>72</v>
      </c>
      <c r="D53" s="9" t="s">
        <v>92</v>
      </c>
      <c r="E53" s="7">
        <v>45270.0</v>
      </c>
      <c r="F53" s="7">
        <v>45314.0</v>
      </c>
      <c r="G53" s="7">
        <v>45311.0</v>
      </c>
      <c r="H53" s="4">
        <v>5.0</v>
      </c>
      <c r="I53" s="4">
        <v>250000.0</v>
      </c>
      <c r="J53" s="4">
        <v>211678.0</v>
      </c>
      <c r="K53" s="4">
        <v>63.0</v>
      </c>
      <c r="L53" s="4" t="s">
        <v>95</v>
      </c>
      <c r="M53" s="4">
        <v>1000000.0</v>
      </c>
      <c r="N53" s="4">
        <v>642800.0</v>
      </c>
      <c r="O53" s="4">
        <v>100.0</v>
      </c>
      <c r="P53" s="4" t="s">
        <v>69</v>
      </c>
      <c r="Q53" s="4">
        <v>44.0</v>
      </c>
      <c r="R53" s="4">
        <v>41.0</v>
      </c>
      <c r="S53" s="4">
        <v>-3.0</v>
      </c>
      <c r="T53" s="4">
        <v>38322.0</v>
      </c>
      <c r="U53" s="4">
        <v>15.3288</v>
      </c>
      <c r="V53" s="4">
        <v>1.0</v>
      </c>
      <c r="W53" s="4">
        <v>-357200.0</v>
      </c>
      <c r="X53" s="4">
        <v>1.0</v>
      </c>
      <c r="Y53" s="4"/>
      <c r="Z53" s="4"/>
      <c r="AA53" s="4" t="b">
        <f>AND(OR('Global Filters'!$B$2="",EXACT(TRIM(C53),TRIM('Global Filters'!$B$2))),OR('Global Filters'!$B$3="",EXACT(TRIM(D53),TRIM('Global Filters'!$B$3))),OR('Global Filters'!$B$4="",EXACT(TRIM(L53),TRIM('Global Filters'!$B$4))),OR('Global Filters'!$B$5="",EXACT(TRIM(P53),TRIM('Global Filters'!$B$5))),OR('Global Filters'!$B$6="",E53&gt;= 'Global Filters'!$B$6),OR('Global Filters'!$B$7="",F53&lt;= 'Global Filters'!$B$7))</f>
        <v>1</v>
      </c>
      <c r="AB53" s="4">
        <f t="shared" si="1"/>
        <v>1</v>
      </c>
    </row>
    <row r="54" ht="15.75" customHeight="1">
      <c r="A54" s="4" t="s">
        <v>187</v>
      </c>
      <c r="B54" s="4" t="s">
        <v>188</v>
      </c>
      <c r="C54" s="4" t="s">
        <v>66</v>
      </c>
      <c r="D54" s="6" t="s">
        <v>77</v>
      </c>
      <c r="E54" s="7">
        <v>44979.0</v>
      </c>
      <c r="F54" s="7">
        <v>45152.0</v>
      </c>
      <c r="G54" s="4"/>
      <c r="H54" s="4">
        <v>11.0</v>
      </c>
      <c r="I54" s="4">
        <v>100000.0</v>
      </c>
      <c r="J54" s="4">
        <v>89393.0</v>
      </c>
      <c r="K54" s="4">
        <v>84.0</v>
      </c>
      <c r="L54" s="4" t="s">
        <v>68</v>
      </c>
      <c r="M54" s="4">
        <v>500000.0</v>
      </c>
      <c r="N54" s="4"/>
      <c r="O54" s="4">
        <v>10.0</v>
      </c>
      <c r="P54" s="4" t="s">
        <v>82</v>
      </c>
      <c r="Q54" s="4">
        <v>173.0</v>
      </c>
      <c r="R54" s="4"/>
      <c r="S54" s="4"/>
      <c r="T54" s="4">
        <v>10607.0</v>
      </c>
      <c r="U54" s="4">
        <v>10.607</v>
      </c>
      <c r="V54" s="4">
        <v>0.0</v>
      </c>
      <c r="W54" s="4"/>
      <c r="X54" s="4">
        <v>1.0</v>
      </c>
      <c r="Y54" s="4"/>
      <c r="Z54" s="4"/>
      <c r="AA54" s="4" t="b">
        <f>AND(OR('Global Filters'!$B$2="",EXACT(TRIM(C54),TRIM('Global Filters'!$B$2))),OR('Global Filters'!$B$3="",EXACT(TRIM(D54),TRIM('Global Filters'!$B$3))),OR('Global Filters'!$B$4="",EXACT(TRIM(L54),TRIM('Global Filters'!$B$4))),OR('Global Filters'!$B$5="",EXACT(TRIM(P54),TRIM('Global Filters'!$B$5))),OR('Global Filters'!$B$6="",E54&gt;= 'Global Filters'!$B$6),OR('Global Filters'!$B$7="",F54&lt;= 'Global Filters'!$B$7))</f>
        <v>1</v>
      </c>
      <c r="AB54" s="4">
        <f t="shared" si="1"/>
        <v>1</v>
      </c>
    </row>
    <row r="55" ht="15.75" customHeight="1">
      <c r="A55" s="4" t="s">
        <v>189</v>
      </c>
      <c r="B55" s="4" t="s">
        <v>190</v>
      </c>
      <c r="C55" s="4" t="s">
        <v>66</v>
      </c>
      <c r="D55" s="6" t="s">
        <v>67</v>
      </c>
      <c r="E55" s="7">
        <v>45125.0</v>
      </c>
      <c r="F55" s="7">
        <v>45261.0</v>
      </c>
      <c r="G55" s="4"/>
      <c r="H55" s="4">
        <v>3.0</v>
      </c>
      <c r="I55" s="4">
        <v>250000.0</v>
      </c>
      <c r="J55" s="4">
        <v>268166.0</v>
      </c>
      <c r="K55" s="4">
        <v>60.0</v>
      </c>
      <c r="L55" s="4" t="s">
        <v>98</v>
      </c>
      <c r="M55" s="4">
        <v>1000000.0</v>
      </c>
      <c r="N55" s="4"/>
      <c r="O55" s="4">
        <v>80.0</v>
      </c>
      <c r="P55" s="4" t="s">
        <v>82</v>
      </c>
      <c r="Q55" s="4">
        <v>136.0</v>
      </c>
      <c r="R55" s="4"/>
      <c r="S55" s="4"/>
      <c r="T55" s="4">
        <v>-18166.0</v>
      </c>
      <c r="U55" s="4">
        <v>-7.266400000000001</v>
      </c>
      <c r="V55" s="4">
        <v>0.0</v>
      </c>
      <c r="W55" s="4"/>
      <c r="X55" s="4">
        <v>1.0</v>
      </c>
      <c r="Y55" s="4"/>
      <c r="Z55" s="4"/>
      <c r="AA55" s="4" t="b">
        <f>AND(OR('Global Filters'!$B$2="",EXACT(TRIM(C55),TRIM('Global Filters'!$B$2))),OR('Global Filters'!$B$3="",EXACT(TRIM(D55),TRIM('Global Filters'!$B$3))),OR('Global Filters'!$B$4="",EXACT(TRIM(L55),TRIM('Global Filters'!$B$4))),OR('Global Filters'!$B$5="",EXACT(TRIM(P55),TRIM('Global Filters'!$B$5))),OR('Global Filters'!$B$6="",E55&gt;= 'Global Filters'!$B$6),OR('Global Filters'!$B$7="",F55&lt;= 'Global Filters'!$B$7))</f>
        <v>1</v>
      </c>
      <c r="AB55" s="4">
        <f t="shared" si="1"/>
        <v>1</v>
      </c>
    </row>
    <row r="56" ht="15.75" customHeight="1">
      <c r="A56" s="4" t="s">
        <v>191</v>
      </c>
      <c r="B56" s="4" t="s">
        <v>192</v>
      </c>
      <c r="C56" s="4" t="s">
        <v>88</v>
      </c>
      <c r="D56" s="8" t="s">
        <v>73</v>
      </c>
      <c r="E56" s="7">
        <v>45251.0</v>
      </c>
      <c r="F56" s="7">
        <v>45375.0</v>
      </c>
      <c r="G56" s="4"/>
      <c r="H56" s="4">
        <v>12.0</v>
      </c>
      <c r="I56" s="4">
        <v>1000000.0</v>
      </c>
      <c r="J56" s="4">
        <v>737292.0</v>
      </c>
      <c r="K56" s="4">
        <v>72.0</v>
      </c>
      <c r="L56" s="4" t="s">
        <v>74</v>
      </c>
      <c r="M56" s="4">
        <v>500000.0</v>
      </c>
      <c r="N56" s="4"/>
      <c r="O56" s="4">
        <v>25.0</v>
      </c>
      <c r="P56" s="4" t="s">
        <v>124</v>
      </c>
      <c r="Q56" s="4">
        <v>124.0</v>
      </c>
      <c r="R56" s="4"/>
      <c r="S56" s="4"/>
      <c r="T56" s="4">
        <v>262708.0</v>
      </c>
      <c r="U56" s="4">
        <v>26.2708</v>
      </c>
      <c r="V56" s="4">
        <v>0.0</v>
      </c>
      <c r="W56" s="4"/>
      <c r="X56" s="4">
        <v>1.0</v>
      </c>
      <c r="Y56" s="4"/>
      <c r="Z56" s="4"/>
      <c r="AA56" s="4" t="b">
        <f>AND(OR('Global Filters'!$B$2="",EXACT(TRIM(C56),TRIM('Global Filters'!$B$2))),OR('Global Filters'!$B$3="",EXACT(TRIM(D56),TRIM('Global Filters'!$B$3))),OR('Global Filters'!$B$4="",EXACT(TRIM(L56),TRIM('Global Filters'!$B$4))),OR('Global Filters'!$B$5="",EXACT(TRIM(P56),TRIM('Global Filters'!$B$5))),OR('Global Filters'!$B$6="",E56&gt;= 'Global Filters'!$B$6),OR('Global Filters'!$B$7="",F56&lt;= 'Global Filters'!$B$7))</f>
        <v>1</v>
      </c>
      <c r="AB56" s="4">
        <f t="shared" si="1"/>
        <v>1</v>
      </c>
    </row>
    <row r="57" ht="15.75" customHeight="1">
      <c r="A57" s="4" t="s">
        <v>193</v>
      </c>
      <c r="B57" s="4" t="s">
        <v>194</v>
      </c>
      <c r="C57" s="4" t="s">
        <v>101</v>
      </c>
      <c r="D57" s="9" t="s">
        <v>92</v>
      </c>
      <c r="E57" s="7">
        <v>45022.0</v>
      </c>
      <c r="F57" s="7">
        <v>45096.0</v>
      </c>
      <c r="G57" s="7">
        <v>45108.0</v>
      </c>
      <c r="H57" s="4">
        <v>7.0</v>
      </c>
      <c r="I57" s="4">
        <v>500000.0</v>
      </c>
      <c r="J57" s="4">
        <v>166253.0</v>
      </c>
      <c r="K57" s="4">
        <v>95.0</v>
      </c>
      <c r="L57" s="4" t="s">
        <v>95</v>
      </c>
      <c r="M57" s="4">
        <v>1000000.0</v>
      </c>
      <c r="N57" s="4">
        <v>591046.0</v>
      </c>
      <c r="O57" s="4">
        <v>100.0</v>
      </c>
      <c r="P57" s="4" t="s">
        <v>69</v>
      </c>
      <c r="Q57" s="4">
        <v>74.0</v>
      </c>
      <c r="R57" s="4">
        <v>86.0</v>
      </c>
      <c r="S57" s="4">
        <v>12.0</v>
      </c>
      <c r="T57" s="4">
        <v>333747.0</v>
      </c>
      <c r="U57" s="4">
        <v>66.74940000000001</v>
      </c>
      <c r="V57" s="4">
        <v>0.0</v>
      </c>
      <c r="W57" s="4">
        <v>-408954.0</v>
      </c>
      <c r="X57" s="4">
        <v>1.0</v>
      </c>
      <c r="Y57" s="4"/>
      <c r="Z57" s="4"/>
      <c r="AA57" s="4" t="b">
        <f>AND(OR('Global Filters'!$B$2="",EXACT(TRIM(C57),TRIM('Global Filters'!$B$2))),OR('Global Filters'!$B$3="",EXACT(TRIM(D57),TRIM('Global Filters'!$B$3))),OR('Global Filters'!$B$4="",EXACT(TRIM(L57),TRIM('Global Filters'!$B$4))),OR('Global Filters'!$B$5="",EXACT(TRIM(P57),TRIM('Global Filters'!$B$5))),OR('Global Filters'!$B$6="",E57&gt;= 'Global Filters'!$B$6),OR('Global Filters'!$B$7="",F57&lt;= 'Global Filters'!$B$7))</f>
        <v>1</v>
      </c>
      <c r="AB57" s="4">
        <f t="shared" si="1"/>
        <v>1</v>
      </c>
    </row>
    <row r="58" ht="15.75" customHeight="1">
      <c r="A58" s="4" t="s">
        <v>195</v>
      </c>
      <c r="B58" s="4" t="s">
        <v>196</v>
      </c>
      <c r="C58" s="4" t="s">
        <v>66</v>
      </c>
      <c r="D58" s="6" t="s">
        <v>67</v>
      </c>
      <c r="E58" s="7">
        <v>45165.0</v>
      </c>
      <c r="F58" s="7">
        <v>45234.0</v>
      </c>
      <c r="G58" s="4"/>
      <c r="H58" s="4">
        <v>8.0</v>
      </c>
      <c r="I58" s="4">
        <v>50000.0</v>
      </c>
      <c r="J58" s="4">
        <v>21148.0</v>
      </c>
      <c r="K58" s="4">
        <v>98.0</v>
      </c>
      <c r="L58" s="4" t="s">
        <v>98</v>
      </c>
      <c r="M58" s="4">
        <v>100000.0</v>
      </c>
      <c r="N58" s="4"/>
      <c r="O58" s="4">
        <v>80.0</v>
      </c>
      <c r="P58" s="4" t="s">
        <v>89</v>
      </c>
      <c r="Q58" s="4">
        <v>69.0</v>
      </c>
      <c r="R58" s="4"/>
      <c r="S58" s="4"/>
      <c r="T58" s="4">
        <v>28852.0</v>
      </c>
      <c r="U58" s="4">
        <v>57.704</v>
      </c>
      <c r="V58" s="4">
        <v>0.0</v>
      </c>
      <c r="W58" s="4"/>
      <c r="X58" s="4">
        <v>1.0</v>
      </c>
      <c r="Y58" s="4"/>
      <c r="Z58" s="4"/>
      <c r="AA58" s="4" t="b">
        <f>AND(OR('Global Filters'!$B$2="",EXACT(TRIM(C58),TRIM('Global Filters'!$B$2))),OR('Global Filters'!$B$3="",EXACT(TRIM(D58),TRIM('Global Filters'!$B$3))),OR('Global Filters'!$B$4="",EXACT(TRIM(L58),TRIM('Global Filters'!$B$4))),OR('Global Filters'!$B$5="",EXACT(TRIM(P58),TRIM('Global Filters'!$B$5))),OR('Global Filters'!$B$6="",E58&gt;= 'Global Filters'!$B$6),OR('Global Filters'!$B$7="",F58&lt;= 'Global Filters'!$B$7))</f>
        <v>1</v>
      </c>
      <c r="AB58" s="4">
        <f t="shared" si="1"/>
        <v>1</v>
      </c>
    </row>
    <row r="59" ht="15.75" customHeight="1">
      <c r="A59" s="4" t="s">
        <v>197</v>
      </c>
      <c r="B59" s="4" t="s">
        <v>198</v>
      </c>
      <c r="C59" s="4" t="s">
        <v>66</v>
      </c>
      <c r="D59" s="6" t="s">
        <v>67</v>
      </c>
      <c r="E59" s="7">
        <v>45208.0</v>
      </c>
      <c r="F59" s="7">
        <v>45329.0</v>
      </c>
      <c r="G59" s="4"/>
      <c r="H59" s="4">
        <v>8.0</v>
      </c>
      <c r="I59" s="4">
        <v>50000.0</v>
      </c>
      <c r="J59" s="4">
        <v>46361.0</v>
      </c>
      <c r="K59" s="4">
        <v>93.0</v>
      </c>
      <c r="L59" s="4" t="s">
        <v>74</v>
      </c>
      <c r="M59" s="4">
        <v>500000.0</v>
      </c>
      <c r="N59" s="4"/>
      <c r="O59" s="4">
        <v>80.0</v>
      </c>
      <c r="P59" s="4" t="s">
        <v>78</v>
      </c>
      <c r="Q59" s="4">
        <v>121.0</v>
      </c>
      <c r="R59" s="4"/>
      <c r="S59" s="4"/>
      <c r="T59" s="4">
        <v>3639.0</v>
      </c>
      <c r="U59" s="4">
        <v>7.278</v>
      </c>
      <c r="V59" s="4">
        <v>0.0</v>
      </c>
      <c r="W59" s="4"/>
      <c r="X59" s="4">
        <v>1.0</v>
      </c>
      <c r="Y59" s="4"/>
      <c r="Z59" s="4"/>
      <c r="AA59" s="4" t="b">
        <f>AND(OR('Global Filters'!$B$2="",EXACT(TRIM(C59),TRIM('Global Filters'!$B$2))),OR('Global Filters'!$B$3="",EXACT(TRIM(D59),TRIM('Global Filters'!$B$3))),OR('Global Filters'!$B$4="",EXACT(TRIM(L59),TRIM('Global Filters'!$B$4))),OR('Global Filters'!$B$5="",EXACT(TRIM(P59),TRIM('Global Filters'!$B$5))),OR('Global Filters'!$B$6="",E59&gt;= 'Global Filters'!$B$6),OR('Global Filters'!$B$7="",F59&lt;= 'Global Filters'!$B$7))</f>
        <v>1</v>
      </c>
      <c r="AB59" s="4">
        <f t="shared" si="1"/>
        <v>1</v>
      </c>
    </row>
    <row r="60" ht="15.75" customHeight="1">
      <c r="A60" s="4" t="s">
        <v>199</v>
      </c>
      <c r="B60" s="4" t="s">
        <v>200</v>
      </c>
      <c r="C60" s="4" t="s">
        <v>88</v>
      </c>
      <c r="D60" s="8" t="s">
        <v>73</v>
      </c>
      <c r="E60" s="7">
        <v>45008.0</v>
      </c>
      <c r="F60" s="7">
        <v>45144.0</v>
      </c>
      <c r="G60" s="4"/>
      <c r="H60" s="4">
        <v>4.0</v>
      </c>
      <c r="I60" s="4">
        <v>1000000.0</v>
      </c>
      <c r="J60" s="4">
        <v>729628.0</v>
      </c>
      <c r="K60" s="4">
        <v>82.0</v>
      </c>
      <c r="L60" s="4" t="s">
        <v>98</v>
      </c>
      <c r="M60" s="4">
        <v>500000.0</v>
      </c>
      <c r="N60" s="4"/>
      <c r="O60" s="4">
        <v>25.0</v>
      </c>
      <c r="P60" s="4" t="s">
        <v>78</v>
      </c>
      <c r="Q60" s="4">
        <v>136.0</v>
      </c>
      <c r="R60" s="4"/>
      <c r="S60" s="4"/>
      <c r="T60" s="4">
        <v>270372.0</v>
      </c>
      <c r="U60" s="4">
        <v>27.0372</v>
      </c>
      <c r="V60" s="4">
        <v>0.0</v>
      </c>
      <c r="W60" s="4"/>
      <c r="X60" s="4">
        <v>1.0</v>
      </c>
      <c r="Y60" s="4"/>
      <c r="Z60" s="4"/>
      <c r="AA60" s="4" t="b">
        <f>AND(OR('Global Filters'!$B$2="",EXACT(TRIM(C60),TRIM('Global Filters'!$B$2))),OR('Global Filters'!$B$3="",EXACT(TRIM(D60),TRIM('Global Filters'!$B$3))),OR('Global Filters'!$B$4="",EXACT(TRIM(L60),TRIM('Global Filters'!$B$4))),OR('Global Filters'!$B$5="",EXACT(TRIM(P60),TRIM('Global Filters'!$B$5))),OR('Global Filters'!$B$6="",E60&gt;= 'Global Filters'!$B$6),OR('Global Filters'!$B$7="",F60&lt;= 'Global Filters'!$B$7))</f>
        <v>1</v>
      </c>
      <c r="AB60" s="4">
        <f t="shared" si="1"/>
        <v>1</v>
      </c>
    </row>
    <row r="61" ht="15.75" customHeight="1">
      <c r="A61" s="4" t="s">
        <v>201</v>
      </c>
      <c r="B61" s="4" t="s">
        <v>202</v>
      </c>
      <c r="C61" s="4" t="s">
        <v>88</v>
      </c>
      <c r="D61" s="6" t="s">
        <v>67</v>
      </c>
      <c r="E61" s="7">
        <v>45077.0</v>
      </c>
      <c r="F61" s="7">
        <v>45162.0</v>
      </c>
      <c r="G61" s="4"/>
      <c r="H61" s="4">
        <v>11.0</v>
      </c>
      <c r="I61" s="4">
        <v>1000000.0</v>
      </c>
      <c r="J61" s="4">
        <v>724399.0</v>
      </c>
      <c r="K61" s="4">
        <v>60.0</v>
      </c>
      <c r="L61" s="4" t="s">
        <v>68</v>
      </c>
      <c r="M61" s="4">
        <v>100000.0</v>
      </c>
      <c r="N61" s="4"/>
      <c r="O61" s="4">
        <v>80.0</v>
      </c>
      <c r="P61" s="4" t="s">
        <v>89</v>
      </c>
      <c r="Q61" s="4">
        <v>85.0</v>
      </c>
      <c r="R61" s="4"/>
      <c r="S61" s="4"/>
      <c r="T61" s="4">
        <v>275601.0</v>
      </c>
      <c r="U61" s="4">
        <v>27.5601</v>
      </c>
      <c r="V61" s="4">
        <v>0.0</v>
      </c>
      <c r="W61" s="4"/>
      <c r="X61" s="4">
        <v>1.0</v>
      </c>
      <c r="Y61" s="4"/>
      <c r="Z61" s="4"/>
      <c r="AA61" s="4" t="b">
        <f>AND(OR('Global Filters'!$B$2="",EXACT(TRIM(C61),TRIM('Global Filters'!$B$2))),OR('Global Filters'!$B$3="",EXACT(TRIM(D61),TRIM('Global Filters'!$B$3))),OR('Global Filters'!$B$4="",EXACT(TRIM(L61),TRIM('Global Filters'!$B$4))),OR('Global Filters'!$B$5="",EXACT(TRIM(P61),TRIM('Global Filters'!$B$5))),OR('Global Filters'!$B$6="",E61&gt;= 'Global Filters'!$B$6),OR('Global Filters'!$B$7="",F61&lt;= 'Global Filters'!$B$7))</f>
        <v>1</v>
      </c>
      <c r="AB61" s="4">
        <f t="shared" si="1"/>
        <v>1</v>
      </c>
    </row>
    <row r="62" ht="15.75" customHeight="1">
      <c r="A62" s="4" t="s">
        <v>203</v>
      </c>
      <c r="B62" s="4" t="s">
        <v>204</v>
      </c>
      <c r="C62" s="4" t="s">
        <v>101</v>
      </c>
      <c r="D62" s="9" t="s">
        <v>92</v>
      </c>
      <c r="E62" s="7">
        <v>45245.0</v>
      </c>
      <c r="F62" s="7">
        <v>45337.0</v>
      </c>
      <c r="G62" s="7">
        <v>45385.0</v>
      </c>
      <c r="H62" s="4">
        <v>15.0</v>
      </c>
      <c r="I62" s="4">
        <v>250000.0</v>
      </c>
      <c r="J62" s="4">
        <v>151274.0</v>
      </c>
      <c r="K62" s="4">
        <v>67.0</v>
      </c>
      <c r="L62" s="4" t="s">
        <v>95</v>
      </c>
      <c r="M62" s="4">
        <v>5000000.0</v>
      </c>
      <c r="N62" s="4">
        <v>3398066.0</v>
      </c>
      <c r="O62" s="4">
        <v>100.0</v>
      </c>
      <c r="P62" s="4" t="s">
        <v>78</v>
      </c>
      <c r="Q62" s="4">
        <v>92.0</v>
      </c>
      <c r="R62" s="4">
        <v>140.0</v>
      </c>
      <c r="S62" s="4">
        <v>48.0</v>
      </c>
      <c r="T62" s="4">
        <v>98726.0</v>
      </c>
      <c r="U62" s="4">
        <v>39.4904</v>
      </c>
      <c r="V62" s="4">
        <v>0.0</v>
      </c>
      <c r="W62" s="4">
        <v>-1601934.0</v>
      </c>
      <c r="X62" s="4">
        <v>1.0</v>
      </c>
      <c r="Y62" s="4"/>
      <c r="Z62" s="4"/>
      <c r="AA62" s="4" t="b">
        <f>AND(OR('Global Filters'!$B$2="",EXACT(TRIM(C62),TRIM('Global Filters'!$B$2))),OR('Global Filters'!$B$3="",EXACT(TRIM(D62),TRIM('Global Filters'!$B$3))),OR('Global Filters'!$B$4="",EXACT(TRIM(L62),TRIM('Global Filters'!$B$4))),OR('Global Filters'!$B$5="",EXACT(TRIM(P62),TRIM('Global Filters'!$B$5))),OR('Global Filters'!$B$6="",E62&gt;= 'Global Filters'!$B$6),OR('Global Filters'!$B$7="",F62&lt;= 'Global Filters'!$B$7))</f>
        <v>1</v>
      </c>
      <c r="AB62" s="4">
        <f t="shared" si="1"/>
        <v>1</v>
      </c>
    </row>
    <row r="63" ht="15.75" customHeight="1">
      <c r="A63" s="4" t="s">
        <v>205</v>
      </c>
      <c r="B63" s="4" t="s">
        <v>206</v>
      </c>
      <c r="C63" s="4" t="s">
        <v>101</v>
      </c>
      <c r="D63" s="6" t="s">
        <v>77</v>
      </c>
      <c r="E63" s="7">
        <v>45187.0</v>
      </c>
      <c r="F63" s="7">
        <v>45331.0</v>
      </c>
      <c r="G63" s="4"/>
      <c r="H63" s="4">
        <v>13.0</v>
      </c>
      <c r="I63" s="4">
        <v>500000.0</v>
      </c>
      <c r="J63" s="4">
        <v>167540.0</v>
      </c>
      <c r="K63" s="4">
        <v>72.0</v>
      </c>
      <c r="L63" s="4" t="s">
        <v>68</v>
      </c>
      <c r="M63" s="4">
        <v>1000000.0</v>
      </c>
      <c r="N63" s="4"/>
      <c r="O63" s="4">
        <v>10.0</v>
      </c>
      <c r="P63" s="4" t="s">
        <v>78</v>
      </c>
      <c r="Q63" s="4">
        <v>144.0</v>
      </c>
      <c r="R63" s="4"/>
      <c r="S63" s="4"/>
      <c r="T63" s="4">
        <v>332460.0</v>
      </c>
      <c r="U63" s="4">
        <v>66.49199999999999</v>
      </c>
      <c r="V63" s="4">
        <v>0.0</v>
      </c>
      <c r="W63" s="4"/>
      <c r="X63" s="4">
        <v>1.0</v>
      </c>
      <c r="Y63" s="4"/>
      <c r="Z63" s="4"/>
      <c r="AA63" s="4" t="b">
        <f>AND(OR('Global Filters'!$B$2="",EXACT(TRIM(C63),TRIM('Global Filters'!$B$2))),OR('Global Filters'!$B$3="",EXACT(TRIM(D63),TRIM('Global Filters'!$B$3))),OR('Global Filters'!$B$4="",EXACT(TRIM(L63),TRIM('Global Filters'!$B$4))),OR('Global Filters'!$B$5="",EXACT(TRIM(P63),TRIM('Global Filters'!$B$5))),OR('Global Filters'!$B$6="",E63&gt;= 'Global Filters'!$B$6),OR('Global Filters'!$B$7="",F63&lt;= 'Global Filters'!$B$7))</f>
        <v>1</v>
      </c>
      <c r="AB63" s="4">
        <f t="shared" si="1"/>
        <v>1</v>
      </c>
    </row>
    <row r="64" ht="15.75" customHeight="1">
      <c r="A64" s="4" t="s">
        <v>207</v>
      </c>
      <c r="B64" s="4" t="s">
        <v>208</v>
      </c>
      <c r="C64" s="4" t="s">
        <v>66</v>
      </c>
      <c r="D64" s="6" t="s">
        <v>77</v>
      </c>
      <c r="E64" s="7">
        <v>45202.0</v>
      </c>
      <c r="F64" s="7">
        <v>45368.0</v>
      </c>
      <c r="G64" s="4"/>
      <c r="H64" s="4">
        <v>6.0</v>
      </c>
      <c r="I64" s="4">
        <v>50000.0</v>
      </c>
      <c r="J64" s="4">
        <v>40077.0</v>
      </c>
      <c r="K64" s="4">
        <v>100.0</v>
      </c>
      <c r="L64" s="4" t="s">
        <v>98</v>
      </c>
      <c r="M64" s="4">
        <v>500000.0</v>
      </c>
      <c r="N64" s="4"/>
      <c r="O64" s="4">
        <v>10.0</v>
      </c>
      <c r="P64" s="4" t="s">
        <v>124</v>
      </c>
      <c r="Q64" s="4">
        <v>166.0</v>
      </c>
      <c r="R64" s="4"/>
      <c r="S64" s="4"/>
      <c r="T64" s="4">
        <v>9923.0</v>
      </c>
      <c r="U64" s="4">
        <v>19.846</v>
      </c>
      <c r="V64" s="4">
        <v>0.0</v>
      </c>
      <c r="W64" s="4"/>
      <c r="X64" s="4">
        <v>1.0</v>
      </c>
      <c r="Y64" s="4"/>
      <c r="Z64" s="4"/>
      <c r="AA64" s="4" t="b">
        <f>AND(OR('Global Filters'!$B$2="",EXACT(TRIM(C64),TRIM('Global Filters'!$B$2))),OR('Global Filters'!$B$3="",EXACT(TRIM(D64),TRIM('Global Filters'!$B$3))),OR('Global Filters'!$B$4="",EXACT(TRIM(L64),TRIM('Global Filters'!$B$4))),OR('Global Filters'!$B$5="",EXACT(TRIM(P64),TRIM('Global Filters'!$B$5))),OR('Global Filters'!$B$6="",E64&gt;= 'Global Filters'!$B$6),OR('Global Filters'!$B$7="",F64&lt;= 'Global Filters'!$B$7))</f>
        <v>1</v>
      </c>
      <c r="AB64" s="4">
        <f t="shared" si="1"/>
        <v>1</v>
      </c>
    </row>
    <row r="65" ht="15.75" customHeight="1">
      <c r="A65" s="4" t="s">
        <v>209</v>
      </c>
      <c r="B65" s="4" t="s">
        <v>210</v>
      </c>
      <c r="C65" s="4" t="s">
        <v>85</v>
      </c>
      <c r="D65" s="6" t="s">
        <v>77</v>
      </c>
      <c r="E65" s="7">
        <v>45286.0</v>
      </c>
      <c r="F65" s="7">
        <v>45427.0</v>
      </c>
      <c r="G65" s="4"/>
      <c r="H65" s="4">
        <v>5.0</v>
      </c>
      <c r="I65" s="4">
        <v>50000.0</v>
      </c>
      <c r="J65" s="4">
        <v>44875.0</v>
      </c>
      <c r="K65" s="4">
        <v>61.0</v>
      </c>
      <c r="L65" s="4" t="s">
        <v>95</v>
      </c>
      <c r="M65" s="4">
        <v>5000000.0</v>
      </c>
      <c r="N65" s="4"/>
      <c r="O65" s="4">
        <v>10.0</v>
      </c>
      <c r="P65" s="4" t="s">
        <v>78</v>
      </c>
      <c r="Q65" s="4">
        <v>141.0</v>
      </c>
      <c r="R65" s="4"/>
      <c r="S65" s="4"/>
      <c r="T65" s="4">
        <v>5125.0</v>
      </c>
      <c r="U65" s="4">
        <v>10.25</v>
      </c>
      <c r="V65" s="4">
        <v>0.0</v>
      </c>
      <c r="W65" s="4"/>
      <c r="X65" s="4">
        <v>1.0</v>
      </c>
      <c r="Y65" s="4"/>
      <c r="Z65" s="4"/>
      <c r="AA65" s="4" t="b">
        <f>AND(OR('Global Filters'!$B$2="",EXACT(TRIM(C65),TRIM('Global Filters'!$B$2))),OR('Global Filters'!$B$3="",EXACT(TRIM(D65),TRIM('Global Filters'!$B$3))),OR('Global Filters'!$B$4="",EXACT(TRIM(L65),TRIM('Global Filters'!$B$4))),OR('Global Filters'!$B$5="",EXACT(TRIM(P65),TRIM('Global Filters'!$B$5))),OR('Global Filters'!$B$6="",E65&gt;= 'Global Filters'!$B$6),OR('Global Filters'!$B$7="",F65&lt;= 'Global Filters'!$B$7))</f>
        <v>1</v>
      </c>
      <c r="AB65" s="4">
        <f t="shared" si="1"/>
        <v>1</v>
      </c>
    </row>
    <row r="66" ht="15.75" customHeight="1">
      <c r="A66" s="4" t="s">
        <v>211</v>
      </c>
      <c r="B66" s="4" t="s">
        <v>212</v>
      </c>
      <c r="C66" s="4" t="s">
        <v>101</v>
      </c>
      <c r="D66" s="6" t="s">
        <v>77</v>
      </c>
      <c r="E66" s="7">
        <v>44954.0</v>
      </c>
      <c r="F66" s="7">
        <v>45029.0</v>
      </c>
      <c r="G66" s="4"/>
      <c r="H66" s="4">
        <v>12.0</v>
      </c>
      <c r="I66" s="4">
        <v>250000.0</v>
      </c>
      <c r="J66" s="4">
        <v>186616.0</v>
      </c>
      <c r="K66" s="4">
        <v>74.0</v>
      </c>
      <c r="L66" s="4" t="s">
        <v>98</v>
      </c>
      <c r="M66" s="4">
        <v>1000000.0</v>
      </c>
      <c r="N66" s="4"/>
      <c r="O66" s="4">
        <v>10.0</v>
      </c>
      <c r="P66" s="4" t="s">
        <v>69</v>
      </c>
      <c r="Q66" s="4">
        <v>75.0</v>
      </c>
      <c r="R66" s="4"/>
      <c r="S66" s="4"/>
      <c r="T66" s="4">
        <v>63384.0</v>
      </c>
      <c r="U66" s="4">
        <v>25.3536</v>
      </c>
      <c r="V66" s="4">
        <v>0.0</v>
      </c>
      <c r="W66" s="4"/>
      <c r="X66" s="4">
        <v>1.0</v>
      </c>
      <c r="Y66" s="4"/>
      <c r="Z66" s="4"/>
      <c r="AA66" s="4" t="b">
        <f>AND(OR('Global Filters'!$B$2="",EXACT(TRIM(C66),TRIM('Global Filters'!$B$2))),OR('Global Filters'!$B$3="",EXACT(TRIM(D66),TRIM('Global Filters'!$B$3))),OR('Global Filters'!$B$4="",EXACT(TRIM(L66),TRIM('Global Filters'!$B$4))),OR('Global Filters'!$B$5="",EXACT(TRIM(P66),TRIM('Global Filters'!$B$5))),OR('Global Filters'!$B$6="",E66&gt;= 'Global Filters'!$B$6),OR('Global Filters'!$B$7="",F66&lt;= 'Global Filters'!$B$7))</f>
        <v>1</v>
      </c>
      <c r="AB66" s="4">
        <f t="shared" si="1"/>
        <v>1</v>
      </c>
    </row>
    <row r="67" ht="15.75" customHeight="1">
      <c r="A67" s="4" t="s">
        <v>213</v>
      </c>
      <c r="B67" s="4" t="s">
        <v>214</v>
      </c>
      <c r="C67" s="4" t="s">
        <v>85</v>
      </c>
      <c r="D67" s="9" t="s">
        <v>92</v>
      </c>
      <c r="E67" s="7">
        <v>45148.0</v>
      </c>
      <c r="F67" s="7">
        <v>45258.0</v>
      </c>
      <c r="G67" s="7">
        <v>45263.0</v>
      </c>
      <c r="H67" s="4">
        <v>13.0</v>
      </c>
      <c r="I67" s="4">
        <v>50000.0</v>
      </c>
      <c r="J67" s="4">
        <v>36393.0</v>
      </c>
      <c r="K67" s="4">
        <v>99.0</v>
      </c>
      <c r="L67" s="4" t="s">
        <v>74</v>
      </c>
      <c r="M67" s="4">
        <v>100000.0</v>
      </c>
      <c r="N67" s="4">
        <v>102917.0</v>
      </c>
      <c r="O67" s="4">
        <v>100.0</v>
      </c>
      <c r="P67" s="4" t="s">
        <v>82</v>
      </c>
      <c r="Q67" s="4">
        <v>110.0</v>
      </c>
      <c r="R67" s="4">
        <v>115.0</v>
      </c>
      <c r="S67" s="4">
        <v>5.0</v>
      </c>
      <c r="T67" s="4">
        <v>13607.0</v>
      </c>
      <c r="U67" s="4">
        <v>27.214</v>
      </c>
      <c r="V67" s="4">
        <v>0.0</v>
      </c>
      <c r="W67" s="4">
        <v>2917.0</v>
      </c>
      <c r="X67" s="4">
        <v>1.0</v>
      </c>
      <c r="Y67" s="4"/>
      <c r="Z67" s="4"/>
      <c r="AA67" s="4" t="b">
        <f>AND(OR('Global Filters'!$B$2="",EXACT(TRIM(C67),TRIM('Global Filters'!$B$2))),OR('Global Filters'!$B$3="",EXACT(TRIM(D67),TRIM('Global Filters'!$B$3))),OR('Global Filters'!$B$4="",EXACT(TRIM(L67),TRIM('Global Filters'!$B$4))),OR('Global Filters'!$B$5="",EXACT(TRIM(P67),TRIM('Global Filters'!$B$5))),OR('Global Filters'!$B$6="",E67&gt;= 'Global Filters'!$B$6),OR('Global Filters'!$B$7="",F67&lt;= 'Global Filters'!$B$7))</f>
        <v>1</v>
      </c>
      <c r="AB67" s="4">
        <f t="shared" si="1"/>
        <v>1</v>
      </c>
    </row>
    <row r="68" ht="15.75" customHeight="1">
      <c r="A68" s="4" t="s">
        <v>215</v>
      </c>
      <c r="B68" s="4" t="s">
        <v>216</v>
      </c>
      <c r="C68" s="4" t="s">
        <v>66</v>
      </c>
      <c r="D68" s="6" t="s">
        <v>77</v>
      </c>
      <c r="E68" s="7">
        <v>45184.0</v>
      </c>
      <c r="F68" s="7">
        <v>45241.0</v>
      </c>
      <c r="G68" s="4"/>
      <c r="H68" s="4">
        <v>7.0</v>
      </c>
      <c r="I68" s="4">
        <v>250000.0</v>
      </c>
      <c r="J68" s="4">
        <v>232378.0</v>
      </c>
      <c r="K68" s="4">
        <v>98.0</v>
      </c>
      <c r="L68" s="4" t="s">
        <v>98</v>
      </c>
      <c r="M68" s="4">
        <v>100000.0</v>
      </c>
      <c r="N68" s="4"/>
      <c r="O68" s="4">
        <v>10.0</v>
      </c>
      <c r="P68" s="4" t="s">
        <v>89</v>
      </c>
      <c r="Q68" s="4">
        <v>57.0</v>
      </c>
      <c r="R68" s="4"/>
      <c r="S68" s="4"/>
      <c r="T68" s="4">
        <v>17622.0</v>
      </c>
      <c r="U68" s="4">
        <v>7.0488</v>
      </c>
      <c r="V68" s="4">
        <v>0.0</v>
      </c>
      <c r="W68" s="4"/>
      <c r="X68" s="4">
        <v>1.0</v>
      </c>
      <c r="Y68" s="4"/>
      <c r="Z68" s="4"/>
      <c r="AA68" s="4" t="b">
        <f>AND(OR('Global Filters'!$B$2="",EXACT(TRIM(C68),TRIM('Global Filters'!$B$2))),OR('Global Filters'!$B$3="",EXACT(TRIM(D68),TRIM('Global Filters'!$B$3))),OR('Global Filters'!$B$4="",EXACT(TRIM(L68),TRIM('Global Filters'!$B$4))),OR('Global Filters'!$B$5="",EXACT(TRIM(P68),TRIM('Global Filters'!$B$5))),OR('Global Filters'!$B$6="",E68&gt;= 'Global Filters'!$B$6),OR('Global Filters'!$B$7="",F68&lt;= 'Global Filters'!$B$7))</f>
        <v>1</v>
      </c>
      <c r="AB68" s="4">
        <f t="shared" si="1"/>
        <v>1</v>
      </c>
    </row>
    <row r="69" ht="15.75" customHeight="1">
      <c r="A69" s="4" t="s">
        <v>217</v>
      </c>
      <c r="B69" s="4" t="s">
        <v>218</v>
      </c>
      <c r="C69" s="4" t="s">
        <v>101</v>
      </c>
      <c r="D69" s="9" t="s">
        <v>92</v>
      </c>
      <c r="E69" s="7">
        <v>45265.0</v>
      </c>
      <c r="F69" s="7">
        <v>45302.0</v>
      </c>
      <c r="G69" s="7">
        <v>45305.0</v>
      </c>
      <c r="H69" s="4">
        <v>9.0</v>
      </c>
      <c r="I69" s="4">
        <v>100000.0</v>
      </c>
      <c r="J69" s="4">
        <v>40910.0</v>
      </c>
      <c r="K69" s="4">
        <v>94.0</v>
      </c>
      <c r="L69" s="4" t="s">
        <v>74</v>
      </c>
      <c r="M69" s="4">
        <v>1000000.0</v>
      </c>
      <c r="N69" s="4">
        <v>1172093.0</v>
      </c>
      <c r="O69" s="4">
        <v>100.0</v>
      </c>
      <c r="P69" s="4" t="s">
        <v>82</v>
      </c>
      <c r="Q69" s="4">
        <v>37.0</v>
      </c>
      <c r="R69" s="4">
        <v>40.0</v>
      </c>
      <c r="S69" s="4">
        <v>3.0</v>
      </c>
      <c r="T69" s="4">
        <v>59090.0</v>
      </c>
      <c r="U69" s="4">
        <v>59.09</v>
      </c>
      <c r="V69" s="4">
        <v>0.0</v>
      </c>
      <c r="W69" s="4">
        <v>172093.0</v>
      </c>
      <c r="X69" s="4">
        <v>1.0</v>
      </c>
      <c r="Y69" s="4"/>
      <c r="Z69" s="4"/>
      <c r="AA69" s="4" t="b">
        <f>AND(OR('Global Filters'!$B$2="",EXACT(TRIM(C69),TRIM('Global Filters'!$B$2))),OR('Global Filters'!$B$3="",EXACT(TRIM(D69),TRIM('Global Filters'!$B$3))),OR('Global Filters'!$B$4="",EXACT(TRIM(L69),TRIM('Global Filters'!$B$4))),OR('Global Filters'!$B$5="",EXACT(TRIM(P69),TRIM('Global Filters'!$B$5))),OR('Global Filters'!$B$6="",E69&gt;= 'Global Filters'!$B$6),OR('Global Filters'!$B$7="",F69&lt;= 'Global Filters'!$B$7))</f>
        <v>1</v>
      </c>
      <c r="AB69" s="4">
        <f t="shared" si="1"/>
        <v>1</v>
      </c>
    </row>
    <row r="70" ht="15.75" customHeight="1">
      <c r="A70" s="4" t="s">
        <v>219</v>
      </c>
      <c r="B70" s="4" t="s">
        <v>220</v>
      </c>
      <c r="C70" s="4" t="s">
        <v>88</v>
      </c>
      <c r="D70" s="6" t="s">
        <v>67</v>
      </c>
      <c r="E70" s="7">
        <v>45210.0</v>
      </c>
      <c r="F70" s="7">
        <v>45382.0</v>
      </c>
      <c r="G70" s="4"/>
      <c r="H70" s="4">
        <v>3.0</v>
      </c>
      <c r="I70" s="4">
        <v>100000.0</v>
      </c>
      <c r="J70" s="4">
        <v>39858.0</v>
      </c>
      <c r="K70" s="4">
        <v>96.0</v>
      </c>
      <c r="L70" s="4" t="s">
        <v>68</v>
      </c>
      <c r="M70" s="4">
        <v>5000000.0</v>
      </c>
      <c r="N70" s="4"/>
      <c r="O70" s="4">
        <v>80.0</v>
      </c>
      <c r="P70" s="4" t="s">
        <v>69</v>
      </c>
      <c r="Q70" s="4">
        <v>172.0</v>
      </c>
      <c r="R70" s="4"/>
      <c r="S70" s="4"/>
      <c r="T70" s="4">
        <v>60142.0</v>
      </c>
      <c r="U70" s="4">
        <v>60.142</v>
      </c>
      <c r="V70" s="4">
        <v>0.0</v>
      </c>
      <c r="W70" s="4"/>
      <c r="X70" s="4">
        <v>1.0</v>
      </c>
      <c r="Y70" s="4"/>
      <c r="Z70" s="4"/>
      <c r="AA70" s="4" t="b">
        <f>AND(OR('Global Filters'!$B$2="",EXACT(TRIM(C70),TRIM('Global Filters'!$B$2))),OR('Global Filters'!$B$3="",EXACT(TRIM(D70),TRIM('Global Filters'!$B$3))),OR('Global Filters'!$B$4="",EXACT(TRIM(L70),TRIM('Global Filters'!$B$4))),OR('Global Filters'!$B$5="",EXACT(TRIM(P70),TRIM('Global Filters'!$B$5))),OR('Global Filters'!$B$6="",E70&gt;= 'Global Filters'!$B$6),OR('Global Filters'!$B$7="",F70&lt;= 'Global Filters'!$B$7))</f>
        <v>1</v>
      </c>
      <c r="AB70" s="4">
        <f t="shared" si="1"/>
        <v>1</v>
      </c>
    </row>
    <row r="71" ht="15.75" customHeight="1">
      <c r="A71" s="4" t="s">
        <v>221</v>
      </c>
      <c r="B71" s="4" t="s">
        <v>222</v>
      </c>
      <c r="C71" s="4" t="s">
        <v>66</v>
      </c>
      <c r="D71" s="8" t="s">
        <v>73</v>
      </c>
      <c r="E71" s="7">
        <v>45034.0</v>
      </c>
      <c r="F71" s="7">
        <v>45152.0</v>
      </c>
      <c r="G71" s="4"/>
      <c r="H71" s="4">
        <v>13.0</v>
      </c>
      <c r="I71" s="4">
        <v>100000.0</v>
      </c>
      <c r="J71" s="4">
        <v>63012.0</v>
      </c>
      <c r="K71" s="4">
        <v>92.0</v>
      </c>
      <c r="L71" s="4" t="s">
        <v>98</v>
      </c>
      <c r="M71" s="4">
        <v>500000.0</v>
      </c>
      <c r="N71" s="4"/>
      <c r="O71" s="4">
        <v>25.0</v>
      </c>
      <c r="P71" s="4" t="s">
        <v>89</v>
      </c>
      <c r="Q71" s="4">
        <v>118.0</v>
      </c>
      <c r="R71" s="4"/>
      <c r="S71" s="4"/>
      <c r="T71" s="4">
        <v>36988.0</v>
      </c>
      <c r="U71" s="4">
        <v>36.988</v>
      </c>
      <c r="V71" s="4">
        <v>0.0</v>
      </c>
      <c r="W71" s="4"/>
      <c r="X71" s="4">
        <v>1.0</v>
      </c>
      <c r="Y71" s="4"/>
      <c r="Z71" s="4"/>
      <c r="AA71" s="4" t="b">
        <f>AND(OR('Global Filters'!$B$2="",EXACT(TRIM(C71),TRIM('Global Filters'!$B$2))),OR('Global Filters'!$B$3="",EXACT(TRIM(D71),TRIM('Global Filters'!$B$3))),OR('Global Filters'!$B$4="",EXACT(TRIM(L71),TRIM('Global Filters'!$B$4))),OR('Global Filters'!$B$5="",EXACT(TRIM(P71),TRIM('Global Filters'!$B$5))),OR('Global Filters'!$B$6="",E71&gt;= 'Global Filters'!$B$6),OR('Global Filters'!$B$7="",F71&lt;= 'Global Filters'!$B$7))</f>
        <v>1</v>
      </c>
      <c r="AB71" s="4">
        <f t="shared" si="1"/>
        <v>1</v>
      </c>
    </row>
    <row r="72" ht="15.75" customHeight="1">
      <c r="A72" s="4" t="s">
        <v>223</v>
      </c>
      <c r="B72" s="4" t="s">
        <v>224</v>
      </c>
      <c r="C72" s="4" t="s">
        <v>88</v>
      </c>
      <c r="D72" s="6" t="s">
        <v>81</v>
      </c>
      <c r="E72" s="7">
        <v>45056.0</v>
      </c>
      <c r="F72" s="7">
        <v>45135.0</v>
      </c>
      <c r="G72" s="4"/>
      <c r="H72" s="4">
        <v>15.0</v>
      </c>
      <c r="I72" s="4">
        <v>50000.0</v>
      </c>
      <c r="J72" s="4">
        <v>22254.0</v>
      </c>
      <c r="K72" s="4">
        <v>96.0</v>
      </c>
      <c r="L72" s="4" t="s">
        <v>95</v>
      </c>
      <c r="M72" s="4">
        <v>100000.0</v>
      </c>
      <c r="N72" s="4"/>
      <c r="O72" s="4">
        <v>50.0</v>
      </c>
      <c r="P72" s="4" t="s">
        <v>78</v>
      </c>
      <c r="Q72" s="4">
        <v>79.0</v>
      </c>
      <c r="R72" s="4"/>
      <c r="S72" s="4"/>
      <c r="T72" s="4">
        <v>27746.0</v>
      </c>
      <c r="U72" s="4">
        <v>55.492</v>
      </c>
      <c r="V72" s="4">
        <v>0.0</v>
      </c>
      <c r="W72" s="4"/>
      <c r="X72" s="4">
        <v>1.0</v>
      </c>
      <c r="Y72" s="4"/>
      <c r="Z72" s="4"/>
      <c r="AA72" s="4" t="b">
        <f>AND(OR('Global Filters'!$B$2="",EXACT(TRIM(C72),TRIM('Global Filters'!$B$2))),OR('Global Filters'!$B$3="",EXACT(TRIM(D72),TRIM('Global Filters'!$B$3))),OR('Global Filters'!$B$4="",EXACT(TRIM(L72),TRIM('Global Filters'!$B$4))),OR('Global Filters'!$B$5="",EXACT(TRIM(P72),TRIM('Global Filters'!$B$5))),OR('Global Filters'!$B$6="",E72&gt;= 'Global Filters'!$B$6),OR('Global Filters'!$B$7="",F72&lt;= 'Global Filters'!$B$7))</f>
        <v>1</v>
      </c>
      <c r="AB72" s="4">
        <f t="shared" si="1"/>
        <v>1</v>
      </c>
    </row>
    <row r="73" ht="15.75" customHeight="1">
      <c r="A73" s="4" t="s">
        <v>225</v>
      </c>
      <c r="B73" s="4" t="s">
        <v>226</v>
      </c>
      <c r="C73" s="4" t="s">
        <v>66</v>
      </c>
      <c r="D73" s="9" t="s">
        <v>92</v>
      </c>
      <c r="E73" s="7">
        <v>45270.0</v>
      </c>
      <c r="F73" s="7">
        <v>45317.0</v>
      </c>
      <c r="G73" s="7">
        <v>45315.0</v>
      </c>
      <c r="H73" s="4">
        <v>8.0</v>
      </c>
      <c r="I73" s="4">
        <v>1000000.0</v>
      </c>
      <c r="J73" s="4">
        <v>689752.0</v>
      </c>
      <c r="K73" s="4">
        <v>82.0</v>
      </c>
      <c r="L73" s="4" t="s">
        <v>98</v>
      </c>
      <c r="M73" s="4">
        <v>500000.0</v>
      </c>
      <c r="N73" s="4">
        <v>484953.0</v>
      </c>
      <c r="O73" s="4">
        <v>100.0</v>
      </c>
      <c r="P73" s="4" t="s">
        <v>89</v>
      </c>
      <c r="Q73" s="4">
        <v>47.0</v>
      </c>
      <c r="R73" s="4">
        <v>45.0</v>
      </c>
      <c r="S73" s="4">
        <v>-2.0</v>
      </c>
      <c r="T73" s="4">
        <v>310248.0</v>
      </c>
      <c r="U73" s="4">
        <v>31.0248</v>
      </c>
      <c r="V73" s="4">
        <v>1.0</v>
      </c>
      <c r="W73" s="4">
        <v>-15047.0</v>
      </c>
      <c r="X73" s="4">
        <v>1.0</v>
      </c>
      <c r="Y73" s="4"/>
      <c r="Z73" s="4"/>
      <c r="AA73" s="4" t="b">
        <f>AND(OR('Global Filters'!$B$2="",EXACT(TRIM(C73),TRIM('Global Filters'!$B$2))),OR('Global Filters'!$B$3="",EXACT(TRIM(D73),TRIM('Global Filters'!$B$3))),OR('Global Filters'!$B$4="",EXACT(TRIM(L73),TRIM('Global Filters'!$B$4))),OR('Global Filters'!$B$5="",EXACT(TRIM(P73),TRIM('Global Filters'!$B$5))),OR('Global Filters'!$B$6="",E73&gt;= 'Global Filters'!$B$6),OR('Global Filters'!$B$7="",F73&lt;= 'Global Filters'!$B$7))</f>
        <v>1</v>
      </c>
      <c r="AB73" s="4">
        <f t="shared" si="1"/>
        <v>1</v>
      </c>
    </row>
    <row r="74" ht="15.75" customHeight="1">
      <c r="A74" s="4" t="s">
        <v>227</v>
      </c>
      <c r="B74" s="4" t="s">
        <v>228</v>
      </c>
      <c r="C74" s="4" t="s">
        <v>88</v>
      </c>
      <c r="D74" s="6" t="s">
        <v>77</v>
      </c>
      <c r="E74" s="7">
        <v>44962.0</v>
      </c>
      <c r="F74" s="7">
        <v>45041.0</v>
      </c>
      <c r="G74" s="4"/>
      <c r="H74" s="4">
        <v>8.0</v>
      </c>
      <c r="I74" s="4">
        <v>250000.0</v>
      </c>
      <c r="J74" s="4">
        <v>172172.0</v>
      </c>
      <c r="K74" s="4">
        <v>99.0</v>
      </c>
      <c r="L74" s="4" t="s">
        <v>68</v>
      </c>
      <c r="M74" s="4">
        <v>1000000.0</v>
      </c>
      <c r="N74" s="4"/>
      <c r="O74" s="4">
        <v>10.0</v>
      </c>
      <c r="P74" s="4" t="s">
        <v>78</v>
      </c>
      <c r="Q74" s="4">
        <v>79.0</v>
      </c>
      <c r="R74" s="4"/>
      <c r="S74" s="4"/>
      <c r="T74" s="4">
        <v>77828.0</v>
      </c>
      <c r="U74" s="4">
        <v>31.1312</v>
      </c>
      <c r="V74" s="4">
        <v>0.0</v>
      </c>
      <c r="W74" s="4"/>
      <c r="X74" s="4">
        <v>1.0</v>
      </c>
      <c r="Y74" s="4"/>
      <c r="Z74" s="4"/>
      <c r="AA74" s="4" t="b">
        <f>AND(OR('Global Filters'!$B$2="",EXACT(TRIM(C74),TRIM('Global Filters'!$B$2))),OR('Global Filters'!$B$3="",EXACT(TRIM(D74),TRIM('Global Filters'!$B$3))),OR('Global Filters'!$B$4="",EXACT(TRIM(L74),TRIM('Global Filters'!$B$4))),OR('Global Filters'!$B$5="",EXACT(TRIM(P74),TRIM('Global Filters'!$B$5))),OR('Global Filters'!$B$6="",E74&gt;= 'Global Filters'!$B$6),OR('Global Filters'!$B$7="",F74&lt;= 'Global Filters'!$B$7))</f>
        <v>1</v>
      </c>
      <c r="AB74" s="4">
        <f t="shared" si="1"/>
        <v>1</v>
      </c>
    </row>
    <row r="75" ht="15.75" customHeight="1">
      <c r="A75" s="4" t="s">
        <v>229</v>
      </c>
      <c r="B75" s="4" t="s">
        <v>230</v>
      </c>
      <c r="C75" s="4" t="s">
        <v>66</v>
      </c>
      <c r="D75" s="6" t="s">
        <v>81</v>
      </c>
      <c r="E75" s="7">
        <v>45146.0</v>
      </c>
      <c r="F75" s="7">
        <v>45219.0</v>
      </c>
      <c r="G75" s="4"/>
      <c r="H75" s="4">
        <v>15.0</v>
      </c>
      <c r="I75" s="4">
        <v>50000.0</v>
      </c>
      <c r="J75" s="4">
        <v>27528.0</v>
      </c>
      <c r="K75" s="4">
        <v>74.0</v>
      </c>
      <c r="L75" s="4" t="s">
        <v>68</v>
      </c>
      <c r="M75" s="4">
        <v>5000000.0</v>
      </c>
      <c r="N75" s="4"/>
      <c r="O75" s="4">
        <v>50.0</v>
      </c>
      <c r="P75" s="4" t="s">
        <v>89</v>
      </c>
      <c r="Q75" s="4">
        <v>73.0</v>
      </c>
      <c r="R75" s="4"/>
      <c r="S75" s="4"/>
      <c r="T75" s="4">
        <v>22472.0</v>
      </c>
      <c r="U75" s="4">
        <v>44.944</v>
      </c>
      <c r="V75" s="4">
        <v>0.0</v>
      </c>
      <c r="W75" s="4"/>
      <c r="X75" s="4">
        <v>1.0</v>
      </c>
      <c r="Y75" s="4"/>
      <c r="Z75" s="4"/>
      <c r="AA75" s="4" t="b">
        <f>AND(OR('Global Filters'!$B$2="",EXACT(TRIM(C75),TRIM('Global Filters'!$B$2))),OR('Global Filters'!$B$3="",EXACT(TRIM(D75),TRIM('Global Filters'!$B$3))),OR('Global Filters'!$B$4="",EXACT(TRIM(L75),TRIM('Global Filters'!$B$4))),OR('Global Filters'!$B$5="",EXACT(TRIM(P75),TRIM('Global Filters'!$B$5))),OR('Global Filters'!$B$6="",E75&gt;= 'Global Filters'!$B$6),OR('Global Filters'!$B$7="",F75&lt;= 'Global Filters'!$B$7))</f>
        <v>1</v>
      </c>
      <c r="AB75" s="4">
        <f t="shared" si="1"/>
        <v>1</v>
      </c>
    </row>
    <row r="76" ht="15.75" customHeight="1">
      <c r="A76" s="4" t="s">
        <v>231</v>
      </c>
      <c r="B76" s="4" t="s">
        <v>232</v>
      </c>
      <c r="C76" s="4" t="s">
        <v>101</v>
      </c>
      <c r="D76" s="6" t="s">
        <v>67</v>
      </c>
      <c r="E76" s="7">
        <v>45172.0</v>
      </c>
      <c r="F76" s="7">
        <v>45320.0</v>
      </c>
      <c r="G76" s="4"/>
      <c r="H76" s="4">
        <v>7.0</v>
      </c>
      <c r="I76" s="4">
        <v>500000.0</v>
      </c>
      <c r="J76" s="4">
        <v>293496.0</v>
      </c>
      <c r="K76" s="4">
        <v>91.0</v>
      </c>
      <c r="L76" s="4" t="s">
        <v>95</v>
      </c>
      <c r="M76" s="4">
        <v>100000.0</v>
      </c>
      <c r="N76" s="4"/>
      <c r="O76" s="4">
        <v>80.0</v>
      </c>
      <c r="P76" s="4" t="s">
        <v>89</v>
      </c>
      <c r="Q76" s="4">
        <v>148.0</v>
      </c>
      <c r="R76" s="4"/>
      <c r="S76" s="4"/>
      <c r="T76" s="4">
        <v>206504.0</v>
      </c>
      <c r="U76" s="4">
        <v>41.3008</v>
      </c>
      <c r="V76" s="4">
        <v>0.0</v>
      </c>
      <c r="W76" s="4"/>
      <c r="X76" s="4">
        <v>1.0</v>
      </c>
      <c r="Y76" s="4"/>
      <c r="Z76" s="4"/>
      <c r="AA76" s="4" t="b">
        <f>AND(OR('Global Filters'!$B$2="",EXACT(TRIM(C76),TRIM('Global Filters'!$B$2))),OR('Global Filters'!$B$3="",EXACT(TRIM(D76),TRIM('Global Filters'!$B$3))),OR('Global Filters'!$B$4="",EXACT(TRIM(L76),TRIM('Global Filters'!$B$4))),OR('Global Filters'!$B$5="",EXACT(TRIM(P76),TRIM('Global Filters'!$B$5))),OR('Global Filters'!$B$6="",E76&gt;= 'Global Filters'!$B$6),OR('Global Filters'!$B$7="",F76&lt;= 'Global Filters'!$B$7))</f>
        <v>1</v>
      </c>
      <c r="AB76" s="4">
        <f t="shared" si="1"/>
        <v>1</v>
      </c>
    </row>
    <row r="77" ht="15.75" customHeight="1">
      <c r="A77" s="4" t="s">
        <v>233</v>
      </c>
      <c r="B77" s="4" t="s">
        <v>234</v>
      </c>
      <c r="C77" s="4" t="s">
        <v>88</v>
      </c>
      <c r="D77" s="8" t="s">
        <v>73</v>
      </c>
      <c r="E77" s="7">
        <v>44998.0</v>
      </c>
      <c r="F77" s="7">
        <v>45165.0</v>
      </c>
      <c r="G77" s="4"/>
      <c r="H77" s="4">
        <v>13.0</v>
      </c>
      <c r="I77" s="4">
        <v>100000.0</v>
      </c>
      <c r="J77" s="4">
        <v>51058.0</v>
      </c>
      <c r="K77" s="4">
        <v>64.0</v>
      </c>
      <c r="L77" s="4" t="s">
        <v>98</v>
      </c>
      <c r="M77" s="4">
        <v>100000.0</v>
      </c>
      <c r="N77" s="4"/>
      <c r="O77" s="4">
        <v>25.0</v>
      </c>
      <c r="P77" s="4" t="s">
        <v>89</v>
      </c>
      <c r="Q77" s="4">
        <v>167.0</v>
      </c>
      <c r="R77" s="4"/>
      <c r="S77" s="4"/>
      <c r="T77" s="4">
        <v>48942.0</v>
      </c>
      <c r="U77" s="4">
        <v>48.942</v>
      </c>
      <c r="V77" s="4">
        <v>0.0</v>
      </c>
      <c r="W77" s="4"/>
      <c r="X77" s="4">
        <v>1.0</v>
      </c>
      <c r="Y77" s="4"/>
      <c r="Z77" s="4"/>
      <c r="AA77" s="4" t="b">
        <f>AND(OR('Global Filters'!$B$2="",EXACT(TRIM(C77),TRIM('Global Filters'!$B$2))),OR('Global Filters'!$B$3="",EXACT(TRIM(D77),TRIM('Global Filters'!$B$3))),OR('Global Filters'!$B$4="",EXACT(TRIM(L77),TRIM('Global Filters'!$B$4))),OR('Global Filters'!$B$5="",EXACT(TRIM(P77),TRIM('Global Filters'!$B$5))),OR('Global Filters'!$B$6="",E77&gt;= 'Global Filters'!$B$6),OR('Global Filters'!$B$7="",F77&lt;= 'Global Filters'!$B$7))</f>
        <v>1</v>
      </c>
      <c r="AB77" s="4">
        <f t="shared" si="1"/>
        <v>1</v>
      </c>
    </row>
    <row r="78" ht="15.75" customHeight="1">
      <c r="A78" s="4" t="s">
        <v>235</v>
      </c>
      <c r="B78" s="4" t="s">
        <v>236</v>
      </c>
      <c r="C78" s="4" t="s">
        <v>72</v>
      </c>
      <c r="D78" s="8" t="s">
        <v>73</v>
      </c>
      <c r="E78" s="7">
        <v>45223.0</v>
      </c>
      <c r="F78" s="7">
        <v>45356.0</v>
      </c>
      <c r="G78" s="4"/>
      <c r="H78" s="4">
        <v>3.0</v>
      </c>
      <c r="I78" s="4">
        <v>1000000.0</v>
      </c>
      <c r="J78" s="4">
        <v>470208.0</v>
      </c>
      <c r="K78" s="4">
        <v>95.0</v>
      </c>
      <c r="L78" s="4" t="s">
        <v>98</v>
      </c>
      <c r="M78" s="4">
        <v>1000000.0</v>
      </c>
      <c r="N78" s="4"/>
      <c r="O78" s="4">
        <v>25.0</v>
      </c>
      <c r="P78" s="4" t="s">
        <v>78</v>
      </c>
      <c r="Q78" s="4">
        <v>133.0</v>
      </c>
      <c r="R78" s="4"/>
      <c r="S78" s="4"/>
      <c r="T78" s="4">
        <v>529792.0</v>
      </c>
      <c r="U78" s="4">
        <v>52.97920000000001</v>
      </c>
      <c r="V78" s="4">
        <v>0.0</v>
      </c>
      <c r="W78" s="4"/>
      <c r="X78" s="4">
        <v>1.0</v>
      </c>
      <c r="Y78" s="4"/>
      <c r="Z78" s="4"/>
      <c r="AA78" s="4" t="b">
        <f>AND(OR('Global Filters'!$B$2="",EXACT(TRIM(C78),TRIM('Global Filters'!$B$2))),OR('Global Filters'!$B$3="",EXACT(TRIM(D78),TRIM('Global Filters'!$B$3))),OR('Global Filters'!$B$4="",EXACT(TRIM(L78),TRIM('Global Filters'!$B$4))),OR('Global Filters'!$B$5="",EXACT(TRIM(P78),TRIM('Global Filters'!$B$5))),OR('Global Filters'!$B$6="",E78&gt;= 'Global Filters'!$B$6),OR('Global Filters'!$B$7="",F78&lt;= 'Global Filters'!$B$7))</f>
        <v>1</v>
      </c>
      <c r="AB78" s="4">
        <f t="shared" si="1"/>
        <v>1</v>
      </c>
    </row>
    <row r="79" ht="15.75" customHeight="1">
      <c r="A79" s="4" t="s">
        <v>237</v>
      </c>
      <c r="B79" s="4" t="s">
        <v>238</v>
      </c>
      <c r="C79" s="4" t="s">
        <v>66</v>
      </c>
      <c r="D79" s="8" t="s">
        <v>73</v>
      </c>
      <c r="E79" s="7">
        <v>45114.0</v>
      </c>
      <c r="F79" s="7">
        <v>45244.0</v>
      </c>
      <c r="G79" s="4"/>
      <c r="H79" s="4">
        <v>12.0</v>
      </c>
      <c r="I79" s="4">
        <v>100000.0</v>
      </c>
      <c r="J79" s="4">
        <v>101315.0</v>
      </c>
      <c r="K79" s="4">
        <v>78.0</v>
      </c>
      <c r="L79" s="4" t="s">
        <v>74</v>
      </c>
      <c r="M79" s="4">
        <v>500000.0</v>
      </c>
      <c r="N79" s="4"/>
      <c r="O79" s="4">
        <v>25.0</v>
      </c>
      <c r="P79" s="4" t="s">
        <v>124</v>
      </c>
      <c r="Q79" s="4">
        <v>130.0</v>
      </c>
      <c r="R79" s="4"/>
      <c r="S79" s="4"/>
      <c r="T79" s="4">
        <v>-1315.0</v>
      </c>
      <c r="U79" s="4">
        <v>-1.315</v>
      </c>
      <c r="V79" s="4">
        <v>0.0</v>
      </c>
      <c r="W79" s="4"/>
      <c r="X79" s="4">
        <v>1.0</v>
      </c>
      <c r="Y79" s="4"/>
      <c r="Z79" s="4"/>
      <c r="AA79" s="4" t="b">
        <f>AND(OR('Global Filters'!$B$2="",EXACT(TRIM(C79),TRIM('Global Filters'!$B$2))),OR('Global Filters'!$B$3="",EXACT(TRIM(D79),TRIM('Global Filters'!$B$3))),OR('Global Filters'!$B$4="",EXACT(TRIM(L79),TRIM('Global Filters'!$B$4))),OR('Global Filters'!$B$5="",EXACT(TRIM(P79),TRIM('Global Filters'!$B$5))),OR('Global Filters'!$B$6="",E79&gt;= 'Global Filters'!$B$6),OR('Global Filters'!$B$7="",F79&lt;= 'Global Filters'!$B$7))</f>
        <v>1</v>
      </c>
      <c r="AB79" s="4">
        <f t="shared" si="1"/>
        <v>1</v>
      </c>
    </row>
    <row r="80" ht="15.75" customHeight="1">
      <c r="A80" s="4" t="s">
        <v>239</v>
      </c>
      <c r="B80" s="4" t="s">
        <v>240</v>
      </c>
      <c r="C80" s="4" t="s">
        <v>85</v>
      </c>
      <c r="D80" s="8" t="s">
        <v>73</v>
      </c>
      <c r="E80" s="7">
        <v>45113.0</v>
      </c>
      <c r="F80" s="7">
        <v>45271.0</v>
      </c>
      <c r="G80" s="4"/>
      <c r="H80" s="4">
        <v>15.0</v>
      </c>
      <c r="I80" s="4">
        <v>50000.0</v>
      </c>
      <c r="J80" s="4">
        <v>41507.0</v>
      </c>
      <c r="K80" s="4">
        <v>99.0</v>
      </c>
      <c r="L80" s="4" t="s">
        <v>98</v>
      </c>
      <c r="M80" s="4">
        <v>500000.0</v>
      </c>
      <c r="N80" s="4"/>
      <c r="O80" s="4">
        <v>25.0</v>
      </c>
      <c r="P80" s="4" t="s">
        <v>82</v>
      </c>
      <c r="Q80" s="4">
        <v>158.0</v>
      </c>
      <c r="R80" s="4"/>
      <c r="S80" s="4"/>
      <c r="T80" s="4">
        <v>8493.0</v>
      </c>
      <c r="U80" s="4">
        <v>16.986</v>
      </c>
      <c r="V80" s="4">
        <v>0.0</v>
      </c>
      <c r="W80" s="4"/>
      <c r="X80" s="4">
        <v>1.0</v>
      </c>
      <c r="Y80" s="4"/>
      <c r="Z80" s="4"/>
      <c r="AA80" s="4" t="b">
        <f>AND(OR('Global Filters'!$B$2="",EXACT(TRIM(C80),TRIM('Global Filters'!$B$2))),OR('Global Filters'!$B$3="",EXACT(TRIM(D80),TRIM('Global Filters'!$B$3))),OR('Global Filters'!$B$4="",EXACT(TRIM(L80),TRIM('Global Filters'!$B$4))),OR('Global Filters'!$B$5="",EXACT(TRIM(P80),TRIM('Global Filters'!$B$5))),OR('Global Filters'!$B$6="",E80&gt;= 'Global Filters'!$B$6),OR('Global Filters'!$B$7="",F80&lt;= 'Global Filters'!$B$7))</f>
        <v>1</v>
      </c>
      <c r="AB80" s="4">
        <f t="shared" si="1"/>
        <v>1</v>
      </c>
    </row>
    <row r="81" ht="15.75" customHeight="1">
      <c r="A81" s="4" t="s">
        <v>241</v>
      </c>
      <c r="B81" s="4" t="s">
        <v>242</v>
      </c>
      <c r="C81" s="4" t="s">
        <v>66</v>
      </c>
      <c r="D81" s="6" t="s">
        <v>81</v>
      </c>
      <c r="E81" s="7">
        <v>45018.0</v>
      </c>
      <c r="F81" s="7">
        <v>45192.0</v>
      </c>
      <c r="G81" s="4"/>
      <c r="H81" s="4">
        <v>5.0</v>
      </c>
      <c r="I81" s="4">
        <v>1000000.0</v>
      </c>
      <c r="J81" s="4">
        <v>827530.0</v>
      </c>
      <c r="K81" s="4">
        <v>90.0</v>
      </c>
      <c r="L81" s="4" t="s">
        <v>74</v>
      </c>
      <c r="M81" s="4">
        <v>1000000.0</v>
      </c>
      <c r="N81" s="4"/>
      <c r="O81" s="4">
        <v>50.0</v>
      </c>
      <c r="P81" s="4" t="s">
        <v>124</v>
      </c>
      <c r="Q81" s="4">
        <v>174.0</v>
      </c>
      <c r="R81" s="4"/>
      <c r="S81" s="4"/>
      <c r="T81" s="4">
        <v>172470.0</v>
      </c>
      <c r="U81" s="4">
        <v>17.247</v>
      </c>
      <c r="V81" s="4">
        <v>0.0</v>
      </c>
      <c r="W81" s="4"/>
      <c r="X81" s="4">
        <v>1.0</v>
      </c>
      <c r="Y81" s="4"/>
      <c r="Z81" s="4"/>
      <c r="AA81" s="4" t="b">
        <f>AND(OR('Global Filters'!$B$2="",EXACT(TRIM(C81),TRIM('Global Filters'!$B$2))),OR('Global Filters'!$B$3="",EXACT(TRIM(D81),TRIM('Global Filters'!$B$3))),OR('Global Filters'!$B$4="",EXACT(TRIM(L81),TRIM('Global Filters'!$B$4))),OR('Global Filters'!$B$5="",EXACT(TRIM(P81),TRIM('Global Filters'!$B$5))),OR('Global Filters'!$B$6="",E81&gt;= 'Global Filters'!$B$6),OR('Global Filters'!$B$7="",F81&lt;= 'Global Filters'!$B$7))</f>
        <v>1</v>
      </c>
      <c r="AB81" s="4">
        <f t="shared" si="1"/>
        <v>1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conditionalFormatting sqref="D2:D96">
    <cfRule type="containsText" dxfId="0" priority="1" operator="containsText" text="Launched">
      <formula>NOT(ISERROR(SEARCH(("Launched"),(D2))))</formula>
    </cfRule>
  </conditionalFormatting>
  <conditionalFormatting sqref="D2:D96">
    <cfRule type="containsText" dxfId="1" priority="2" operator="containsText" text="Testing">
      <formula>NOT(ISERROR(SEARCH(("Testing"),(D2))))</formula>
    </cfRule>
  </conditionalFormatting>
  <conditionalFormatting sqref="D2:D96">
    <cfRule type="containsText" dxfId="1" priority="3" operator="containsText" text="In Development">
      <formula>NOT(ISERROR(SEARCH(("In Development"),(D2))))</formula>
    </cfRule>
  </conditionalFormatting>
  <conditionalFormatting sqref="D2:D96">
    <cfRule type="containsText" dxfId="1" priority="4" operator="containsText" text="Planning">
      <formula>NOT(ISERROR(SEARCH(("Planning"),(D2))))</formula>
    </cfRule>
  </conditionalFormatting>
  <conditionalFormatting sqref="D2:D96">
    <cfRule type="containsText" dxfId="2" priority="5" operator="containsText" text="On Hold">
      <formula>NOT(ISERROR(SEARCH(("On Hold"),(D2))))</formula>
    </cfRule>
  </conditionalFormatting>
  <conditionalFormatting sqref="D2:D81">
    <cfRule type="containsText" dxfId="0" priority="6" operator="containsText" text="Launched">
      <formula>NOT(ISERROR(SEARCH(("Launched"),(D2))))</formula>
    </cfRule>
  </conditionalFormatting>
  <conditionalFormatting sqref="D2:D81">
    <cfRule type="containsText" dxfId="1" priority="7" operator="containsText" text="Testing">
      <formula>NOT(ISERROR(SEARCH(("Testing"),(D2))))</formula>
    </cfRule>
  </conditionalFormatting>
  <conditionalFormatting sqref="D2:D81">
    <cfRule type="containsText" dxfId="1" priority="8" operator="containsText" text="In Development">
      <formula>NOT(ISERROR(SEARCH(("In Development"),(D2))))</formula>
    </cfRule>
  </conditionalFormatting>
  <conditionalFormatting sqref="D2:D81">
    <cfRule type="containsText" dxfId="1" priority="9" operator="containsText" text="Planning">
      <formula>NOT(ISERROR(SEARCH(("Planning"),(D2))))</formula>
    </cfRule>
  </conditionalFormatting>
  <conditionalFormatting sqref="D2:D81">
    <cfRule type="containsText" dxfId="2" priority="10" operator="containsText" text="On Hold">
      <formula>NOT(ISERROR(SEARCH(("On Hold"),(D2))))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7.57"/>
    <col customWidth="1" min="3" max="3" width="15.71"/>
    <col customWidth="1" min="4" max="4" width="20.43"/>
    <col customWidth="1" min="5" max="5" width="16.14"/>
    <col customWidth="1" min="6" max="6" width="8.71"/>
    <col customWidth="1" min="7" max="7" width="13.71"/>
    <col customWidth="1" min="8" max="26" width="8.71"/>
  </cols>
  <sheetData>
    <row r="1">
      <c r="A1" s="10" t="s">
        <v>243</v>
      </c>
      <c r="B1" s="10"/>
      <c r="C1" s="10" t="s">
        <v>244</v>
      </c>
      <c r="D1" s="10" t="s">
        <v>245</v>
      </c>
      <c r="E1" s="10" t="s">
        <v>41</v>
      </c>
      <c r="F1" s="10" t="s">
        <v>246</v>
      </c>
      <c r="G1" s="10" t="s">
        <v>247</v>
      </c>
    </row>
    <row r="2">
      <c r="A2" s="10" t="s">
        <v>248</v>
      </c>
      <c r="B2" s="4"/>
      <c r="C2" s="4"/>
      <c r="D2" s="4" t="s">
        <v>101</v>
      </c>
      <c r="E2" s="6" t="s">
        <v>81</v>
      </c>
      <c r="F2" s="4" t="s">
        <v>98</v>
      </c>
      <c r="G2" s="4" t="s">
        <v>69</v>
      </c>
    </row>
    <row r="3">
      <c r="A3" s="10" t="s">
        <v>249</v>
      </c>
      <c r="B3" s="4"/>
      <c r="C3" s="4"/>
      <c r="D3" s="4" t="s">
        <v>66</v>
      </c>
      <c r="E3" s="9" t="s">
        <v>92</v>
      </c>
      <c r="F3" s="4" t="s">
        <v>95</v>
      </c>
      <c r="G3" s="4" t="s">
        <v>124</v>
      </c>
    </row>
    <row r="4">
      <c r="A4" s="10" t="s">
        <v>250</v>
      </c>
      <c r="B4" s="4"/>
      <c r="C4" s="4"/>
      <c r="D4" s="4" t="s">
        <v>85</v>
      </c>
      <c r="E4" s="8" t="s">
        <v>73</v>
      </c>
      <c r="F4" s="4" t="s">
        <v>74</v>
      </c>
      <c r="G4" s="4" t="s">
        <v>82</v>
      </c>
    </row>
    <row r="5">
      <c r="A5" s="10" t="s">
        <v>251</v>
      </c>
      <c r="B5" s="4"/>
      <c r="C5" s="4"/>
      <c r="D5" s="4" t="s">
        <v>72</v>
      </c>
      <c r="E5" s="6" t="s">
        <v>77</v>
      </c>
      <c r="F5" s="4" t="s">
        <v>68</v>
      </c>
      <c r="G5" s="4" t="s">
        <v>78</v>
      </c>
    </row>
    <row r="6">
      <c r="A6" s="10" t="s">
        <v>252</v>
      </c>
      <c r="B6" s="4"/>
      <c r="C6" s="4"/>
      <c r="D6" s="4" t="s">
        <v>88</v>
      </c>
      <c r="E6" s="6" t="s">
        <v>67</v>
      </c>
      <c r="F6" s="4"/>
      <c r="G6" s="4" t="s">
        <v>89</v>
      </c>
    </row>
    <row r="7">
      <c r="A7" s="10" t="s">
        <v>253</v>
      </c>
      <c r="B7" s="4"/>
      <c r="C7" s="4"/>
      <c r="D7" s="4"/>
      <c r="E7" s="4"/>
      <c r="F7" s="4"/>
      <c r="G7" s="4"/>
    </row>
    <row r="8">
      <c r="A8" s="4"/>
      <c r="B8" s="4"/>
      <c r="C8" s="4"/>
      <c r="D8" s="4"/>
      <c r="E8" s="4"/>
      <c r="G8" s="4"/>
    </row>
    <row r="9">
      <c r="A9" s="4"/>
      <c r="B9" s="4"/>
      <c r="C9" s="4"/>
      <c r="D9" s="4"/>
      <c r="E9" s="4"/>
      <c r="G9" s="4"/>
    </row>
    <row r="10">
      <c r="A10" s="4"/>
      <c r="B10" s="4"/>
      <c r="C10" s="4"/>
      <c r="D10" s="4"/>
      <c r="E10" s="4"/>
      <c r="G10" s="4"/>
    </row>
    <row r="11">
      <c r="A11" s="4"/>
      <c r="B11" s="4"/>
      <c r="C11" s="4"/>
      <c r="D11" s="4"/>
      <c r="E11" s="4"/>
      <c r="G11" s="4"/>
    </row>
    <row r="12">
      <c r="A12" s="4"/>
      <c r="B12" s="4"/>
      <c r="C12" s="4"/>
      <c r="D12" s="4"/>
      <c r="E12" s="4"/>
      <c r="G12" s="4"/>
    </row>
    <row r="13">
      <c r="A13" s="4"/>
      <c r="B13" s="4"/>
      <c r="C13" s="4"/>
      <c r="D13" s="4"/>
      <c r="E13" s="4"/>
      <c r="G13" s="4"/>
    </row>
    <row r="14">
      <c r="A14" s="4"/>
      <c r="B14" s="4"/>
      <c r="C14" s="4"/>
      <c r="D14" s="4"/>
      <c r="E14" s="4"/>
      <c r="G14" s="4"/>
    </row>
    <row r="15">
      <c r="A15" s="4"/>
      <c r="B15" s="4"/>
      <c r="C15" s="4"/>
      <c r="D15" s="4"/>
      <c r="E15" s="4"/>
      <c r="G15" s="4"/>
    </row>
    <row r="16">
      <c r="A16" s="4"/>
      <c r="B16" s="4"/>
      <c r="C16" s="4"/>
      <c r="D16" s="4"/>
      <c r="E16" s="4"/>
      <c r="G16" s="4"/>
    </row>
    <row r="17">
      <c r="A17" s="4"/>
      <c r="B17" s="4"/>
      <c r="C17" s="4"/>
      <c r="D17" s="4"/>
      <c r="E17" s="4"/>
      <c r="G17" s="4"/>
    </row>
    <row r="18">
      <c r="A18" s="4"/>
      <c r="B18" s="4"/>
      <c r="C18" s="4"/>
      <c r="D18" s="4"/>
      <c r="E18" s="4"/>
      <c r="G18" s="4"/>
    </row>
    <row r="19">
      <c r="A19" s="4"/>
      <c r="B19" s="4"/>
      <c r="C19" s="4"/>
      <c r="D19" s="4"/>
      <c r="E19" s="4"/>
      <c r="G19" s="4"/>
    </row>
    <row r="20">
      <c r="A20" s="4"/>
      <c r="B20" s="4"/>
      <c r="C20" s="4"/>
      <c r="D20" s="4"/>
      <c r="E20" s="4"/>
      <c r="G20" s="4"/>
    </row>
    <row r="21" ht="15.75" customHeight="1">
      <c r="A21" s="4"/>
      <c r="B21" s="4"/>
      <c r="C21" s="4"/>
      <c r="D21" s="4"/>
      <c r="E21" s="4"/>
      <c r="G21" s="4"/>
    </row>
    <row r="22" ht="15.75" customHeight="1">
      <c r="A22" s="4"/>
      <c r="B22" s="4"/>
      <c r="C22" s="4"/>
      <c r="D22" s="4"/>
      <c r="E22" s="4"/>
      <c r="G22" s="4"/>
    </row>
    <row r="23" ht="15.75" customHeight="1">
      <c r="A23" s="4"/>
      <c r="B23" s="4"/>
      <c r="C23" s="4"/>
      <c r="D23" s="4"/>
      <c r="E23" s="4"/>
      <c r="G23" s="4"/>
    </row>
    <row r="24" ht="15.75" customHeight="1">
      <c r="A24" s="4"/>
      <c r="B24" s="4"/>
      <c r="C24" s="4"/>
      <c r="D24" s="4"/>
      <c r="E24" s="4"/>
      <c r="G24" s="4"/>
    </row>
    <row r="25" ht="15.75" customHeight="1">
      <c r="A25" s="4"/>
      <c r="B25" s="4"/>
      <c r="C25" s="4"/>
      <c r="D25" s="4"/>
      <c r="E25" s="4"/>
      <c r="G25" s="4"/>
    </row>
    <row r="26" ht="15.75" customHeight="1">
      <c r="A26" s="4"/>
      <c r="B26" s="4"/>
      <c r="C26" s="4"/>
      <c r="D26" s="4"/>
      <c r="E26" s="4"/>
      <c r="G26" s="4"/>
    </row>
    <row r="27" ht="15.75" customHeight="1">
      <c r="A27" s="4"/>
      <c r="B27" s="4"/>
      <c r="C27" s="4"/>
      <c r="D27" s="4"/>
      <c r="E27" s="4"/>
      <c r="G27" s="4"/>
    </row>
    <row r="28" ht="15.75" customHeight="1">
      <c r="A28" s="4"/>
      <c r="B28" s="4"/>
      <c r="C28" s="4"/>
      <c r="D28" s="4"/>
      <c r="E28" s="4"/>
      <c r="G28" s="4"/>
    </row>
    <row r="29" ht="15.75" customHeight="1">
      <c r="A29" s="4"/>
      <c r="B29" s="4"/>
      <c r="C29" s="4"/>
      <c r="D29" s="4"/>
      <c r="E29" s="4"/>
      <c r="G29" s="4"/>
    </row>
    <row r="30" ht="15.75" customHeight="1">
      <c r="A30" s="4"/>
      <c r="B30" s="4"/>
      <c r="C30" s="4"/>
      <c r="D30" s="4"/>
      <c r="E30" s="4"/>
      <c r="G30" s="4"/>
    </row>
    <row r="31" ht="15.75" customHeight="1">
      <c r="A31" s="4"/>
      <c r="B31" s="4"/>
      <c r="C31" s="4"/>
      <c r="D31" s="4"/>
      <c r="E31" s="4"/>
      <c r="G31" s="4"/>
    </row>
    <row r="32" ht="15.75" customHeight="1">
      <c r="A32" s="4"/>
      <c r="B32" s="4"/>
      <c r="C32" s="4"/>
      <c r="D32" s="4"/>
      <c r="E32" s="4"/>
      <c r="G32" s="4"/>
    </row>
    <row r="33" ht="15.75" customHeight="1">
      <c r="A33" s="4"/>
      <c r="B33" s="4"/>
      <c r="C33" s="4"/>
      <c r="D33" s="4"/>
      <c r="E33" s="4"/>
      <c r="G33" s="4"/>
    </row>
    <row r="34" ht="15.75" customHeight="1">
      <c r="A34" s="4"/>
      <c r="B34" s="4"/>
      <c r="C34" s="4"/>
      <c r="D34" s="4"/>
      <c r="E34" s="4"/>
      <c r="G34" s="4"/>
    </row>
    <row r="35" ht="15.75" customHeight="1">
      <c r="A35" s="4"/>
      <c r="B35" s="4"/>
      <c r="C35" s="4"/>
      <c r="D35" s="4"/>
      <c r="E35" s="4"/>
      <c r="G35" s="4"/>
    </row>
    <row r="36" ht="15.75" customHeight="1">
      <c r="A36" s="4"/>
      <c r="B36" s="4"/>
      <c r="C36" s="4"/>
      <c r="D36" s="4"/>
      <c r="E36" s="4"/>
      <c r="G36" s="4"/>
    </row>
    <row r="37" ht="15.75" customHeight="1">
      <c r="A37" s="4"/>
      <c r="B37" s="4"/>
      <c r="C37" s="4"/>
      <c r="D37" s="4"/>
      <c r="E37" s="4"/>
      <c r="G37" s="4"/>
    </row>
    <row r="38" ht="15.75" customHeight="1">
      <c r="A38" s="4"/>
      <c r="B38" s="4"/>
      <c r="C38" s="4"/>
      <c r="D38" s="4"/>
      <c r="E38" s="4"/>
      <c r="G38" s="4"/>
    </row>
    <row r="39" ht="15.75" customHeight="1">
      <c r="A39" s="4"/>
      <c r="B39" s="4"/>
      <c r="C39" s="4"/>
      <c r="D39" s="4"/>
      <c r="E39" s="4"/>
      <c r="G39" s="4"/>
    </row>
    <row r="40" ht="15.75" customHeight="1">
      <c r="A40" s="4"/>
      <c r="B40" s="4"/>
      <c r="C40" s="4"/>
      <c r="D40" s="4"/>
      <c r="E40" s="4"/>
      <c r="G40" s="4"/>
    </row>
    <row r="41" ht="15.75" customHeight="1">
      <c r="A41" s="4"/>
      <c r="B41" s="4"/>
      <c r="C41" s="4"/>
      <c r="D41" s="4"/>
      <c r="E41" s="4"/>
      <c r="G41" s="4"/>
    </row>
    <row r="42" ht="15.75" customHeight="1">
      <c r="A42" s="4"/>
      <c r="B42" s="4"/>
      <c r="C42" s="4"/>
      <c r="D42" s="4"/>
      <c r="E42" s="4"/>
      <c r="G42" s="4"/>
    </row>
    <row r="43" ht="15.75" customHeight="1">
      <c r="A43" s="4"/>
      <c r="B43" s="4"/>
      <c r="C43" s="4"/>
      <c r="D43" s="4"/>
      <c r="E43" s="4"/>
      <c r="G43" s="4"/>
    </row>
    <row r="44" ht="15.75" customHeight="1">
      <c r="A44" s="4"/>
      <c r="B44" s="4"/>
      <c r="C44" s="4"/>
      <c r="D44" s="4"/>
      <c r="E44" s="4"/>
      <c r="G44" s="4"/>
    </row>
    <row r="45" ht="15.75" customHeight="1">
      <c r="A45" s="4"/>
      <c r="B45" s="4"/>
      <c r="C45" s="4"/>
      <c r="D45" s="4"/>
      <c r="E45" s="4"/>
      <c r="G45" s="4"/>
    </row>
    <row r="46" ht="15.75" customHeight="1">
      <c r="A46" s="4"/>
      <c r="B46" s="4"/>
      <c r="C46" s="4"/>
      <c r="D46" s="4"/>
      <c r="E46" s="4"/>
      <c r="G46" s="4"/>
    </row>
    <row r="47" ht="15.75" customHeight="1">
      <c r="A47" s="4"/>
      <c r="B47" s="4"/>
      <c r="C47" s="4"/>
      <c r="D47" s="4"/>
      <c r="E47" s="4"/>
      <c r="G47" s="4"/>
    </row>
    <row r="48" ht="15.75" customHeight="1">
      <c r="A48" s="4"/>
      <c r="B48" s="4"/>
      <c r="C48" s="4"/>
      <c r="D48" s="4"/>
      <c r="E48" s="4"/>
      <c r="G48" s="4"/>
    </row>
    <row r="49" ht="15.75" customHeight="1">
      <c r="A49" s="4"/>
      <c r="B49" s="4"/>
      <c r="C49" s="4"/>
      <c r="D49" s="4"/>
      <c r="E49" s="4"/>
      <c r="G49" s="4"/>
    </row>
    <row r="50" ht="15.75" customHeight="1">
      <c r="A50" s="4"/>
      <c r="B50" s="4"/>
      <c r="C50" s="4"/>
      <c r="D50" s="4"/>
      <c r="E50" s="4"/>
      <c r="G50" s="4"/>
    </row>
    <row r="51" ht="15.75" customHeight="1">
      <c r="A51" s="4"/>
      <c r="B51" s="4"/>
      <c r="C51" s="4"/>
      <c r="D51" s="4"/>
      <c r="E51" s="4"/>
      <c r="G51" s="4"/>
    </row>
    <row r="52" ht="15.75" customHeight="1">
      <c r="A52" s="4"/>
      <c r="B52" s="4"/>
      <c r="C52" s="4"/>
      <c r="D52" s="4"/>
      <c r="E52" s="4"/>
      <c r="G52" s="4"/>
    </row>
    <row r="53" ht="15.75" customHeight="1">
      <c r="A53" s="4"/>
      <c r="B53" s="4"/>
      <c r="C53" s="4"/>
      <c r="D53" s="4"/>
      <c r="E53" s="4"/>
      <c r="G53" s="4"/>
    </row>
    <row r="54" ht="15.75" customHeight="1">
      <c r="A54" s="4"/>
      <c r="B54" s="4"/>
      <c r="C54" s="4"/>
      <c r="D54" s="4"/>
      <c r="E54" s="4"/>
      <c r="G54" s="4"/>
    </row>
    <row r="55" ht="15.75" customHeight="1">
      <c r="A55" s="4"/>
      <c r="B55" s="4"/>
      <c r="C55" s="4"/>
      <c r="D55" s="4"/>
      <c r="E55" s="4"/>
      <c r="G55" s="4"/>
    </row>
    <row r="56" ht="15.75" customHeight="1">
      <c r="A56" s="4"/>
      <c r="B56" s="4"/>
      <c r="C56" s="4"/>
      <c r="D56" s="4"/>
      <c r="E56" s="4"/>
      <c r="G56" s="4"/>
    </row>
    <row r="57" ht="15.75" customHeight="1">
      <c r="A57" s="4"/>
      <c r="B57" s="4"/>
      <c r="C57" s="4"/>
      <c r="D57" s="4"/>
      <c r="E57" s="4"/>
      <c r="G57" s="4"/>
    </row>
    <row r="58" ht="15.75" customHeight="1">
      <c r="A58" s="4"/>
      <c r="B58" s="4"/>
      <c r="C58" s="4"/>
      <c r="D58" s="4"/>
      <c r="E58" s="4"/>
      <c r="G58" s="4"/>
    </row>
    <row r="59" ht="15.75" customHeight="1">
      <c r="A59" s="4"/>
      <c r="B59" s="4"/>
      <c r="C59" s="4"/>
      <c r="D59" s="4"/>
      <c r="E59" s="4"/>
      <c r="G59" s="4"/>
    </row>
    <row r="60" ht="15.75" customHeight="1">
      <c r="A60" s="4"/>
      <c r="B60" s="4"/>
      <c r="C60" s="4"/>
      <c r="D60" s="4"/>
      <c r="E60" s="4"/>
      <c r="G60" s="4"/>
    </row>
    <row r="61" ht="15.75" customHeight="1">
      <c r="A61" s="4"/>
      <c r="B61" s="4"/>
      <c r="C61" s="4"/>
      <c r="D61" s="4"/>
      <c r="E61" s="4"/>
      <c r="G61" s="4"/>
    </row>
    <row r="62" ht="15.75" customHeight="1">
      <c r="A62" s="4"/>
      <c r="B62" s="4"/>
      <c r="C62" s="4"/>
      <c r="D62" s="4"/>
      <c r="E62" s="4"/>
      <c r="G62" s="4"/>
    </row>
    <row r="63" ht="15.75" customHeight="1">
      <c r="A63" s="4"/>
      <c r="B63" s="4"/>
      <c r="C63" s="4"/>
      <c r="D63" s="4"/>
      <c r="E63" s="4"/>
      <c r="G63" s="4"/>
    </row>
    <row r="64" ht="15.75" customHeight="1">
      <c r="A64" s="4"/>
      <c r="B64" s="4"/>
      <c r="C64" s="4"/>
      <c r="D64" s="4"/>
      <c r="E64" s="4"/>
      <c r="G64" s="4"/>
    </row>
    <row r="65" ht="15.75" customHeight="1">
      <c r="A65" s="4"/>
      <c r="B65" s="4"/>
      <c r="C65" s="4"/>
      <c r="D65" s="4"/>
      <c r="E65" s="4"/>
      <c r="G65" s="4"/>
    </row>
    <row r="66" ht="15.75" customHeight="1">
      <c r="A66" s="4"/>
      <c r="B66" s="4"/>
      <c r="C66" s="4"/>
      <c r="D66" s="4"/>
      <c r="E66" s="4"/>
      <c r="G66" s="4"/>
    </row>
    <row r="67" ht="15.75" customHeight="1">
      <c r="A67" s="4"/>
      <c r="B67" s="4"/>
      <c r="C67" s="4"/>
      <c r="D67" s="4"/>
      <c r="E67" s="4"/>
      <c r="G67" s="4"/>
    </row>
    <row r="68" ht="15.75" customHeight="1">
      <c r="A68" s="4"/>
      <c r="B68" s="4"/>
      <c r="C68" s="4"/>
      <c r="D68" s="4"/>
      <c r="E68" s="4"/>
      <c r="G68" s="4"/>
    </row>
    <row r="69" ht="15.75" customHeight="1">
      <c r="A69" s="4"/>
      <c r="B69" s="4"/>
      <c r="C69" s="4"/>
      <c r="D69" s="4"/>
      <c r="E69" s="4"/>
      <c r="G69" s="4"/>
    </row>
    <row r="70" ht="15.75" customHeight="1">
      <c r="A70" s="4"/>
      <c r="B70" s="4"/>
      <c r="C70" s="4"/>
      <c r="D70" s="4"/>
      <c r="E70" s="4"/>
      <c r="G70" s="4"/>
    </row>
    <row r="71" ht="15.75" customHeight="1">
      <c r="A71" s="4"/>
      <c r="B71" s="4"/>
      <c r="C71" s="4"/>
      <c r="D71" s="4"/>
      <c r="E71" s="4"/>
      <c r="G71" s="4"/>
    </row>
    <row r="72" ht="15.75" customHeight="1">
      <c r="A72" s="4"/>
      <c r="B72" s="4"/>
      <c r="C72" s="4"/>
      <c r="D72" s="4"/>
      <c r="E72" s="4"/>
      <c r="G72" s="4"/>
    </row>
    <row r="73" ht="15.75" customHeight="1">
      <c r="A73" s="4"/>
      <c r="B73" s="4"/>
      <c r="C73" s="4"/>
      <c r="D73" s="4"/>
      <c r="E73" s="4"/>
      <c r="G73" s="4"/>
    </row>
    <row r="74" ht="15.75" customHeight="1">
      <c r="A74" s="4"/>
      <c r="B74" s="4"/>
      <c r="C74" s="4"/>
      <c r="D74" s="4"/>
      <c r="E74" s="4"/>
      <c r="G74" s="4"/>
    </row>
    <row r="75" ht="15.75" customHeight="1">
      <c r="A75" s="4"/>
      <c r="B75" s="4"/>
      <c r="C75" s="4"/>
      <c r="D75" s="4"/>
      <c r="E75" s="4"/>
      <c r="G75" s="4"/>
    </row>
    <row r="76" ht="15.75" customHeight="1">
      <c r="A76" s="4"/>
      <c r="B76" s="4"/>
      <c r="C76" s="4"/>
      <c r="D76" s="4"/>
      <c r="E76" s="4"/>
      <c r="G76" s="4"/>
    </row>
    <row r="77" ht="15.75" customHeight="1">
      <c r="A77" s="4"/>
      <c r="B77" s="4"/>
      <c r="C77" s="4"/>
      <c r="D77" s="4"/>
      <c r="E77" s="4"/>
      <c r="G77" s="4"/>
    </row>
    <row r="78" ht="15.75" customHeight="1">
      <c r="A78" s="4"/>
      <c r="B78" s="4"/>
      <c r="C78" s="4"/>
      <c r="D78" s="4"/>
      <c r="E78" s="4"/>
      <c r="G78" s="4"/>
    </row>
    <row r="79" ht="15.75" customHeight="1">
      <c r="A79" s="4"/>
      <c r="B79" s="4"/>
      <c r="C79" s="4"/>
      <c r="D79" s="4"/>
      <c r="E79" s="4"/>
      <c r="G79" s="4"/>
    </row>
    <row r="80" ht="15.75" customHeight="1">
      <c r="A80" s="4"/>
      <c r="B80" s="4"/>
      <c r="C80" s="4"/>
      <c r="D80" s="4"/>
      <c r="E80" s="4"/>
      <c r="G80" s="4"/>
    </row>
    <row r="81" ht="15.75" customHeight="1">
      <c r="A81" s="4"/>
      <c r="B81" s="4"/>
      <c r="C81" s="4"/>
      <c r="D81" s="4"/>
      <c r="E81" s="4"/>
      <c r="G81" s="4"/>
    </row>
    <row r="82" ht="15.75" customHeight="1">
      <c r="A82" s="4"/>
      <c r="B82" s="4"/>
      <c r="C82" s="4"/>
      <c r="D82" s="4"/>
      <c r="E82" s="4"/>
      <c r="G82" s="4"/>
    </row>
    <row r="83" ht="15.75" customHeight="1">
      <c r="A83" s="4"/>
      <c r="B83" s="4"/>
      <c r="C83" s="4"/>
      <c r="D83" s="4"/>
      <c r="E83" s="4"/>
      <c r="G83" s="4"/>
    </row>
    <row r="84" ht="15.75" customHeight="1">
      <c r="A84" s="4"/>
      <c r="B84" s="4"/>
      <c r="C84" s="4"/>
      <c r="D84" s="4"/>
      <c r="E84" s="4"/>
      <c r="G84" s="4"/>
    </row>
    <row r="85" ht="15.75" customHeight="1">
      <c r="A85" s="4"/>
      <c r="B85" s="4"/>
      <c r="C85" s="4"/>
      <c r="D85" s="4"/>
      <c r="E85" s="4"/>
      <c r="G85" s="4"/>
    </row>
    <row r="86" ht="15.75" customHeight="1">
      <c r="A86" s="4"/>
      <c r="B86" s="4"/>
      <c r="C86" s="4"/>
      <c r="D86" s="4"/>
      <c r="E86" s="4"/>
      <c r="G86" s="4"/>
    </row>
    <row r="87" ht="15.75" customHeight="1">
      <c r="A87" s="4"/>
      <c r="B87" s="4"/>
      <c r="C87" s="4"/>
      <c r="D87" s="4"/>
      <c r="E87" s="4"/>
      <c r="G87" s="4"/>
    </row>
    <row r="88" ht="15.75" customHeight="1">
      <c r="A88" s="4"/>
      <c r="B88" s="4"/>
      <c r="C88" s="4"/>
      <c r="D88" s="4"/>
      <c r="E88" s="4"/>
      <c r="G88" s="4"/>
    </row>
    <row r="89" ht="15.75" customHeight="1">
      <c r="A89" s="4"/>
      <c r="B89" s="4"/>
      <c r="C89" s="4"/>
      <c r="D89" s="4"/>
      <c r="E89" s="4"/>
      <c r="G89" s="4"/>
    </row>
    <row r="90" ht="15.75" customHeight="1">
      <c r="A90" s="4"/>
      <c r="B90" s="4"/>
      <c r="C90" s="4"/>
      <c r="D90" s="4"/>
      <c r="E90" s="4"/>
      <c r="G90" s="4"/>
    </row>
    <row r="91" ht="15.75" customHeight="1">
      <c r="A91" s="4"/>
      <c r="B91" s="4"/>
      <c r="C91" s="4"/>
      <c r="D91" s="4"/>
      <c r="E91" s="4"/>
      <c r="G91" s="4"/>
    </row>
    <row r="92" ht="15.75" customHeight="1">
      <c r="A92" s="4"/>
      <c r="B92" s="4"/>
      <c r="C92" s="4"/>
      <c r="D92" s="4"/>
      <c r="E92" s="4"/>
      <c r="G92" s="4"/>
    </row>
    <row r="93" ht="15.75" customHeight="1">
      <c r="A93" s="4"/>
      <c r="B93" s="4"/>
      <c r="C93" s="4"/>
      <c r="D93" s="4"/>
      <c r="E93" s="4"/>
      <c r="G93" s="4"/>
    </row>
    <row r="94" ht="15.75" customHeight="1">
      <c r="A94" s="4"/>
      <c r="B94" s="4"/>
      <c r="C94" s="4"/>
      <c r="D94" s="4"/>
      <c r="E94" s="4"/>
      <c r="G94" s="4"/>
    </row>
    <row r="95" ht="15.75" customHeight="1">
      <c r="A95" s="4"/>
      <c r="B95" s="4"/>
      <c r="C95" s="4"/>
      <c r="D95" s="4"/>
      <c r="E95" s="4"/>
      <c r="G95" s="4"/>
    </row>
    <row r="96" ht="15.75" customHeight="1">
      <c r="A96" s="4"/>
      <c r="B96" s="4"/>
      <c r="C96" s="4"/>
      <c r="D96" s="4"/>
      <c r="E96" s="4"/>
      <c r="G96" s="4"/>
    </row>
    <row r="97" ht="15.75" customHeight="1">
      <c r="A97" s="4"/>
      <c r="B97" s="4"/>
      <c r="C97" s="4"/>
      <c r="D97" s="4"/>
      <c r="E97" s="4"/>
      <c r="G97" s="4"/>
    </row>
    <row r="98" ht="15.75" customHeight="1">
      <c r="A98" s="4"/>
      <c r="B98" s="4"/>
      <c r="C98" s="4"/>
      <c r="D98" s="4"/>
      <c r="E98" s="4"/>
      <c r="G98" s="4"/>
    </row>
    <row r="99" ht="15.75" customHeight="1">
      <c r="A99" s="4"/>
      <c r="B99" s="4"/>
      <c r="C99" s="4"/>
      <c r="D99" s="4"/>
      <c r="E99" s="4"/>
      <c r="G99" s="4"/>
    </row>
    <row r="100" ht="15.75" customHeight="1">
      <c r="A100" s="4"/>
      <c r="B100" s="4"/>
      <c r="C100" s="4"/>
      <c r="D100" s="4"/>
      <c r="E100" s="4"/>
      <c r="G100" s="4"/>
    </row>
    <row r="101" ht="15.75" customHeight="1">
      <c r="A101" s="4"/>
      <c r="B101" s="4"/>
      <c r="C101" s="4"/>
      <c r="D101" s="4"/>
      <c r="E101" s="4"/>
      <c r="G101" s="4"/>
    </row>
    <row r="102" ht="15.75" customHeight="1">
      <c r="A102" s="4"/>
      <c r="B102" s="4"/>
      <c r="C102" s="4"/>
      <c r="D102" s="4"/>
      <c r="E102" s="4"/>
      <c r="G102" s="4"/>
    </row>
    <row r="103" ht="15.75" customHeight="1">
      <c r="A103" s="4"/>
      <c r="B103" s="4"/>
      <c r="C103" s="4"/>
      <c r="D103" s="4"/>
      <c r="E103" s="4"/>
      <c r="G103" s="4"/>
    </row>
    <row r="104" ht="15.75" customHeight="1">
      <c r="A104" s="4"/>
      <c r="B104" s="4"/>
      <c r="C104" s="4"/>
      <c r="D104" s="4"/>
      <c r="E104" s="4"/>
      <c r="G104" s="4"/>
    </row>
    <row r="105" ht="15.75" customHeight="1">
      <c r="A105" s="4"/>
      <c r="B105" s="4"/>
      <c r="C105" s="4"/>
      <c r="D105" s="4"/>
      <c r="E105" s="4"/>
      <c r="G105" s="4"/>
    </row>
    <row r="106" ht="15.75" customHeight="1">
      <c r="A106" s="4"/>
      <c r="B106" s="4"/>
      <c r="C106" s="4"/>
      <c r="D106" s="4"/>
      <c r="E106" s="4"/>
      <c r="G106" s="4"/>
    </row>
    <row r="107" ht="15.75" customHeight="1">
      <c r="A107" s="4"/>
      <c r="B107" s="4"/>
      <c r="C107" s="4"/>
      <c r="D107" s="4"/>
      <c r="E107" s="4"/>
      <c r="G107" s="4"/>
    </row>
    <row r="108" ht="15.75" customHeight="1">
      <c r="A108" s="4"/>
      <c r="B108" s="4"/>
      <c r="C108" s="4"/>
      <c r="D108" s="4"/>
      <c r="E108" s="4"/>
      <c r="G108" s="4"/>
    </row>
    <row r="109" ht="15.75" customHeight="1">
      <c r="A109" s="4"/>
      <c r="B109" s="4"/>
      <c r="C109" s="4"/>
      <c r="D109" s="4"/>
      <c r="E109" s="4"/>
      <c r="G109" s="4"/>
    </row>
    <row r="110" ht="15.75" customHeight="1">
      <c r="A110" s="4"/>
      <c r="B110" s="4"/>
      <c r="C110" s="4"/>
      <c r="D110" s="4"/>
      <c r="E110" s="4"/>
      <c r="G110" s="4"/>
    </row>
    <row r="111" ht="15.75" customHeight="1">
      <c r="A111" s="4"/>
      <c r="B111" s="4"/>
      <c r="C111" s="4"/>
      <c r="D111" s="4"/>
      <c r="E111" s="4"/>
      <c r="G111" s="4"/>
    </row>
    <row r="112" ht="15.75" customHeight="1">
      <c r="A112" s="4"/>
      <c r="B112" s="4"/>
      <c r="C112" s="4"/>
      <c r="D112" s="4"/>
      <c r="E112" s="4"/>
      <c r="G112" s="4"/>
    </row>
    <row r="113" ht="15.75" customHeight="1">
      <c r="A113" s="4"/>
      <c r="B113" s="4"/>
      <c r="C113" s="4"/>
      <c r="D113" s="4"/>
      <c r="E113" s="4"/>
      <c r="G113" s="4"/>
    </row>
    <row r="114" ht="15.75" customHeight="1">
      <c r="A114" s="4"/>
      <c r="B114" s="4"/>
      <c r="C114" s="4"/>
      <c r="D114" s="4"/>
      <c r="E114" s="4"/>
      <c r="G114" s="4"/>
    </row>
    <row r="115" ht="15.75" customHeight="1">
      <c r="A115" s="4"/>
      <c r="B115" s="4"/>
      <c r="C115" s="4"/>
      <c r="D115" s="4"/>
      <c r="E115" s="4"/>
      <c r="G115" s="4"/>
    </row>
    <row r="116" ht="15.75" customHeight="1">
      <c r="A116" s="4"/>
      <c r="B116" s="4"/>
      <c r="C116" s="4"/>
      <c r="D116" s="4"/>
      <c r="E116" s="4"/>
      <c r="G116" s="4"/>
    </row>
    <row r="117" ht="15.75" customHeight="1">
      <c r="A117" s="4"/>
      <c r="B117" s="4"/>
      <c r="C117" s="4"/>
      <c r="D117" s="4"/>
      <c r="E117" s="4"/>
      <c r="G117" s="4"/>
    </row>
    <row r="118" ht="15.75" customHeight="1">
      <c r="A118" s="4"/>
      <c r="B118" s="4"/>
      <c r="C118" s="4"/>
      <c r="D118" s="4"/>
      <c r="E118" s="4"/>
      <c r="G118" s="4"/>
    </row>
    <row r="119" ht="15.75" customHeight="1">
      <c r="A119" s="4"/>
      <c r="B119" s="4"/>
      <c r="C119" s="4"/>
      <c r="D119" s="4"/>
      <c r="E119" s="4"/>
      <c r="G119" s="4"/>
    </row>
    <row r="120" ht="15.75" customHeight="1">
      <c r="A120" s="4"/>
      <c r="B120" s="4"/>
      <c r="C120" s="4"/>
      <c r="D120" s="4"/>
      <c r="E120" s="4"/>
      <c r="G120" s="4"/>
    </row>
    <row r="121" ht="15.75" customHeight="1">
      <c r="A121" s="4"/>
      <c r="B121" s="4"/>
      <c r="C121" s="4"/>
      <c r="D121" s="4"/>
      <c r="E121" s="4"/>
      <c r="G121" s="4"/>
    </row>
    <row r="122" ht="15.75" customHeight="1">
      <c r="A122" s="4"/>
      <c r="B122" s="4"/>
      <c r="C122" s="4"/>
      <c r="D122" s="4"/>
      <c r="E122" s="4"/>
      <c r="G122" s="4"/>
    </row>
    <row r="123" ht="15.75" customHeight="1">
      <c r="A123" s="4"/>
      <c r="B123" s="4"/>
      <c r="C123" s="4"/>
      <c r="D123" s="4"/>
      <c r="E123" s="4"/>
      <c r="G123" s="4"/>
    </row>
    <row r="124" ht="15.75" customHeight="1">
      <c r="A124" s="4"/>
      <c r="B124" s="4"/>
      <c r="C124" s="4"/>
      <c r="D124" s="4"/>
      <c r="E124" s="4"/>
      <c r="G124" s="4"/>
    </row>
    <row r="125" ht="15.75" customHeight="1">
      <c r="A125" s="4"/>
      <c r="B125" s="4"/>
      <c r="C125" s="4"/>
      <c r="D125" s="4"/>
      <c r="E125" s="4"/>
      <c r="G125" s="4"/>
    </row>
    <row r="126" ht="15.75" customHeight="1">
      <c r="A126" s="4"/>
      <c r="B126" s="4"/>
      <c r="C126" s="4"/>
      <c r="D126" s="4"/>
      <c r="E126" s="4"/>
      <c r="G126" s="4"/>
    </row>
    <row r="127" ht="15.75" customHeight="1">
      <c r="A127" s="4"/>
      <c r="B127" s="4"/>
      <c r="C127" s="4"/>
      <c r="D127" s="4"/>
      <c r="E127" s="4"/>
      <c r="G127" s="4"/>
    </row>
    <row r="128" ht="15.75" customHeight="1">
      <c r="A128" s="4"/>
      <c r="B128" s="4"/>
      <c r="C128" s="4"/>
      <c r="D128" s="4"/>
      <c r="E128" s="4"/>
      <c r="G128" s="4"/>
    </row>
    <row r="129" ht="15.75" customHeight="1">
      <c r="A129" s="4"/>
      <c r="B129" s="4"/>
      <c r="C129" s="4"/>
      <c r="D129" s="4"/>
      <c r="E129" s="4"/>
      <c r="G129" s="4"/>
    </row>
    <row r="130" ht="15.75" customHeight="1">
      <c r="A130" s="4"/>
      <c r="B130" s="4"/>
      <c r="C130" s="4"/>
      <c r="D130" s="4"/>
      <c r="E130" s="4"/>
      <c r="G130" s="4"/>
    </row>
    <row r="131" ht="15.75" customHeight="1">
      <c r="A131" s="4"/>
      <c r="B131" s="4"/>
      <c r="C131" s="4"/>
      <c r="D131" s="4"/>
      <c r="E131" s="4"/>
      <c r="G131" s="4"/>
    </row>
    <row r="132" ht="15.75" customHeight="1">
      <c r="A132" s="4"/>
      <c r="B132" s="4"/>
      <c r="C132" s="4"/>
      <c r="D132" s="4"/>
      <c r="E132" s="4"/>
      <c r="G132" s="4"/>
    </row>
    <row r="133" ht="15.75" customHeight="1">
      <c r="A133" s="4"/>
      <c r="B133" s="4"/>
      <c r="C133" s="4"/>
      <c r="D133" s="4"/>
      <c r="E133" s="4"/>
      <c r="G133" s="4"/>
    </row>
    <row r="134" ht="15.75" customHeight="1">
      <c r="A134" s="4"/>
      <c r="B134" s="4"/>
      <c r="C134" s="4"/>
      <c r="D134" s="4"/>
      <c r="E134" s="4"/>
      <c r="G134" s="4"/>
    </row>
    <row r="135" ht="15.75" customHeight="1">
      <c r="A135" s="4"/>
      <c r="B135" s="4"/>
      <c r="C135" s="4"/>
      <c r="D135" s="4"/>
      <c r="E135" s="4"/>
      <c r="G135" s="4"/>
    </row>
    <row r="136" ht="15.75" customHeight="1">
      <c r="A136" s="4"/>
      <c r="B136" s="4"/>
      <c r="C136" s="4"/>
      <c r="D136" s="4"/>
      <c r="E136" s="4"/>
      <c r="G136" s="4"/>
    </row>
    <row r="137" ht="15.75" customHeight="1">
      <c r="A137" s="4"/>
      <c r="B137" s="4"/>
      <c r="C137" s="4"/>
      <c r="D137" s="4"/>
      <c r="E137" s="4"/>
      <c r="G137" s="4"/>
    </row>
    <row r="138" ht="15.75" customHeight="1">
      <c r="A138" s="4"/>
      <c r="B138" s="4"/>
      <c r="C138" s="4"/>
      <c r="D138" s="4"/>
      <c r="E138" s="4"/>
      <c r="G138" s="4"/>
    </row>
    <row r="139" ht="15.75" customHeight="1">
      <c r="A139" s="4"/>
      <c r="B139" s="4"/>
      <c r="C139" s="4"/>
      <c r="D139" s="4"/>
      <c r="E139" s="4"/>
      <c r="G139" s="4"/>
    </row>
    <row r="140" ht="15.75" customHeight="1">
      <c r="A140" s="4"/>
      <c r="B140" s="4"/>
      <c r="C140" s="4"/>
      <c r="D140" s="4"/>
      <c r="E140" s="4"/>
      <c r="G140" s="4"/>
    </row>
    <row r="141" ht="15.75" customHeight="1">
      <c r="A141" s="4"/>
      <c r="B141" s="4"/>
      <c r="C141" s="4"/>
      <c r="D141" s="4"/>
      <c r="E141" s="4"/>
      <c r="G141" s="4"/>
    </row>
    <row r="142" ht="15.75" customHeight="1">
      <c r="A142" s="4"/>
      <c r="B142" s="4"/>
      <c r="C142" s="4"/>
      <c r="D142" s="4"/>
      <c r="E142" s="4"/>
      <c r="G142" s="4"/>
    </row>
    <row r="143" ht="15.75" customHeight="1">
      <c r="A143" s="4"/>
      <c r="B143" s="4"/>
      <c r="C143" s="4"/>
      <c r="D143" s="4"/>
      <c r="E143" s="4"/>
      <c r="G143" s="4"/>
    </row>
    <row r="144" ht="15.75" customHeight="1">
      <c r="A144" s="4"/>
      <c r="B144" s="4"/>
      <c r="C144" s="4"/>
      <c r="D144" s="4"/>
      <c r="E144" s="4"/>
      <c r="G144" s="4"/>
    </row>
    <row r="145" ht="15.75" customHeight="1">
      <c r="A145" s="4"/>
      <c r="B145" s="4"/>
      <c r="C145" s="4"/>
      <c r="D145" s="4"/>
      <c r="E145" s="4"/>
      <c r="G145" s="4"/>
    </row>
    <row r="146" ht="15.75" customHeight="1">
      <c r="A146" s="4"/>
      <c r="B146" s="4"/>
      <c r="C146" s="4"/>
      <c r="D146" s="4"/>
      <c r="E146" s="4"/>
      <c r="G146" s="4"/>
    </row>
    <row r="147" ht="15.75" customHeight="1">
      <c r="A147" s="4"/>
      <c r="B147" s="4"/>
      <c r="C147" s="4"/>
      <c r="D147" s="4"/>
      <c r="E147" s="4"/>
      <c r="G147" s="4"/>
    </row>
    <row r="148" ht="15.75" customHeight="1">
      <c r="A148" s="4"/>
      <c r="B148" s="4"/>
      <c r="C148" s="4"/>
      <c r="D148" s="4"/>
      <c r="E148" s="4"/>
      <c r="G148" s="4"/>
    </row>
    <row r="149" ht="15.75" customHeight="1">
      <c r="A149" s="4"/>
      <c r="B149" s="4"/>
      <c r="C149" s="4"/>
      <c r="D149" s="4"/>
      <c r="E149" s="4"/>
      <c r="G149" s="4"/>
    </row>
    <row r="150" ht="15.75" customHeight="1">
      <c r="A150" s="4"/>
      <c r="B150" s="4"/>
      <c r="C150" s="4"/>
      <c r="D150" s="4"/>
      <c r="E150" s="4"/>
      <c r="G150" s="4"/>
    </row>
    <row r="151" ht="15.75" customHeight="1">
      <c r="A151" s="4"/>
      <c r="B151" s="4"/>
      <c r="C151" s="4"/>
      <c r="D151" s="4"/>
      <c r="E151" s="4"/>
      <c r="G151" s="4"/>
    </row>
    <row r="152" ht="15.75" customHeight="1">
      <c r="A152" s="4"/>
      <c r="B152" s="4"/>
      <c r="C152" s="4"/>
      <c r="D152" s="4"/>
      <c r="E152" s="4"/>
      <c r="G152" s="4"/>
    </row>
    <row r="153" ht="15.75" customHeight="1">
      <c r="A153" s="4"/>
      <c r="B153" s="4"/>
      <c r="C153" s="4"/>
      <c r="D153" s="4"/>
      <c r="E153" s="4"/>
      <c r="G153" s="4"/>
    </row>
    <row r="154" ht="15.75" customHeight="1">
      <c r="A154" s="4"/>
      <c r="B154" s="4"/>
      <c r="C154" s="4"/>
      <c r="D154" s="4"/>
      <c r="E154" s="4"/>
      <c r="G154" s="4"/>
    </row>
    <row r="155" ht="15.75" customHeight="1">
      <c r="A155" s="4"/>
      <c r="B155" s="4"/>
      <c r="C155" s="4"/>
      <c r="D155" s="4"/>
      <c r="E155" s="4"/>
      <c r="G155" s="4"/>
    </row>
    <row r="156" ht="15.75" customHeight="1">
      <c r="A156" s="4"/>
      <c r="B156" s="4"/>
      <c r="C156" s="4"/>
      <c r="D156" s="4"/>
      <c r="E156" s="4"/>
      <c r="G156" s="4"/>
    </row>
    <row r="157" ht="15.75" customHeight="1">
      <c r="A157" s="4"/>
      <c r="B157" s="4"/>
      <c r="C157" s="4"/>
      <c r="D157" s="4"/>
      <c r="E157" s="4"/>
      <c r="G157" s="4"/>
    </row>
    <row r="158" ht="15.75" customHeight="1">
      <c r="A158" s="4"/>
      <c r="B158" s="4"/>
      <c r="C158" s="4"/>
      <c r="D158" s="4"/>
      <c r="E158" s="4"/>
      <c r="G158" s="4"/>
    </row>
    <row r="159" ht="15.75" customHeight="1">
      <c r="A159" s="4"/>
      <c r="B159" s="4"/>
      <c r="C159" s="4"/>
      <c r="D159" s="4"/>
      <c r="E159" s="4"/>
      <c r="G159" s="4"/>
    </row>
    <row r="160" ht="15.75" customHeight="1">
      <c r="A160" s="4"/>
      <c r="B160" s="4"/>
      <c r="C160" s="4"/>
      <c r="D160" s="4"/>
      <c r="E160" s="4"/>
      <c r="G160" s="4"/>
    </row>
    <row r="161" ht="15.75" customHeight="1">
      <c r="A161" s="4"/>
      <c r="B161" s="4"/>
      <c r="C161" s="4"/>
      <c r="D161" s="4"/>
      <c r="E161" s="4"/>
      <c r="G161" s="4"/>
    </row>
    <row r="162" ht="15.75" customHeight="1">
      <c r="A162" s="4"/>
      <c r="B162" s="4"/>
      <c r="C162" s="4"/>
      <c r="D162" s="4"/>
      <c r="E162" s="4"/>
      <c r="G162" s="4"/>
    </row>
    <row r="163" ht="15.75" customHeight="1">
      <c r="A163" s="4"/>
      <c r="B163" s="4"/>
      <c r="C163" s="4"/>
      <c r="D163" s="4"/>
      <c r="E163" s="4"/>
      <c r="G163" s="4"/>
    </row>
    <row r="164" ht="15.75" customHeight="1">
      <c r="A164" s="4"/>
      <c r="B164" s="4"/>
      <c r="C164" s="4"/>
      <c r="D164" s="4"/>
      <c r="E164" s="4"/>
      <c r="G164" s="4"/>
    </row>
    <row r="165" ht="15.75" customHeight="1">
      <c r="A165" s="4"/>
      <c r="B165" s="4"/>
      <c r="C165" s="4"/>
      <c r="D165" s="4"/>
      <c r="E165" s="4"/>
      <c r="G165" s="4"/>
    </row>
    <row r="166" ht="15.75" customHeight="1">
      <c r="A166" s="4"/>
      <c r="B166" s="4"/>
      <c r="C166" s="4"/>
      <c r="D166" s="4"/>
      <c r="E166" s="4"/>
      <c r="G166" s="4"/>
    </row>
    <row r="167" ht="15.75" customHeight="1">
      <c r="A167" s="4"/>
      <c r="B167" s="4"/>
      <c r="C167" s="4"/>
      <c r="D167" s="4"/>
      <c r="E167" s="4"/>
      <c r="G167" s="4"/>
    </row>
    <row r="168" ht="15.75" customHeight="1">
      <c r="A168" s="4"/>
      <c r="B168" s="4"/>
      <c r="C168" s="4"/>
      <c r="D168" s="4"/>
      <c r="E168" s="4"/>
      <c r="G168" s="4"/>
    </row>
    <row r="169" ht="15.75" customHeight="1">
      <c r="A169" s="4"/>
      <c r="B169" s="4"/>
      <c r="C169" s="4"/>
      <c r="D169" s="4"/>
      <c r="E169" s="4"/>
      <c r="G169" s="4"/>
    </row>
    <row r="170" ht="15.75" customHeight="1">
      <c r="A170" s="4"/>
      <c r="B170" s="4"/>
      <c r="C170" s="4"/>
      <c r="D170" s="4"/>
      <c r="E170" s="4"/>
      <c r="G170" s="4"/>
    </row>
    <row r="171" ht="15.75" customHeight="1">
      <c r="A171" s="4"/>
      <c r="B171" s="4"/>
      <c r="C171" s="4"/>
      <c r="D171" s="4"/>
      <c r="E171" s="4"/>
      <c r="G171" s="4"/>
    </row>
    <row r="172" ht="15.75" customHeight="1">
      <c r="A172" s="4"/>
      <c r="B172" s="4"/>
      <c r="C172" s="4"/>
      <c r="D172" s="4"/>
      <c r="E172" s="4"/>
      <c r="G172" s="4"/>
    </row>
    <row r="173" ht="15.75" customHeight="1">
      <c r="A173" s="4"/>
      <c r="B173" s="4"/>
      <c r="C173" s="4"/>
      <c r="D173" s="4"/>
      <c r="E173" s="4"/>
      <c r="G173" s="4"/>
    </row>
    <row r="174" ht="15.75" customHeight="1">
      <c r="A174" s="4"/>
      <c r="B174" s="4"/>
      <c r="C174" s="4"/>
      <c r="D174" s="4"/>
      <c r="E174" s="4"/>
      <c r="G174" s="4"/>
    </row>
    <row r="175" ht="15.75" customHeight="1">
      <c r="A175" s="4"/>
      <c r="B175" s="4"/>
      <c r="C175" s="4"/>
      <c r="D175" s="4"/>
      <c r="E175" s="4"/>
      <c r="G175" s="4"/>
    </row>
    <row r="176" ht="15.75" customHeight="1">
      <c r="A176" s="4"/>
      <c r="B176" s="4"/>
      <c r="C176" s="4"/>
      <c r="D176" s="4"/>
      <c r="E176" s="4"/>
      <c r="G176" s="4"/>
    </row>
    <row r="177" ht="15.75" customHeight="1">
      <c r="A177" s="4"/>
      <c r="B177" s="4"/>
      <c r="C177" s="4"/>
      <c r="D177" s="4"/>
      <c r="E177" s="4"/>
      <c r="G177" s="4"/>
    </row>
    <row r="178" ht="15.75" customHeight="1">
      <c r="A178" s="4"/>
      <c r="B178" s="4"/>
      <c r="C178" s="4"/>
      <c r="D178" s="4"/>
      <c r="E178" s="4"/>
      <c r="G178" s="4"/>
    </row>
    <row r="179" ht="15.75" customHeight="1">
      <c r="A179" s="4"/>
      <c r="B179" s="4"/>
      <c r="C179" s="4"/>
      <c r="D179" s="4"/>
      <c r="E179" s="4"/>
      <c r="G179" s="4"/>
    </row>
    <row r="180" ht="15.75" customHeight="1">
      <c r="A180" s="4"/>
      <c r="B180" s="4"/>
      <c r="C180" s="4"/>
      <c r="D180" s="4"/>
      <c r="E180" s="4"/>
      <c r="G180" s="4"/>
    </row>
    <row r="181" ht="15.75" customHeight="1">
      <c r="A181" s="4"/>
      <c r="B181" s="4"/>
      <c r="C181" s="4"/>
      <c r="D181" s="4"/>
      <c r="E181" s="4"/>
      <c r="G181" s="4"/>
    </row>
    <row r="182" ht="15.75" customHeight="1">
      <c r="A182" s="4"/>
      <c r="B182" s="4"/>
      <c r="C182" s="4"/>
      <c r="D182" s="4"/>
      <c r="E182" s="4"/>
      <c r="G182" s="4"/>
    </row>
    <row r="183" ht="15.75" customHeight="1">
      <c r="A183" s="4"/>
      <c r="B183" s="4"/>
      <c r="C183" s="4"/>
      <c r="D183" s="4"/>
      <c r="E183" s="4"/>
      <c r="G183" s="4"/>
    </row>
    <row r="184" ht="15.75" customHeight="1">
      <c r="A184" s="4"/>
      <c r="B184" s="4"/>
      <c r="C184" s="4"/>
      <c r="D184" s="4"/>
      <c r="E184" s="4"/>
      <c r="G184" s="4"/>
    </row>
    <row r="185" ht="15.75" customHeight="1">
      <c r="A185" s="4"/>
      <c r="B185" s="4"/>
      <c r="C185" s="4"/>
      <c r="D185" s="4"/>
      <c r="E185" s="4"/>
      <c r="G185" s="4"/>
    </row>
    <row r="186" ht="15.75" customHeight="1">
      <c r="A186" s="4"/>
      <c r="B186" s="4"/>
      <c r="C186" s="4"/>
      <c r="D186" s="4"/>
      <c r="E186" s="4"/>
      <c r="G186" s="4"/>
    </row>
    <row r="187" ht="15.75" customHeight="1">
      <c r="A187" s="4"/>
      <c r="B187" s="4"/>
      <c r="C187" s="4"/>
      <c r="D187" s="4"/>
      <c r="E187" s="4"/>
      <c r="G187" s="4"/>
    </row>
    <row r="188" ht="15.75" customHeight="1">
      <c r="A188" s="4"/>
      <c r="B188" s="4"/>
      <c r="C188" s="4"/>
      <c r="D188" s="4"/>
      <c r="E188" s="4"/>
      <c r="G188" s="4"/>
    </row>
    <row r="189" ht="15.75" customHeight="1">
      <c r="A189" s="4"/>
      <c r="B189" s="4"/>
      <c r="C189" s="4"/>
      <c r="D189" s="4"/>
      <c r="E189" s="4"/>
      <c r="G189" s="4"/>
    </row>
    <row r="190" ht="15.75" customHeight="1">
      <c r="A190" s="4"/>
      <c r="B190" s="4"/>
      <c r="C190" s="4"/>
      <c r="D190" s="4"/>
      <c r="E190" s="4"/>
      <c r="G190" s="4"/>
    </row>
    <row r="191" ht="15.75" customHeight="1">
      <c r="A191" s="4"/>
      <c r="B191" s="4"/>
      <c r="C191" s="4"/>
      <c r="D191" s="4"/>
      <c r="E191" s="4"/>
      <c r="G191" s="4"/>
    </row>
    <row r="192" ht="15.75" customHeight="1">
      <c r="A192" s="4"/>
      <c r="B192" s="4"/>
      <c r="C192" s="4"/>
      <c r="D192" s="4"/>
      <c r="E192" s="4"/>
      <c r="G192" s="4"/>
    </row>
    <row r="193" ht="15.75" customHeight="1">
      <c r="A193" s="4"/>
      <c r="B193" s="4"/>
      <c r="C193" s="4"/>
      <c r="D193" s="4"/>
      <c r="E193" s="4"/>
      <c r="G193" s="4"/>
    </row>
    <row r="194" ht="15.75" customHeight="1">
      <c r="A194" s="4"/>
      <c r="B194" s="4"/>
      <c r="C194" s="4"/>
      <c r="D194" s="4"/>
      <c r="E194" s="4"/>
      <c r="G194" s="4"/>
    </row>
    <row r="195" ht="15.75" customHeight="1">
      <c r="A195" s="4"/>
      <c r="B195" s="4"/>
      <c r="C195" s="4"/>
      <c r="D195" s="4"/>
      <c r="E195" s="4"/>
      <c r="G195" s="4"/>
    </row>
    <row r="196" ht="15.75" customHeight="1">
      <c r="A196" s="4"/>
      <c r="B196" s="4"/>
      <c r="C196" s="4"/>
      <c r="D196" s="4"/>
      <c r="E196" s="4"/>
      <c r="G196" s="4"/>
    </row>
    <row r="197" ht="15.75" customHeight="1">
      <c r="A197" s="4"/>
      <c r="B197" s="4"/>
      <c r="C197" s="4"/>
      <c r="D197" s="4"/>
      <c r="E197" s="4"/>
      <c r="G197" s="4"/>
    </row>
    <row r="198" ht="15.75" customHeight="1">
      <c r="A198" s="4"/>
      <c r="B198" s="4"/>
      <c r="C198" s="4"/>
      <c r="D198" s="4"/>
      <c r="E198" s="4"/>
      <c r="G198" s="4"/>
    </row>
    <row r="199" ht="15.75" customHeight="1">
      <c r="A199" s="4"/>
      <c r="B199" s="4"/>
      <c r="C199" s="4"/>
      <c r="D199" s="4"/>
      <c r="E199" s="4"/>
      <c r="G199" s="4"/>
    </row>
    <row r="200" ht="15.75" customHeight="1">
      <c r="A200" s="4"/>
      <c r="B200" s="4"/>
      <c r="C200" s="4"/>
      <c r="D200" s="4"/>
      <c r="E200" s="4"/>
      <c r="G200" s="4"/>
    </row>
    <row r="201" ht="15.75" customHeight="1">
      <c r="A201" s="4"/>
      <c r="B201" s="4"/>
      <c r="C201" s="4"/>
      <c r="D201" s="4"/>
      <c r="E201" s="4"/>
      <c r="G201" s="4"/>
    </row>
    <row r="202" ht="15.75" customHeight="1">
      <c r="A202" s="4"/>
      <c r="B202" s="4"/>
      <c r="C202" s="4"/>
      <c r="D202" s="4"/>
      <c r="E202" s="4"/>
      <c r="G202" s="4"/>
    </row>
    <row r="203" ht="15.75" customHeight="1">
      <c r="A203" s="4"/>
      <c r="B203" s="4"/>
      <c r="C203" s="4"/>
      <c r="D203" s="4"/>
      <c r="E203" s="4"/>
      <c r="G203" s="4"/>
    </row>
    <row r="204" ht="15.75" customHeight="1">
      <c r="A204" s="4"/>
      <c r="B204" s="4"/>
      <c r="C204" s="4"/>
      <c r="D204" s="4"/>
      <c r="E204" s="4"/>
      <c r="G204" s="4"/>
    </row>
    <row r="205" ht="15.75" customHeight="1">
      <c r="A205" s="4"/>
      <c r="B205" s="4"/>
      <c r="C205" s="4"/>
      <c r="D205" s="4"/>
      <c r="E205" s="4"/>
      <c r="G205" s="4"/>
    </row>
    <row r="206" ht="15.75" customHeight="1">
      <c r="A206" s="4"/>
      <c r="B206" s="4"/>
      <c r="C206" s="4"/>
      <c r="D206" s="4"/>
      <c r="E206" s="4"/>
      <c r="G206" s="4"/>
    </row>
    <row r="207" ht="15.75" customHeight="1">
      <c r="A207" s="4"/>
      <c r="B207" s="4"/>
      <c r="C207" s="4"/>
      <c r="D207" s="4"/>
      <c r="E207" s="4"/>
      <c r="G207" s="4"/>
    </row>
    <row r="208" ht="15.75" customHeight="1">
      <c r="A208" s="4"/>
      <c r="B208" s="4"/>
      <c r="C208" s="4"/>
      <c r="D208" s="4"/>
      <c r="E208" s="4"/>
      <c r="G208" s="4"/>
    </row>
    <row r="209" ht="15.75" customHeight="1">
      <c r="A209" s="4"/>
      <c r="B209" s="4"/>
      <c r="C209" s="4"/>
      <c r="D209" s="4"/>
      <c r="E209" s="4"/>
      <c r="G209" s="4"/>
    </row>
    <row r="210" ht="15.75" customHeight="1">
      <c r="A210" s="4"/>
      <c r="B210" s="4"/>
      <c r="C210" s="4"/>
      <c r="D210" s="4"/>
      <c r="E210" s="4"/>
      <c r="G210" s="4"/>
    </row>
    <row r="211" ht="15.75" customHeight="1">
      <c r="A211" s="4"/>
      <c r="B211" s="4"/>
      <c r="C211" s="4"/>
      <c r="D211" s="4"/>
      <c r="E211" s="4"/>
      <c r="G211" s="4"/>
    </row>
    <row r="212" ht="15.75" customHeight="1">
      <c r="A212" s="4"/>
      <c r="B212" s="4"/>
      <c r="C212" s="4"/>
      <c r="D212" s="4"/>
      <c r="E212" s="4"/>
      <c r="G212" s="4"/>
    </row>
    <row r="213" ht="15.75" customHeight="1">
      <c r="A213" s="4"/>
      <c r="B213" s="4"/>
      <c r="C213" s="4"/>
      <c r="D213" s="4"/>
      <c r="E213" s="4"/>
      <c r="G213" s="4"/>
    </row>
    <row r="214" ht="15.75" customHeight="1">
      <c r="A214" s="4"/>
      <c r="B214" s="4"/>
      <c r="C214" s="4"/>
      <c r="D214" s="4"/>
      <c r="E214" s="4"/>
      <c r="G214" s="4"/>
    </row>
    <row r="215" ht="15.75" customHeight="1">
      <c r="A215" s="4"/>
      <c r="B215" s="4"/>
      <c r="C215" s="4"/>
      <c r="D215" s="4"/>
      <c r="E215" s="4"/>
      <c r="G215" s="4"/>
    </row>
    <row r="216" ht="15.75" customHeight="1">
      <c r="A216" s="4"/>
      <c r="B216" s="4"/>
      <c r="C216" s="4"/>
      <c r="D216" s="4"/>
      <c r="E216" s="4"/>
      <c r="G216" s="4"/>
    </row>
    <row r="217" ht="15.75" customHeight="1">
      <c r="A217" s="4"/>
      <c r="B217" s="4"/>
      <c r="C217" s="4"/>
      <c r="D217" s="4"/>
      <c r="E217" s="4"/>
      <c r="G217" s="4"/>
    </row>
    <row r="218" ht="15.75" customHeight="1">
      <c r="A218" s="4"/>
      <c r="B218" s="4"/>
      <c r="C218" s="4"/>
      <c r="D218" s="4"/>
      <c r="E218" s="4"/>
      <c r="G218" s="4"/>
    </row>
    <row r="219" ht="15.75" customHeight="1">
      <c r="A219" s="4"/>
      <c r="B219" s="4"/>
      <c r="C219" s="4"/>
      <c r="D219" s="4"/>
      <c r="E219" s="4"/>
      <c r="G219" s="4"/>
    </row>
    <row r="220" ht="15.75" customHeight="1">
      <c r="A220" s="4"/>
      <c r="B220" s="4"/>
      <c r="C220" s="4"/>
      <c r="D220" s="4"/>
      <c r="E220" s="4"/>
      <c r="G220" s="4"/>
    </row>
    <row r="221" ht="15.75" customHeight="1">
      <c r="A221" s="4"/>
      <c r="B221" s="4"/>
      <c r="C221" s="4"/>
      <c r="D221" s="4"/>
      <c r="E221" s="4"/>
      <c r="G221" s="4"/>
    </row>
    <row r="222" ht="15.75" customHeight="1">
      <c r="A222" s="4"/>
      <c r="B222" s="4"/>
      <c r="C222" s="4"/>
      <c r="D222" s="4"/>
      <c r="E222" s="4"/>
      <c r="G222" s="4"/>
    </row>
    <row r="223" ht="15.75" customHeight="1">
      <c r="A223" s="4"/>
      <c r="B223" s="4"/>
      <c r="C223" s="4"/>
      <c r="D223" s="4"/>
      <c r="E223" s="4"/>
      <c r="G223" s="4"/>
    </row>
    <row r="224" ht="15.75" customHeight="1">
      <c r="A224" s="4"/>
      <c r="B224" s="4"/>
      <c r="C224" s="4"/>
      <c r="D224" s="4"/>
      <c r="E224" s="4"/>
      <c r="G224" s="4"/>
    </row>
    <row r="225" ht="15.75" customHeight="1">
      <c r="A225" s="4"/>
      <c r="B225" s="4"/>
      <c r="C225" s="4"/>
      <c r="D225" s="4"/>
      <c r="E225" s="4"/>
      <c r="G225" s="4"/>
    </row>
    <row r="226" ht="15.75" customHeight="1">
      <c r="A226" s="4"/>
      <c r="B226" s="4"/>
      <c r="C226" s="4"/>
      <c r="D226" s="4"/>
      <c r="E226" s="4"/>
      <c r="G226" s="4"/>
    </row>
    <row r="227" ht="15.75" customHeight="1">
      <c r="A227" s="4"/>
      <c r="B227" s="4"/>
      <c r="C227" s="4"/>
      <c r="D227" s="4"/>
      <c r="E227" s="4"/>
      <c r="G227" s="4"/>
    </row>
    <row r="228" ht="15.75" customHeight="1">
      <c r="A228" s="4"/>
      <c r="B228" s="4"/>
      <c r="C228" s="4"/>
      <c r="D228" s="4"/>
      <c r="E228" s="4"/>
      <c r="G228" s="4"/>
    </row>
    <row r="229" ht="15.75" customHeight="1">
      <c r="A229" s="4"/>
      <c r="B229" s="4"/>
      <c r="C229" s="4"/>
      <c r="D229" s="4"/>
      <c r="E229" s="4"/>
      <c r="G229" s="4"/>
    </row>
    <row r="230" ht="15.75" customHeight="1">
      <c r="A230" s="4"/>
      <c r="B230" s="4"/>
      <c r="C230" s="4"/>
      <c r="D230" s="4"/>
      <c r="E230" s="4"/>
      <c r="G230" s="4"/>
    </row>
    <row r="231" ht="15.75" customHeight="1">
      <c r="A231" s="4"/>
      <c r="B231" s="4"/>
      <c r="C231" s="4"/>
      <c r="D231" s="4"/>
      <c r="E231" s="4"/>
      <c r="G231" s="4"/>
    </row>
    <row r="232" ht="15.75" customHeight="1">
      <c r="A232" s="4"/>
      <c r="B232" s="4"/>
      <c r="C232" s="4"/>
      <c r="D232" s="4"/>
      <c r="E232" s="4"/>
      <c r="G232" s="4"/>
    </row>
    <row r="233" ht="15.75" customHeight="1">
      <c r="A233" s="4"/>
      <c r="B233" s="4"/>
      <c r="C233" s="4"/>
      <c r="D233" s="4"/>
      <c r="E233" s="4"/>
      <c r="G233" s="4"/>
    </row>
    <row r="234" ht="15.75" customHeight="1">
      <c r="A234" s="4"/>
      <c r="B234" s="4"/>
      <c r="C234" s="4"/>
      <c r="D234" s="4"/>
      <c r="E234" s="4"/>
      <c r="G234" s="4"/>
    </row>
    <row r="235" ht="15.75" customHeight="1">
      <c r="A235" s="4"/>
      <c r="B235" s="4"/>
      <c r="C235" s="4"/>
      <c r="D235" s="4"/>
      <c r="E235" s="4"/>
      <c r="G235" s="4"/>
    </row>
    <row r="236" ht="15.75" customHeight="1">
      <c r="A236" s="4"/>
      <c r="B236" s="4"/>
      <c r="C236" s="4"/>
      <c r="D236" s="4"/>
      <c r="E236" s="4"/>
      <c r="G236" s="4"/>
    </row>
    <row r="237" ht="15.75" customHeight="1">
      <c r="A237" s="4"/>
      <c r="B237" s="4"/>
      <c r="C237" s="4"/>
      <c r="D237" s="4"/>
      <c r="E237" s="4"/>
      <c r="G237" s="4"/>
    </row>
    <row r="238" ht="15.75" customHeight="1">
      <c r="A238" s="4"/>
      <c r="B238" s="4"/>
      <c r="C238" s="4"/>
      <c r="D238" s="4"/>
      <c r="E238" s="4"/>
      <c r="G238" s="4"/>
    </row>
    <row r="239" ht="15.75" customHeight="1">
      <c r="A239" s="4"/>
      <c r="B239" s="4"/>
      <c r="C239" s="4"/>
      <c r="D239" s="4"/>
      <c r="E239" s="4"/>
      <c r="G239" s="4"/>
    </row>
    <row r="240" ht="15.75" customHeight="1">
      <c r="A240" s="4"/>
      <c r="B240" s="4"/>
      <c r="C240" s="4"/>
      <c r="D240" s="4"/>
      <c r="E240" s="4"/>
      <c r="G240" s="4"/>
    </row>
    <row r="241" ht="15.75" customHeight="1">
      <c r="A241" s="4"/>
      <c r="B241" s="4"/>
      <c r="C241" s="4"/>
      <c r="D241" s="4"/>
      <c r="E241" s="4"/>
      <c r="G241" s="4"/>
    </row>
    <row r="242" ht="15.75" customHeight="1">
      <c r="A242" s="4"/>
      <c r="B242" s="4"/>
      <c r="C242" s="4"/>
      <c r="D242" s="4"/>
      <c r="E242" s="4"/>
      <c r="G242" s="4"/>
    </row>
    <row r="243" ht="15.75" customHeight="1">
      <c r="A243" s="4"/>
      <c r="B243" s="4"/>
      <c r="C243" s="4"/>
      <c r="D243" s="4"/>
      <c r="E243" s="4"/>
      <c r="G243" s="4"/>
    </row>
    <row r="244" ht="15.75" customHeight="1">
      <c r="A244" s="4"/>
      <c r="B244" s="4"/>
      <c r="C244" s="4"/>
      <c r="D244" s="4"/>
      <c r="E244" s="4"/>
      <c r="G244" s="4"/>
    </row>
    <row r="245" ht="15.75" customHeight="1">
      <c r="A245" s="4"/>
      <c r="B245" s="4"/>
      <c r="C245" s="4"/>
      <c r="D245" s="4"/>
      <c r="E245" s="4"/>
      <c r="G245" s="4"/>
    </row>
    <row r="246" ht="15.75" customHeight="1">
      <c r="A246" s="4"/>
      <c r="B246" s="4"/>
      <c r="C246" s="4"/>
      <c r="D246" s="4"/>
      <c r="E246" s="4"/>
      <c r="G246" s="4"/>
    </row>
    <row r="247" ht="15.75" customHeight="1">
      <c r="A247" s="4"/>
      <c r="B247" s="4"/>
      <c r="C247" s="4"/>
      <c r="D247" s="4"/>
      <c r="E247" s="4"/>
      <c r="G247" s="4"/>
    </row>
    <row r="248" ht="15.75" customHeight="1">
      <c r="A248" s="4"/>
      <c r="B248" s="4"/>
      <c r="C248" s="4"/>
      <c r="D248" s="4"/>
      <c r="E248" s="4"/>
      <c r="G248" s="4"/>
    </row>
    <row r="249" ht="15.75" customHeight="1">
      <c r="A249" s="4"/>
      <c r="B249" s="4"/>
      <c r="C249" s="4"/>
      <c r="D249" s="4"/>
      <c r="E249" s="4"/>
      <c r="G249" s="4"/>
    </row>
    <row r="250" ht="15.75" customHeight="1">
      <c r="A250" s="4"/>
      <c r="B250" s="4"/>
      <c r="C250" s="4"/>
      <c r="D250" s="4"/>
      <c r="E250" s="4"/>
      <c r="G250" s="4"/>
    </row>
    <row r="251" ht="15.75" customHeight="1">
      <c r="A251" s="4"/>
      <c r="B251" s="4"/>
      <c r="C251" s="4"/>
      <c r="D251" s="4"/>
      <c r="E251" s="4"/>
      <c r="G251" s="4"/>
    </row>
    <row r="252" ht="15.75" customHeight="1">
      <c r="A252" s="4"/>
      <c r="B252" s="4"/>
      <c r="C252" s="4"/>
      <c r="D252" s="4"/>
      <c r="E252" s="4"/>
      <c r="G252" s="4"/>
    </row>
    <row r="253" ht="15.75" customHeight="1">
      <c r="A253" s="4"/>
      <c r="B253" s="4"/>
      <c r="C253" s="4"/>
      <c r="D253" s="4"/>
      <c r="E253" s="4"/>
      <c r="G253" s="4"/>
    </row>
    <row r="254" ht="15.75" customHeight="1">
      <c r="A254" s="4"/>
      <c r="B254" s="4"/>
      <c r="C254" s="4"/>
      <c r="D254" s="4"/>
      <c r="E254" s="4"/>
      <c r="G254" s="4"/>
    </row>
    <row r="255" ht="15.75" customHeight="1">
      <c r="A255" s="4"/>
      <c r="B255" s="4"/>
      <c r="C255" s="4"/>
      <c r="D255" s="4"/>
      <c r="E255" s="4"/>
      <c r="G255" s="4"/>
    </row>
    <row r="256" ht="15.75" customHeight="1">
      <c r="A256" s="4"/>
      <c r="B256" s="4"/>
      <c r="C256" s="4"/>
      <c r="D256" s="4"/>
      <c r="E256" s="4"/>
      <c r="G256" s="4"/>
    </row>
    <row r="257" ht="15.75" customHeight="1">
      <c r="A257" s="4"/>
      <c r="B257" s="4"/>
      <c r="C257" s="4"/>
      <c r="D257" s="4"/>
      <c r="E257" s="4"/>
      <c r="G257" s="4"/>
    </row>
    <row r="258" ht="15.75" customHeight="1">
      <c r="A258" s="4"/>
      <c r="B258" s="4"/>
      <c r="C258" s="4"/>
      <c r="D258" s="4"/>
      <c r="E258" s="4"/>
      <c r="G258" s="4"/>
    </row>
    <row r="259" ht="15.75" customHeight="1">
      <c r="A259" s="4"/>
      <c r="B259" s="4"/>
      <c r="C259" s="4"/>
      <c r="D259" s="4"/>
      <c r="E259" s="4"/>
      <c r="G259" s="4"/>
    </row>
    <row r="260" ht="15.75" customHeight="1">
      <c r="A260" s="4"/>
      <c r="B260" s="4"/>
      <c r="C260" s="4"/>
      <c r="D260" s="4"/>
      <c r="E260" s="4"/>
      <c r="G260" s="4"/>
    </row>
    <row r="261" ht="15.75" customHeight="1">
      <c r="A261" s="4"/>
      <c r="B261" s="4"/>
      <c r="C261" s="4"/>
      <c r="D261" s="4"/>
      <c r="E261" s="4"/>
      <c r="G261" s="4"/>
    </row>
    <row r="262" ht="15.75" customHeight="1">
      <c r="A262" s="4"/>
      <c r="B262" s="4"/>
      <c r="C262" s="4"/>
      <c r="D262" s="4"/>
      <c r="E262" s="4"/>
      <c r="G262" s="4"/>
    </row>
    <row r="263" ht="15.75" customHeight="1">
      <c r="A263" s="4"/>
      <c r="B263" s="4"/>
      <c r="C263" s="4"/>
      <c r="D263" s="4"/>
      <c r="E263" s="4"/>
      <c r="G263" s="4"/>
    </row>
    <row r="264" ht="15.75" customHeight="1">
      <c r="A264" s="4"/>
      <c r="B264" s="4"/>
      <c r="C264" s="4"/>
      <c r="D264" s="4"/>
      <c r="E264" s="4"/>
      <c r="G264" s="4"/>
    </row>
    <row r="265" ht="15.75" customHeight="1">
      <c r="A265" s="4"/>
      <c r="B265" s="4"/>
      <c r="C265" s="4"/>
      <c r="D265" s="4"/>
      <c r="E265" s="4"/>
      <c r="G265" s="4"/>
    </row>
    <row r="266" ht="15.75" customHeight="1">
      <c r="A266" s="4"/>
      <c r="B266" s="4"/>
      <c r="C266" s="4"/>
      <c r="D266" s="4"/>
      <c r="E266" s="4"/>
      <c r="G266" s="4"/>
    </row>
    <row r="267" ht="15.75" customHeight="1">
      <c r="A267" s="4"/>
      <c r="B267" s="4"/>
      <c r="C267" s="4"/>
      <c r="D267" s="4"/>
      <c r="E267" s="4"/>
      <c r="G267" s="4"/>
    </row>
    <row r="268" ht="15.75" customHeight="1">
      <c r="A268" s="4"/>
      <c r="B268" s="4"/>
      <c r="C268" s="4"/>
      <c r="D268" s="4"/>
      <c r="E268" s="4"/>
      <c r="G268" s="4"/>
    </row>
    <row r="269" ht="15.75" customHeight="1">
      <c r="A269" s="4"/>
      <c r="B269" s="4"/>
      <c r="C269" s="4"/>
      <c r="D269" s="4"/>
      <c r="E269" s="4"/>
      <c r="G269" s="4"/>
    </row>
    <row r="270" ht="15.75" customHeight="1">
      <c r="A270" s="4"/>
      <c r="B270" s="4"/>
      <c r="C270" s="4"/>
      <c r="D270" s="4"/>
      <c r="E270" s="4"/>
      <c r="G270" s="4"/>
    </row>
    <row r="271" ht="15.75" customHeight="1">
      <c r="A271" s="4"/>
      <c r="B271" s="4"/>
      <c r="C271" s="4"/>
      <c r="D271" s="4"/>
      <c r="E271" s="4"/>
      <c r="G271" s="4"/>
    </row>
    <row r="272" ht="15.75" customHeight="1">
      <c r="A272" s="4"/>
      <c r="B272" s="4"/>
      <c r="C272" s="4"/>
      <c r="D272" s="4"/>
      <c r="E272" s="4"/>
      <c r="G272" s="4"/>
    </row>
    <row r="273" ht="15.75" customHeight="1">
      <c r="A273" s="4"/>
      <c r="B273" s="4"/>
      <c r="C273" s="4"/>
      <c r="D273" s="4"/>
      <c r="E273" s="4"/>
      <c r="G273" s="4"/>
    </row>
    <row r="274" ht="15.75" customHeight="1">
      <c r="A274" s="4"/>
      <c r="B274" s="4"/>
      <c r="C274" s="4"/>
      <c r="D274" s="4"/>
      <c r="E274" s="4"/>
      <c r="G274" s="4"/>
    </row>
    <row r="275" ht="15.75" customHeight="1">
      <c r="A275" s="4"/>
      <c r="B275" s="4"/>
      <c r="C275" s="4"/>
      <c r="D275" s="4"/>
      <c r="E275" s="4"/>
      <c r="G275" s="4"/>
    </row>
    <row r="276" ht="15.75" customHeight="1">
      <c r="A276" s="4"/>
      <c r="B276" s="4"/>
      <c r="C276" s="4"/>
      <c r="D276" s="4"/>
      <c r="E276" s="4"/>
      <c r="G276" s="4"/>
    </row>
    <row r="277" ht="15.75" customHeight="1">
      <c r="A277" s="4"/>
      <c r="B277" s="4"/>
      <c r="C277" s="4"/>
      <c r="D277" s="4"/>
      <c r="E277" s="4"/>
      <c r="G277" s="4"/>
    </row>
    <row r="278" ht="15.75" customHeight="1">
      <c r="A278" s="4"/>
      <c r="B278" s="4"/>
      <c r="C278" s="4"/>
      <c r="D278" s="4"/>
      <c r="E278" s="4"/>
      <c r="G278" s="4"/>
    </row>
    <row r="279" ht="15.75" customHeight="1">
      <c r="A279" s="4"/>
      <c r="B279" s="4"/>
      <c r="C279" s="4"/>
      <c r="D279" s="4"/>
      <c r="E279" s="4"/>
      <c r="G279" s="4"/>
    </row>
    <row r="280" ht="15.75" customHeight="1">
      <c r="A280" s="4"/>
      <c r="B280" s="4"/>
      <c r="C280" s="4"/>
      <c r="D280" s="4"/>
      <c r="E280" s="4"/>
      <c r="G280" s="4"/>
    </row>
    <row r="281" ht="15.75" customHeight="1">
      <c r="A281" s="4"/>
      <c r="B281" s="4"/>
      <c r="C281" s="4"/>
      <c r="D281" s="4"/>
      <c r="E281" s="4"/>
      <c r="G281" s="4"/>
    </row>
    <row r="282" ht="15.75" customHeight="1">
      <c r="A282" s="4"/>
      <c r="B282" s="4"/>
      <c r="C282" s="4"/>
      <c r="D282" s="4"/>
      <c r="E282" s="4"/>
      <c r="G282" s="4"/>
    </row>
    <row r="283" ht="15.75" customHeight="1">
      <c r="A283" s="4"/>
      <c r="B283" s="4"/>
      <c r="C283" s="4"/>
      <c r="D283" s="4"/>
      <c r="E283" s="4"/>
      <c r="G283" s="4"/>
    </row>
    <row r="284" ht="15.75" customHeight="1">
      <c r="A284" s="4"/>
      <c r="B284" s="4"/>
      <c r="C284" s="4"/>
      <c r="D284" s="4"/>
      <c r="E284" s="4"/>
      <c r="G284" s="4"/>
    </row>
    <row r="285" ht="15.75" customHeight="1">
      <c r="A285" s="4"/>
      <c r="B285" s="4"/>
      <c r="C285" s="4"/>
      <c r="D285" s="4"/>
      <c r="E285" s="4"/>
      <c r="G285" s="4"/>
    </row>
    <row r="286" ht="15.75" customHeight="1">
      <c r="A286" s="4"/>
      <c r="B286" s="4"/>
      <c r="C286" s="4"/>
      <c r="D286" s="4"/>
      <c r="E286" s="4"/>
      <c r="G286" s="4"/>
    </row>
    <row r="287" ht="15.75" customHeight="1">
      <c r="A287" s="4"/>
      <c r="B287" s="4"/>
      <c r="C287" s="4"/>
      <c r="D287" s="4"/>
      <c r="E287" s="4"/>
      <c r="G287" s="4"/>
    </row>
    <row r="288" ht="15.75" customHeight="1">
      <c r="A288" s="4"/>
      <c r="B288" s="4"/>
      <c r="C288" s="4"/>
      <c r="D288" s="4"/>
      <c r="E288" s="4"/>
      <c r="G288" s="4"/>
    </row>
    <row r="289" ht="15.75" customHeight="1">
      <c r="A289" s="4"/>
      <c r="B289" s="4"/>
      <c r="C289" s="4"/>
      <c r="D289" s="4"/>
      <c r="E289" s="4"/>
      <c r="G289" s="4"/>
    </row>
    <row r="290" ht="15.75" customHeight="1">
      <c r="A290" s="4"/>
      <c r="B290" s="4"/>
      <c r="C290" s="4"/>
      <c r="D290" s="4"/>
      <c r="E290" s="4"/>
      <c r="G290" s="4"/>
    </row>
    <row r="291" ht="15.75" customHeight="1">
      <c r="A291" s="4"/>
      <c r="B291" s="4"/>
      <c r="C291" s="4"/>
      <c r="D291" s="4"/>
      <c r="E291" s="4"/>
      <c r="G291" s="4"/>
    </row>
    <row r="292" ht="15.75" customHeight="1">
      <c r="A292" s="4"/>
      <c r="B292" s="4"/>
      <c r="C292" s="4"/>
      <c r="D292" s="4"/>
      <c r="E292" s="4"/>
      <c r="G292" s="4"/>
    </row>
    <row r="293" ht="15.75" customHeight="1">
      <c r="A293" s="4"/>
      <c r="B293" s="4"/>
      <c r="C293" s="4"/>
      <c r="D293" s="4"/>
      <c r="E293" s="4"/>
      <c r="G293" s="4"/>
    </row>
    <row r="294" ht="15.75" customHeight="1">
      <c r="A294" s="4"/>
      <c r="B294" s="4"/>
      <c r="C294" s="4"/>
      <c r="D294" s="4"/>
      <c r="E294" s="4"/>
      <c r="G294" s="4"/>
    </row>
    <row r="295" ht="15.75" customHeight="1">
      <c r="A295" s="4"/>
      <c r="B295" s="4"/>
      <c r="C295" s="4"/>
      <c r="D295" s="4"/>
      <c r="E295" s="4"/>
      <c r="G295" s="4"/>
    </row>
    <row r="296" ht="15.75" customHeight="1">
      <c r="A296" s="4"/>
      <c r="B296" s="4"/>
      <c r="C296" s="4"/>
      <c r="D296" s="4"/>
      <c r="E296" s="4"/>
      <c r="G296" s="4"/>
    </row>
    <row r="297" ht="15.75" customHeight="1">
      <c r="A297" s="4"/>
      <c r="B297" s="4"/>
      <c r="C297" s="4"/>
      <c r="D297" s="4"/>
      <c r="E297" s="4"/>
      <c r="G297" s="4"/>
    </row>
    <row r="298" ht="15.75" customHeight="1">
      <c r="A298" s="4"/>
      <c r="B298" s="4"/>
      <c r="C298" s="4"/>
      <c r="D298" s="4"/>
      <c r="E298" s="4"/>
      <c r="G298" s="4"/>
    </row>
    <row r="299" ht="15.75" customHeight="1">
      <c r="A299" s="4"/>
      <c r="B299" s="4"/>
      <c r="C299" s="4"/>
      <c r="D299" s="4"/>
      <c r="E299" s="4"/>
      <c r="G299" s="4"/>
    </row>
    <row r="300" ht="15.75" customHeight="1">
      <c r="A300" s="4"/>
      <c r="B300" s="4"/>
      <c r="C300" s="4"/>
      <c r="D300" s="4"/>
      <c r="E300" s="4"/>
      <c r="G300" s="4"/>
    </row>
    <row r="301" ht="15.75" customHeight="1">
      <c r="A301" s="4"/>
      <c r="B301" s="4"/>
      <c r="C301" s="4"/>
      <c r="D301" s="4"/>
      <c r="E301" s="4"/>
      <c r="G301" s="4"/>
    </row>
    <row r="302" ht="15.75" customHeight="1">
      <c r="A302" s="4"/>
      <c r="B302" s="4"/>
      <c r="C302" s="4"/>
      <c r="D302" s="4"/>
      <c r="E302" s="4"/>
      <c r="G302" s="4"/>
    </row>
    <row r="303" ht="15.75" customHeight="1">
      <c r="A303" s="4"/>
      <c r="B303" s="4"/>
      <c r="C303" s="4"/>
      <c r="D303" s="4"/>
      <c r="E303" s="4"/>
      <c r="G303" s="4"/>
    </row>
    <row r="304" ht="15.75" customHeight="1">
      <c r="A304" s="4"/>
      <c r="B304" s="4"/>
      <c r="C304" s="4"/>
      <c r="D304" s="4"/>
      <c r="E304" s="4"/>
      <c r="G304" s="4"/>
    </row>
    <row r="305" ht="15.75" customHeight="1">
      <c r="A305" s="4"/>
      <c r="B305" s="4"/>
      <c r="C305" s="4"/>
      <c r="D305" s="4"/>
      <c r="E305" s="4"/>
      <c r="G305" s="4"/>
    </row>
    <row r="306" ht="15.75" customHeight="1">
      <c r="A306" s="4"/>
      <c r="B306" s="4"/>
      <c r="C306" s="4"/>
      <c r="D306" s="4"/>
      <c r="E306" s="4"/>
      <c r="G306" s="4"/>
    </row>
    <row r="307" ht="15.75" customHeight="1">
      <c r="A307" s="4"/>
      <c r="B307" s="4"/>
      <c r="C307" s="4"/>
      <c r="D307" s="4"/>
      <c r="E307" s="4"/>
      <c r="G307" s="4"/>
    </row>
    <row r="308" ht="15.75" customHeight="1">
      <c r="A308" s="4"/>
      <c r="B308" s="4"/>
      <c r="C308" s="4"/>
      <c r="D308" s="4"/>
      <c r="E308" s="4"/>
      <c r="G308" s="4"/>
    </row>
    <row r="309" ht="15.75" customHeight="1">
      <c r="A309" s="4"/>
      <c r="B309" s="4"/>
      <c r="C309" s="4"/>
      <c r="D309" s="4"/>
      <c r="E309" s="4"/>
      <c r="G309" s="4"/>
    </row>
    <row r="310" ht="15.75" customHeight="1">
      <c r="A310" s="4"/>
      <c r="B310" s="4"/>
      <c r="C310" s="4"/>
      <c r="D310" s="4"/>
      <c r="E310" s="4"/>
      <c r="G310" s="4"/>
    </row>
    <row r="311" ht="15.75" customHeight="1">
      <c r="A311" s="4"/>
      <c r="B311" s="4"/>
      <c r="C311" s="4"/>
      <c r="D311" s="4"/>
      <c r="E311" s="4"/>
      <c r="G311" s="4"/>
    </row>
    <row r="312" ht="15.75" customHeight="1">
      <c r="A312" s="4"/>
      <c r="B312" s="4"/>
      <c r="C312" s="4"/>
      <c r="D312" s="4"/>
      <c r="E312" s="4"/>
      <c r="G312" s="4"/>
    </row>
    <row r="313" ht="15.75" customHeight="1">
      <c r="A313" s="4"/>
      <c r="B313" s="4"/>
      <c r="C313" s="4"/>
      <c r="D313" s="4"/>
      <c r="E313" s="4"/>
      <c r="G313" s="4"/>
    </row>
    <row r="314" ht="15.75" customHeight="1">
      <c r="A314" s="4"/>
      <c r="B314" s="4"/>
      <c r="C314" s="4"/>
      <c r="D314" s="4"/>
      <c r="E314" s="4"/>
      <c r="G314" s="4"/>
    </row>
    <row r="315" ht="15.75" customHeight="1">
      <c r="A315" s="4"/>
      <c r="B315" s="4"/>
      <c r="C315" s="4"/>
      <c r="D315" s="4"/>
      <c r="E315" s="4"/>
      <c r="G315" s="4"/>
    </row>
    <row r="316" ht="15.75" customHeight="1">
      <c r="A316" s="4"/>
      <c r="B316" s="4"/>
      <c r="C316" s="4"/>
      <c r="D316" s="4"/>
      <c r="E316" s="4"/>
      <c r="G316" s="4"/>
    </row>
    <row r="317" ht="15.75" customHeight="1">
      <c r="A317" s="4"/>
      <c r="B317" s="4"/>
      <c r="C317" s="4"/>
      <c r="D317" s="4"/>
      <c r="E317" s="4"/>
      <c r="G317" s="4"/>
    </row>
    <row r="318" ht="15.75" customHeight="1">
      <c r="A318" s="4"/>
      <c r="B318" s="4"/>
      <c r="C318" s="4"/>
      <c r="D318" s="4"/>
      <c r="E318" s="4"/>
      <c r="G318" s="4"/>
    </row>
    <row r="319" ht="15.75" customHeight="1">
      <c r="A319" s="4"/>
      <c r="B319" s="4"/>
      <c r="C319" s="4"/>
      <c r="D319" s="4"/>
      <c r="E319" s="4"/>
      <c r="G319" s="4"/>
    </row>
    <row r="320" ht="15.75" customHeight="1">
      <c r="A320" s="4"/>
      <c r="B320" s="4"/>
      <c r="C320" s="4"/>
      <c r="D320" s="4"/>
      <c r="E320" s="4"/>
      <c r="G320" s="4"/>
    </row>
    <row r="321" ht="15.75" customHeight="1">
      <c r="A321" s="4"/>
      <c r="B321" s="4"/>
      <c r="C321" s="4"/>
      <c r="D321" s="4"/>
      <c r="E321" s="4"/>
      <c r="G321" s="4"/>
    </row>
    <row r="322" ht="15.75" customHeight="1">
      <c r="A322" s="4"/>
      <c r="B322" s="4"/>
      <c r="C322" s="4"/>
      <c r="D322" s="4"/>
      <c r="E322" s="4"/>
      <c r="G322" s="4"/>
    </row>
    <row r="323" ht="15.75" customHeight="1">
      <c r="A323" s="4"/>
      <c r="B323" s="4"/>
      <c r="C323" s="4"/>
      <c r="D323" s="4"/>
      <c r="E323" s="4"/>
      <c r="G323" s="4"/>
    </row>
    <row r="324" ht="15.75" customHeight="1">
      <c r="A324" s="4"/>
      <c r="B324" s="4"/>
      <c r="C324" s="4"/>
      <c r="D324" s="4"/>
      <c r="E324" s="4"/>
      <c r="G324" s="4"/>
    </row>
    <row r="325" ht="15.75" customHeight="1">
      <c r="A325" s="4"/>
      <c r="B325" s="4"/>
      <c r="C325" s="4"/>
      <c r="D325" s="4"/>
      <c r="E325" s="4"/>
      <c r="G325" s="4"/>
    </row>
    <row r="326" ht="15.75" customHeight="1">
      <c r="A326" s="4"/>
      <c r="B326" s="4"/>
      <c r="C326" s="4"/>
      <c r="D326" s="4"/>
      <c r="E326" s="4"/>
      <c r="G326" s="4"/>
    </row>
    <row r="327" ht="15.75" customHeight="1">
      <c r="A327" s="4"/>
      <c r="B327" s="4"/>
      <c r="C327" s="4"/>
      <c r="D327" s="4"/>
      <c r="E327" s="4"/>
      <c r="G327" s="4"/>
    </row>
    <row r="328" ht="15.75" customHeight="1">
      <c r="A328" s="4"/>
      <c r="B328" s="4"/>
      <c r="C328" s="4"/>
      <c r="D328" s="4"/>
      <c r="E328" s="4"/>
      <c r="G328" s="4"/>
    </row>
    <row r="329" ht="15.75" customHeight="1">
      <c r="A329" s="4"/>
      <c r="B329" s="4"/>
      <c r="C329" s="4"/>
      <c r="D329" s="4"/>
      <c r="E329" s="4"/>
      <c r="G329" s="4"/>
    </row>
    <row r="330" ht="15.75" customHeight="1">
      <c r="A330" s="4"/>
      <c r="B330" s="4"/>
      <c r="C330" s="4"/>
      <c r="D330" s="4"/>
      <c r="E330" s="4"/>
      <c r="G330" s="4"/>
    </row>
    <row r="331" ht="15.75" customHeight="1">
      <c r="A331" s="4"/>
      <c r="B331" s="4"/>
      <c r="C331" s="4"/>
      <c r="D331" s="4"/>
      <c r="E331" s="4"/>
      <c r="G331" s="4"/>
    </row>
    <row r="332" ht="15.75" customHeight="1">
      <c r="A332" s="4"/>
      <c r="B332" s="4"/>
      <c r="C332" s="4"/>
      <c r="D332" s="4"/>
      <c r="E332" s="4"/>
      <c r="G332" s="4"/>
    </row>
    <row r="333" ht="15.75" customHeight="1">
      <c r="A333" s="4"/>
      <c r="B333" s="4"/>
      <c r="C333" s="4"/>
      <c r="D333" s="4"/>
      <c r="E333" s="4"/>
      <c r="G333" s="4"/>
    </row>
    <row r="334" ht="15.75" customHeight="1">
      <c r="A334" s="4"/>
      <c r="B334" s="4"/>
      <c r="C334" s="4"/>
      <c r="D334" s="4"/>
      <c r="E334" s="4"/>
      <c r="G334" s="4"/>
    </row>
    <row r="335" ht="15.75" customHeight="1">
      <c r="A335" s="4"/>
      <c r="B335" s="4"/>
      <c r="C335" s="4"/>
      <c r="D335" s="4"/>
      <c r="E335" s="4"/>
      <c r="G335" s="4"/>
    </row>
    <row r="336" ht="15.75" customHeight="1">
      <c r="A336" s="4"/>
      <c r="B336" s="4"/>
      <c r="C336" s="4"/>
      <c r="D336" s="4"/>
      <c r="E336" s="4"/>
      <c r="G336" s="4"/>
    </row>
    <row r="337" ht="15.75" customHeight="1">
      <c r="A337" s="4"/>
      <c r="B337" s="4"/>
      <c r="C337" s="4"/>
      <c r="D337" s="4"/>
      <c r="E337" s="4"/>
      <c r="G337" s="4"/>
    </row>
    <row r="338" ht="15.75" customHeight="1">
      <c r="A338" s="4"/>
      <c r="B338" s="4"/>
      <c r="C338" s="4"/>
      <c r="D338" s="4"/>
      <c r="E338" s="4"/>
      <c r="G338" s="4"/>
    </row>
    <row r="339" ht="15.75" customHeight="1">
      <c r="A339" s="4"/>
      <c r="B339" s="4"/>
      <c r="C339" s="4"/>
      <c r="D339" s="4"/>
      <c r="E339" s="4"/>
      <c r="G339" s="4"/>
    </row>
    <row r="340" ht="15.75" customHeight="1">
      <c r="A340" s="4"/>
      <c r="B340" s="4"/>
      <c r="C340" s="4"/>
      <c r="D340" s="4"/>
      <c r="E340" s="4"/>
      <c r="G340" s="4"/>
    </row>
    <row r="341" ht="15.75" customHeight="1">
      <c r="A341" s="4"/>
      <c r="B341" s="4"/>
      <c r="C341" s="4"/>
      <c r="D341" s="4"/>
      <c r="E341" s="4"/>
      <c r="G341" s="4"/>
    </row>
    <row r="342" ht="15.75" customHeight="1">
      <c r="A342" s="4"/>
      <c r="B342" s="4"/>
      <c r="C342" s="4"/>
      <c r="D342" s="4"/>
      <c r="E342" s="4"/>
      <c r="G342" s="4"/>
    </row>
    <row r="343" ht="15.75" customHeight="1">
      <c r="A343" s="4"/>
      <c r="B343" s="4"/>
      <c r="C343" s="4"/>
      <c r="D343" s="4"/>
      <c r="E343" s="4"/>
      <c r="G343" s="4"/>
    </row>
    <row r="344" ht="15.75" customHeight="1">
      <c r="A344" s="4"/>
      <c r="B344" s="4"/>
      <c r="C344" s="4"/>
      <c r="D344" s="4"/>
      <c r="E344" s="4"/>
      <c r="G344" s="4"/>
    </row>
    <row r="345" ht="15.75" customHeight="1">
      <c r="A345" s="4"/>
      <c r="B345" s="4"/>
      <c r="C345" s="4"/>
      <c r="D345" s="4"/>
      <c r="E345" s="4"/>
      <c r="G345" s="4"/>
    </row>
    <row r="346" ht="15.75" customHeight="1">
      <c r="A346" s="4"/>
      <c r="B346" s="4"/>
      <c r="C346" s="4"/>
      <c r="D346" s="4"/>
      <c r="E346" s="4"/>
      <c r="G346" s="4"/>
    </row>
    <row r="347" ht="15.75" customHeight="1">
      <c r="A347" s="4"/>
      <c r="B347" s="4"/>
      <c r="C347" s="4"/>
      <c r="D347" s="4"/>
      <c r="E347" s="4"/>
      <c r="G347" s="4"/>
    </row>
    <row r="348" ht="15.75" customHeight="1">
      <c r="A348" s="4"/>
      <c r="B348" s="4"/>
      <c r="C348" s="4"/>
      <c r="D348" s="4"/>
      <c r="E348" s="4"/>
      <c r="G348" s="4"/>
    </row>
    <row r="349" ht="15.75" customHeight="1">
      <c r="A349" s="4"/>
      <c r="B349" s="4"/>
      <c r="C349" s="4"/>
      <c r="D349" s="4"/>
      <c r="E349" s="4"/>
      <c r="G349" s="4"/>
    </row>
    <row r="350" ht="15.75" customHeight="1">
      <c r="A350" s="4"/>
      <c r="B350" s="4"/>
      <c r="C350" s="4"/>
      <c r="D350" s="4"/>
      <c r="E350" s="4"/>
      <c r="G350" s="4"/>
    </row>
    <row r="351" ht="15.75" customHeight="1">
      <c r="A351" s="4"/>
      <c r="B351" s="4"/>
      <c r="C351" s="4"/>
      <c r="D351" s="4"/>
      <c r="E351" s="4"/>
      <c r="G351" s="4"/>
    </row>
    <row r="352" ht="15.75" customHeight="1">
      <c r="A352" s="4"/>
      <c r="B352" s="4"/>
      <c r="C352" s="4"/>
      <c r="D352" s="4"/>
      <c r="E352" s="4"/>
      <c r="G352" s="4"/>
    </row>
    <row r="353" ht="15.75" customHeight="1">
      <c r="A353" s="4"/>
      <c r="B353" s="4"/>
      <c r="C353" s="4"/>
      <c r="D353" s="4"/>
      <c r="E353" s="4"/>
      <c r="G353" s="4"/>
    </row>
    <row r="354" ht="15.75" customHeight="1">
      <c r="A354" s="4"/>
      <c r="B354" s="4"/>
      <c r="C354" s="4"/>
      <c r="D354" s="4"/>
      <c r="E354" s="4"/>
      <c r="G354" s="4"/>
    </row>
    <row r="355" ht="15.75" customHeight="1">
      <c r="A355" s="4"/>
      <c r="B355" s="4"/>
      <c r="C355" s="4"/>
      <c r="D355" s="4"/>
      <c r="E355" s="4"/>
      <c r="G355" s="4"/>
    </row>
    <row r="356" ht="15.75" customHeight="1">
      <c r="A356" s="4"/>
      <c r="B356" s="4"/>
      <c r="C356" s="4"/>
      <c r="D356" s="4"/>
      <c r="E356" s="4"/>
      <c r="G356" s="4"/>
    </row>
    <row r="357" ht="15.75" customHeight="1">
      <c r="A357" s="4"/>
      <c r="B357" s="4"/>
      <c r="C357" s="4"/>
      <c r="D357" s="4"/>
      <c r="E357" s="4"/>
      <c r="G357" s="4"/>
    </row>
    <row r="358" ht="15.75" customHeight="1">
      <c r="A358" s="4"/>
      <c r="B358" s="4"/>
      <c r="C358" s="4"/>
      <c r="D358" s="4"/>
      <c r="E358" s="4"/>
      <c r="G358" s="4"/>
    </row>
    <row r="359" ht="15.75" customHeight="1">
      <c r="A359" s="4"/>
      <c r="B359" s="4"/>
      <c r="C359" s="4"/>
      <c r="D359" s="4"/>
      <c r="E359" s="4"/>
      <c r="G359" s="4"/>
    </row>
    <row r="360" ht="15.75" customHeight="1">
      <c r="A360" s="4"/>
      <c r="B360" s="4"/>
      <c r="C360" s="4"/>
      <c r="D360" s="4"/>
      <c r="E360" s="4"/>
      <c r="G360" s="4"/>
    </row>
    <row r="361" ht="15.75" customHeight="1">
      <c r="A361" s="4"/>
      <c r="B361" s="4"/>
      <c r="C361" s="4"/>
      <c r="D361" s="4"/>
      <c r="E361" s="4"/>
      <c r="G361" s="4"/>
    </row>
    <row r="362" ht="15.75" customHeight="1">
      <c r="A362" s="4"/>
      <c r="B362" s="4"/>
      <c r="C362" s="4"/>
      <c r="D362" s="4"/>
      <c r="E362" s="4"/>
      <c r="G362" s="4"/>
    </row>
    <row r="363" ht="15.75" customHeight="1">
      <c r="A363" s="4"/>
      <c r="B363" s="4"/>
      <c r="C363" s="4"/>
      <c r="D363" s="4"/>
      <c r="E363" s="4"/>
      <c r="G363" s="4"/>
    </row>
    <row r="364" ht="15.75" customHeight="1">
      <c r="A364" s="4"/>
      <c r="B364" s="4"/>
      <c r="C364" s="4"/>
      <c r="D364" s="4"/>
      <c r="E364" s="4"/>
      <c r="G364" s="4"/>
    </row>
    <row r="365" ht="15.75" customHeight="1">
      <c r="A365" s="4"/>
      <c r="B365" s="4"/>
      <c r="C365" s="4"/>
      <c r="D365" s="4"/>
      <c r="E365" s="4"/>
      <c r="G365" s="4"/>
    </row>
    <row r="366" ht="15.75" customHeight="1">
      <c r="A366" s="4"/>
      <c r="B366" s="4"/>
      <c r="C366" s="4"/>
      <c r="D366" s="4"/>
      <c r="E366" s="4"/>
      <c r="G366" s="4"/>
    </row>
    <row r="367" ht="15.75" customHeight="1">
      <c r="A367" s="4"/>
      <c r="B367" s="4"/>
      <c r="C367" s="4"/>
      <c r="D367" s="4"/>
      <c r="E367" s="4"/>
      <c r="G367" s="4"/>
    </row>
    <row r="368" ht="15.75" customHeight="1">
      <c r="A368" s="4"/>
      <c r="B368" s="4"/>
      <c r="C368" s="4"/>
      <c r="D368" s="4"/>
      <c r="E368" s="4"/>
      <c r="G368" s="4"/>
    </row>
    <row r="369" ht="15.75" customHeight="1">
      <c r="A369" s="4"/>
      <c r="B369" s="4"/>
      <c r="C369" s="4"/>
      <c r="D369" s="4"/>
      <c r="E369" s="4"/>
      <c r="G369" s="4"/>
    </row>
    <row r="370" ht="15.75" customHeight="1">
      <c r="A370" s="4"/>
      <c r="B370" s="4"/>
      <c r="C370" s="4"/>
      <c r="D370" s="4"/>
      <c r="E370" s="4"/>
      <c r="G370" s="4"/>
    </row>
    <row r="371" ht="15.75" customHeight="1">
      <c r="A371" s="4"/>
      <c r="B371" s="4"/>
      <c r="C371" s="4"/>
      <c r="D371" s="4"/>
      <c r="E371" s="4"/>
      <c r="G371" s="4"/>
    </row>
    <row r="372" ht="15.75" customHeight="1">
      <c r="A372" s="4"/>
      <c r="B372" s="4"/>
      <c r="C372" s="4"/>
      <c r="D372" s="4"/>
      <c r="E372" s="4"/>
      <c r="G372" s="4"/>
    </row>
    <row r="373" ht="15.75" customHeight="1">
      <c r="A373" s="4"/>
      <c r="B373" s="4"/>
      <c r="C373" s="4"/>
      <c r="D373" s="4"/>
      <c r="E373" s="4"/>
      <c r="G373" s="4"/>
    </row>
    <row r="374" ht="15.75" customHeight="1">
      <c r="A374" s="4"/>
      <c r="B374" s="4"/>
      <c r="C374" s="4"/>
      <c r="D374" s="4"/>
      <c r="E374" s="4"/>
      <c r="G374" s="4"/>
    </row>
    <row r="375" ht="15.75" customHeight="1">
      <c r="A375" s="4"/>
      <c r="B375" s="4"/>
      <c r="C375" s="4"/>
      <c r="D375" s="4"/>
      <c r="E375" s="4"/>
      <c r="G375" s="4"/>
    </row>
    <row r="376" ht="15.75" customHeight="1">
      <c r="A376" s="4"/>
      <c r="B376" s="4"/>
      <c r="C376" s="4"/>
      <c r="D376" s="4"/>
      <c r="E376" s="4"/>
      <c r="G376" s="4"/>
    </row>
    <row r="377" ht="15.75" customHeight="1">
      <c r="A377" s="4"/>
      <c r="B377" s="4"/>
      <c r="C377" s="4"/>
      <c r="D377" s="4"/>
      <c r="E377" s="4"/>
      <c r="G377" s="4"/>
    </row>
    <row r="378" ht="15.75" customHeight="1">
      <c r="A378" s="4"/>
      <c r="B378" s="4"/>
      <c r="C378" s="4"/>
      <c r="D378" s="4"/>
      <c r="E378" s="4"/>
      <c r="G378" s="4"/>
    </row>
    <row r="379" ht="15.75" customHeight="1">
      <c r="A379" s="4"/>
      <c r="B379" s="4"/>
      <c r="C379" s="4"/>
      <c r="D379" s="4"/>
      <c r="E379" s="4"/>
      <c r="G379" s="4"/>
    </row>
    <row r="380" ht="15.75" customHeight="1">
      <c r="A380" s="4"/>
      <c r="B380" s="4"/>
      <c r="C380" s="4"/>
      <c r="D380" s="4"/>
      <c r="E380" s="4"/>
      <c r="G380" s="4"/>
    </row>
    <row r="381" ht="15.75" customHeight="1">
      <c r="A381" s="4"/>
      <c r="B381" s="4"/>
      <c r="C381" s="4"/>
      <c r="D381" s="4"/>
      <c r="E381" s="4"/>
      <c r="G381" s="4"/>
    </row>
    <row r="382" ht="15.75" customHeight="1">
      <c r="A382" s="4"/>
      <c r="B382" s="4"/>
      <c r="C382" s="4"/>
      <c r="D382" s="4"/>
      <c r="E382" s="4"/>
      <c r="G382" s="4"/>
    </row>
    <row r="383" ht="15.75" customHeight="1">
      <c r="A383" s="4"/>
      <c r="B383" s="4"/>
      <c r="C383" s="4"/>
      <c r="D383" s="4"/>
      <c r="E383" s="4"/>
      <c r="G383" s="4"/>
    </row>
    <row r="384" ht="15.75" customHeight="1">
      <c r="A384" s="4"/>
      <c r="B384" s="4"/>
      <c r="C384" s="4"/>
      <c r="D384" s="4"/>
      <c r="E384" s="4"/>
      <c r="G384" s="4"/>
    </row>
    <row r="385" ht="15.75" customHeight="1">
      <c r="A385" s="4"/>
      <c r="B385" s="4"/>
      <c r="C385" s="4"/>
      <c r="D385" s="4"/>
      <c r="E385" s="4"/>
      <c r="G385" s="4"/>
    </row>
    <row r="386" ht="15.75" customHeight="1">
      <c r="A386" s="4"/>
      <c r="B386" s="4"/>
      <c r="C386" s="4"/>
      <c r="D386" s="4"/>
      <c r="E386" s="4"/>
      <c r="G386" s="4"/>
    </row>
    <row r="387" ht="15.75" customHeight="1">
      <c r="A387" s="4"/>
      <c r="B387" s="4"/>
      <c r="C387" s="4"/>
      <c r="D387" s="4"/>
      <c r="E387" s="4"/>
      <c r="G387" s="4"/>
    </row>
    <row r="388" ht="15.75" customHeight="1">
      <c r="A388" s="4"/>
      <c r="B388" s="4"/>
      <c r="C388" s="4"/>
      <c r="D388" s="4"/>
      <c r="E388" s="4"/>
      <c r="G388" s="4"/>
    </row>
    <row r="389" ht="15.75" customHeight="1">
      <c r="A389" s="4"/>
      <c r="B389" s="4"/>
      <c r="C389" s="4"/>
      <c r="D389" s="4"/>
      <c r="E389" s="4"/>
      <c r="G389" s="4"/>
    </row>
    <row r="390" ht="15.75" customHeight="1">
      <c r="A390" s="4"/>
      <c r="B390" s="4"/>
      <c r="C390" s="4"/>
      <c r="D390" s="4"/>
      <c r="E390" s="4"/>
      <c r="G390" s="4"/>
    </row>
    <row r="391" ht="15.75" customHeight="1">
      <c r="A391" s="4"/>
      <c r="B391" s="4"/>
      <c r="C391" s="4"/>
      <c r="D391" s="4"/>
      <c r="E391" s="4"/>
      <c r="G391" s="4"/>
    </row>
    <row r="392" ht="15.75" customHeight="1">
      <c r="A392" s="4"/>
      <c r="B392" s="4"/>
      <c r="C392" s="4"/>
      <c r="D392" s="4"/>
      <c r="E392" s="4"/>
      <c r="G392" s="4"/>
    </row>
    <row r="393" ht="15.75" customHeight="1">
      <c r="A393" s="4"/>
      <c r="B393" s="4"/>
      <c r="C393" s="4"/>
      <c r="D393" s="4"/>
      <c r="E393" s="4"/>
      <c r="G393" s="4"/>
    </row>
    <row r="394" ht="15.75" customHeight="1">
      <c r="A394" s="4"/>
      <c r="B394" s="4"/>
      <c r="C394" s="4"/>
      <c r="D394" s="4"/>
      <c r="E394" s="4"/>
      <c r="G394" s="4"/>
    </row>
    <row r="395" ht="15.75" customHeight="1">
      <c r="A395" s="4"/>
      <c r="B395" s="4"/>
      <c r="C395" s="4"/>
      <c r="D395" s="4"/>
      <c r="E395" s="4"/>
      <c r="G395" s="4"/>
    </row>
    <row r="396" ht="15.75" customHeight="1">
      <c r="A396" s="4"/>
      <c r="B396" s="4"/>
      <c r="C396" s="4"/>
      <c r="D396" s="4"/>
      <c r="E396" s="4"/>
      <c r="G396" s="4"/>
    </row>
    <row r="397" ht="15.75" customHeight="1">
      <c r="A397" s="4"/>
      <c r="B397" s="4"/>
      <c r="C397" s="4"/>
      <c r="D397" s="4"/>
      <c r="E397" s="4"/>
      <c r="G397" s="4"/>
    </row>
    <row r="398" ht="15.75" customHeight="1">
      <c r="A398" s="4"/>
      <c r="B398" s="4"/>
      <c r="C398" s="4"/>
      <c r="D398" s="4"/>
      <c r="E398" s="4"/>
      <c r="G398" s="4"/>
    </row>
    <row r="399" ht="15.75" customHeight="1">
      <c r="A399" s="4"/>
      <c r="B399" s="4"/>
      <c r="C399" s="4"/>
      <c r="D399" s="4"/>
      <c r="E399" s="4"/>
      <c r="G399" s="4"/>
    </row>
    <row r="400" ht="15.75" customHeight="1">
      <c r="A400" s="4"/>
      <c r="B400" s="4"/>
      <c r="C400" s="4"/>
      <c r="D400" s="4"/>
      <c r="E400" s="4"/>
      <c r="G400" s="4"/>
    </row>
    <row r="401" ht="15.75" customHeight="1">
      <c r="A401" s="4"/>
      <c r="B401" s="4"/>
      <c r="C401" s="4"/>
      <c r="D401" s="4"/>
      <c r="E401" s="4"/>
      <c r="G401" s="4"/>
    </row>
    <row r="402" ht="15.75" customHeight="1">
      <c r="A402" s="4"/>
      <c r="B402" s="4"/>
      <c r="C402" s="4"/>
      <c r="D402" s="4"/>
      <c r="E402" s="4"/>
      <c r="G402" s="4"/>
    </row>
    <row r="403" ht="15.75" customHeight="1">
      <c r="A403" s="4"/>
      <c r="B403" s="4"/>
      <c r="C403" s="4"/>
      <c r="D403" s="4"/>
      <c r="E403" s="4"/>
      <c r="G403" s="4"/>
    </row>
    <row r="404" ht="15.75" customHeight="1">
      <c r="A404" s="4"/>
      <c r="B404" s="4"/>
      <c r="C404" s="4"/>
      <c r="D404" s="4"/>
      <c r="E404" s="4"/>
      <c r="G404" s="4"/>
    </row>
    <row r="405" ht="15.75" customHeight="1">
      <c r="A405" s="4"/>
      <c r="B405" s="4"/>
      <c r="C405" s="4"/>
      <c r="D405" s="4"/>
      <c r="E405" s="4"/>
      <c r="G405" s="4"/>
    </row>
    <row r="406" ht="15.75" customHeight="1">
      <c r="A406" s="4"/>
      <c r="B406" s="4"/>
      <c r="C406" s="4"/>
      <c r="D406" s="4"/>
      <c r="E406" s="4"/>
      <c r="G406" s="4"/>
    </row>
    <row r="407" ht="15.75" customHeight="1">
      <c r="A407" s="4"/>
      <c r="B407" s="4"/>
      <c r="C407" s="4"/>
      <c r="D407" s="4"/>
      <c r="E407" s="4"/>
      <c r="G407" s="4"/>
    </row>
    <row r="408" ht="15.75" customHeight="1">
      <c r="A408" s="4"/>
      <c r="B408" s="4"/>
      <c r="C408" s="4"/>
      <c r="D408" s="4"/>
      <c r="E408" s="4"/>
      <c r="G408" s="4"/>
    </row>
    <row r="409" ht="15.75" customHeight="1">
      <c r="A409" s="4"/>
      <c r="B409" s="4"/>
      <c r="C409" s="4"/>
      <c r="D409" s="4"/>
      <c r="E409" s="4"/>
      <c r="G409" s="4"/>
    </row>
    <row r="410" ht="15.75" customHeight="1">
      <c r="A410" s="4"/>
      <c r="B410" s="4"/>
      <c r="C410" s="4"/>
      <c r="D410" s="4"/>
      <c r="E410" s="4"/>
      <c r="G410" s="4"/>
    </row>
    <row r="411" ht="15.75" customHeight="1">
      <c r="A411" s="4"/>
      <c r="B411" s="4"/>
      <c r="C411" s="4"/>
      <c r="D411" s="4"/>
      <c r="E411" s="4"/>
      <c r="G411" s="4"/>
    </row>
    <row r="412" ht="15.75" customHeight="1">
      <c r="A412" s="4"/>
      <c r="B412" s="4"/>
      <c r="C412" s="4"/>
      <c r="D412" s="4"/>
      <c r="E412" s="4"/>
      <c r="G412" s="4"/>
    </row>
    <row r="413" ht="15.75" customHeight="1">
      <c r="A413" s="4"/>
      <c r="B413" s="4"/>
      <c r="C413" s="4"/>
      <c r="D413" s="4"/>
      <c r="E413" s="4"/>
      <c r="G413" s="4"/>
    </row>
    <row r="414" ht="15.75" customHeight="1">
      <c r="A414" s="4"/>
      <c r="B414" s="4"/>
      <c r="C414" s="4"/>
      <c r="D414" s="4"/>
      <c r="E414" s="4"/>
      <c r="G414" s="4"/>
    </row>
    <row r="415" ht="15.75" customHeight="1">
      <c r="A415" s="4"/>
      <c r="B415" s="4"/>
      <c r="C415" s="4"/>
      <c r="D415" s="4"/>
      <c r="E415" s="4"/>
      <c r="G415" s="4"/>
    </row>
    <row r="416" ht="15.75" customHeight="1">
      <c r="A416" s="4"/>
      <c r="B416" s="4"/>
      <c r="C416" s="4"/>
      <c r="D416" s="4"/>
      <c r="E416" s="4"/>
      <c r="G416" s="4"/>
    </row>
    <row r="417" ht="15.75" customHeight="1">
      <c r="A417" s="4"/>
      <c r="B417" s="4"/>
      <c r="C417" s="4"/>
      <c r="D417" s="4"/>
      <c r="E417" s="4"/>
      <c r="G417" s="4"/>
    </row>
    <row r="418" ht="15.75" customHeight="1">
      <c r="A418" s="4"/>
      <c r="B418" s="4"/>
      <c r="C418" s="4"/>
      <c r="D418" s="4"/>
      <c r="E418" s="4"/>
      <c r="G418" s="4"/>
    </row>
    <row r="419" ht="15.75" customHeight="1">
      <c r="A419" s="4"/>
      <c r="B419" s="4"/>
      <c r="C419" s="4"/>
      <c r="D419" s="4"/>
      <c r="E419" s="4"/>
      <c r="G419" s="4"/>
    </row>
    <row r="420" ht="15.75" customHeight="1">
      <c r="A420" s="4"/>
      <c r="B420" s="4"/>
      <c r="C420" s="4"/>
      <c r="D420" s="4"/>
      <c r="E420" s="4"/>
      <c r="G420" s="4"/>
    </row>
    <row r="421" ht="15.75" customHeight="1">
      <c r="A421" s="4"/>
      <c r="B421" s="4"/>
      <c r="C421" s="4"/>
      <c r="D421" s="4"/>
      <c r="E421" s="4"/>
      <c r="G421" s="4"/>
    </row>
    <row r="422" ht="15.75" customHeight="1">
      <c r="A422" s="4"/>
      <c r="B422" s="4"/>
      <c r="C422" s="4"/>
      <c r="D422" s="4"/>
      <c r="E422" s="4"/>
      <c r="G422" s="4"/>
    </row>
    <row r="423" ht="15.75" customHeight="1">
      <c r="A423" s="4"/>
      <c r="B423" s="4"/>
      <c r="C423" s="4"/>
      <c r="D423" s="4"/>
      <c r="E423" s="4"/>
      <c r="G423" s="4"/>
    </row>
    <row r="424" ht="15.75" customHeight="1">
      <c r="A424" s="4"/>
      <c r="B424" s="4"/>
      <c r="C424" s="4"/>
      <c r="D424" s="4"/>
      <c r="E424" s="4"/>
      <c r="G424" s="4"/>
    </row>
    <row r="425" ht="15.75" customHeight="1">
      <c r="A425" s="4"/>
      <c r="B425" s="4"/>
      <c r="C425" s="4"/>
      <c r="D425" s="4"/>
      <c r="E425" s="4"/>
      <c r="G425" s="4"/>
    </row>
    <row r="426" ht="15.75" customHeight="1">
      <c r="A426" s="4"/>
      <c r="B426" s="4"/>
      <c r="C426" s="4"/>
      <c r="D426" s="4"/>
      <c r="E426" s="4"/>
      <c r="G426" s="4"/>
    </row>
    <row r="427" ht="15.75" customHeight="1">
      <c r="A427" s="4"/>
      <c r="B427" s="4"/>
      <c r="C427" s="4"/>
      <c r="D427" s="4"/>
      <c r="E427" s="4"/>
      <c r="G427" s="4"/>
    </row>
    <row r="428" ht="15.75" customHeight="1">
      <c r="A428" s="4"/>
      <c r="B428" s="4"/>
      <c r="C428" s="4"/>
      <c r="D428" s="4"/>
      <c r="E428" s="4"/>
      <c r="G428" s="4"/>
    </row>
    <row r="429" ht="15.75" customHeight="1">
      <c r="A429" s="4"/>
      <c r="B429" s="4"/>
      <c r="C429" s="4"/>
      <c r="D429" s="4"/>
      <c r="E429" s="4"/>
      <c r="G429" s="4"/>
    </row>
    <row r="430" ht="15.75" customHeight="1">
      <c r="A430" s="4"/>
      <c r="B430" s="4"/>
      <c r="C430" s="4"/>
      <c r="D430" s="4"/>
      <c r="E430" s="4"/>
      <c r="G430" s="4"/>
    </row>
    <row r="431" ht="15.75" customHeight="1">
      <c r="A431" s="4"/>
      <c r="B431" s="4"/>
      <c r="C431" s="4"/>
      <c r="D431" s="4"/>
      <c r="E431" s="4"/>
      <c r="G431" s="4"/>
    </row>
    <row r="432" ht="15.75" customHeight="1">
      <c r="A432" s="4"/>
      <c r="B432" s="4"/>
      <c r="C432" s="4"/>
      <c r="D432" s="4"/>
      <c r="E432" s="4"/>
      <c r="G432" s="4"/>
    </row>
    <row r="433" ht="15.75" customHeight="1">
      <c r="A433" s="4"/>
      <c r="B433" s="4"/>
      <c r="C433" s="4"/>
      <c r="D433" s="4"/>
      <c r="E433" s="4"/>
      <c r="G433" s="4"/>
    </row>
    <row r="434" ht="15.75" customHeight="1">
      <c r="A434" s="4"/>
      <c r="B434" s="4"/>
      <c r="C434" s="4"/>
      <c r="D434" s="4"/>
      <c r="E434" s="4"/>
      <c r="G434" s="4"/>
    </row>
    <row r="435" ht="15.75" customHeight="1">
      <c r="A435" s="4"/>
      <c r="B435" s="4"/>
      <c r="C435" s="4"/>
      <c r="D435" s="4"/>
      <c r="E435" s="4"/>
      <c r="G435" s="4"/>
    </row>
    <row r="436" ht="15.75" customHeight="1">
      <c r="A436" s="4"/>
      <c r="B436" s="4"/>
      <c r="C436" s="4"/>
      <c r="D436" s="4"/>
      <c r="E436" s="4"/>
      <c r="G436" s="4"/>
    </row>
    <row r="437" ht="15.75" customHeight="1">
      <c r="A437" s="4"/>
      <c r="B437" s="4"/>
      <c r="C437" s="4"/>
      <c r="D437" s="4"/>
      <c r="E437" s="4"/>
      <c r="G437" s="4"/>
    </row>
    <row r="438" ht="15.75" customHeight="1">
      <c r="A438" s="4"/>
      <c r="B438" s="4"/>
      <c r="C438" s="4"/>
      <c r="D438" s="4"/>
      <c r="E438" s="4"/>
      <c r="G438" s="4"/>
    </row>
    <row r="439" ht="15.75" customHeight="1">
      <c r="A439" s="4"/>
      <c r="B439" s="4"/>
      <c r="C439" s="4"/>
      <c r="D439" s="4"/>
      <c r="E439" s="4"/>
      <c r="G439" s="4"/>
    </row>
    <row r="440" ht="15.75" customHeight="1">
      <c r="A440" s="4"/>
      <c r="B440" s="4"/>
      <c r="C440" s="4"/>
      <c r="D440" s="4"/>
      <c r="E440" s="4"/>
      <c r="G440" s="4"/>
    </row>
    <row r="441" ht="15.75" customHeight="1">
      <c r="A441" s="4"/>
      <c r="B441" s="4"/>
      <c r="C441" s="4"/>
      <c r="D441" s="4"/>
      <c r="E441" s="4"/>
      <c r="G441" s="4"/>
    </row>
    <row r="442" ht="15.75" customHeight="1">
      <c r="A442" s="4"/>
      <c r="B442" s="4"/>
      <c r="C442" s="4"/>
      <c r="D442" s="4"/>
      <c r="E442" s="4"/>
      <c r="G442" s="4"/>
    </row>
    <row r="443" ht="15.75" customHeight="1">
      <c r="A443" s="4"/>
      <c r="B443" s="4"/>
      <c r="C443" s="4"/>
      <c r="D443" s="4"/>
      <c r="E443" s="4"/>
      <c r="G443" s="4"/>
    </row>
    <row r="444" ht="15.75" customHeight="1">
      <c r="A444" s="4"/>
      <c r="B444" s="4"/>
      <c r="C444" s="4"/>
      <c r="D444" s="4"/>
      <c r="E444" s="4"/>
      <c r="G444" s="4"/>
    </row>
    <row r="445" ht="15.75" customHeight="1">
      <c r="A445" s="4"/>
      <c r="B445" s="4"/>
      <c r="C445" s="4"/>
      <c r="D445" s="4"/>
      <c r="E445" s="4"/>
      <c r="G445" s="4"/>
    </row>
    <row r="446" ht="15.75" customHeight="1">
      <c r="A446" s="4"/>
      <c r="B446" s="4"/>
      <c r="C446" s="4"/>
      <c r="D446" s="4"/>
      <c r="E446" s="4"/>
      <c r="G446" s="4"/>
    </row>
    <row r="447" ht="15.75" customHeight="1">
      <c r="A447" s="4"/>
      <c r="B447" s="4"/>
      <c r="C447" s="4"/>
      <c r="D447" s="4"/>
      <c r="E447" s="4"/>
      <c r="G447" s="4"/>
    </row>
    <row r="448" ht="15.75" customHeight="1">
      <c r="A448" s="4"/>
      <c r="B448" s="4"/>
      <c r="C448" s="4"/>
      <c r="D448" s="4"/>
      <c r="E448" s="4"/>
      <c r="G448" s="4"/>
    </row>
    <row r="449" ht="15.75" customHeight="1">
      <c r="A449" s="4"/>
      <c r="B449" s="4"/>
      <c r="C449" s="4"/>
      <c r="D449" s="4"/>
      <c r="E449" s="4"/>
      <c r="G449" s="4"/>
    </row>
    <row r="450" ht="15.75" customHeight="1">
      <c r="A450" s="4"/>
      <c r="B450" s="4"/>
      <c r="C450" s="4"/>
      <c r="D450" s="4"/>
      <c r="E450" s="4"/>
      <c r="G450" s="4"/>
    </row>
    <row r="451" ht="15.75" customHeight="1">
      <c r="A451" s="4"/>
      <c r="B451" s="4"/>
      <c r="C451" s="4"/>
      <c r="D451" s="4"/>
      <c r="E451" s="4"/>
      <c r="G451" s="4"/>
    </row>
    <row r="452" ht="15.75" customHeight="1">
      <c r="A452" s="4"/>
      <c r="B452" s="4"/>
      <c r="C452" s="4"/>
      <c r="D452" s="4"/>
      <c r="E452" s="4"/>
      <c r="G452" s="4"/>
    </row>
    <row r="453" ht="15.75" customHeight="1">
      <c r="A453" s="4"/>
      <c r="B453" s="4"/>
      <c r="C453" s="4"/>
      <c r="D453" s="4"/>
      <c r="E453" s="4"/>
      <c r="G453" s="4"/>
    </row>
    <row r="454" ht="15.75" customHeight="1">
      <c r="A454" s="4"/>
      <c r="B454" s="4"/>
      <c r="C454" s="4"/>
      <c r="D454" s="4"/>
      <c r="E454" s="4"/>
      <c r="G454" s="4"/>
    </row>
    <row r="455" ht="15.75" customHeight="1">
      <c r="A455" s="4"/>
      <c r="B455" s="4"/>
      <c r="C455" s="4"/>
      <c r="D455" s="4"/>
      <c r="E455" s="4"/>
      <c r="G455" s="4"/>
    </row>
    <row r="456" ht="15.75" customHeight="1">
      <c r="A456" s="4"/>
      <c r="B456" s="4"/>
      <c r="C456" s="4"/>
      <c r="D456" s="4"/>
      <c r="E456" s="4"/>
      <c r="G456" s="4"/>
    </row>
    <row r="457" ht="15.75" customHeight="1">
      <c r="A457" s="4"/>
      <c r="B457" s="4"/>
      <c r="C457" s="4"/>
      <c r="D457" s="4"/>
      <c r="E457" s="4"/>
      <c r="G457" s="4"/>
    </row>
    <row r="458" ht="15.75" customHeight="1">
      <c r="A458" s="4"/>
      <c r="B458" s="4"/>
      <c r="C458" s="4"/>
      <c r="D458" s="4"/>
      <c r="E458" s="4"/>
      <c r="G458" s="4"/>
    </row>
    <row r="459" ht="15.75" customHeight="1">
      <c r="A459" s="4"/>
      <c r="B459" s="4"/>
      <c r="C459" s="4"/>
      <c r="D459" s="4"/>
      <c r="E459" s="4"/>
      <c r="G459" s="4"/>
    </row>
    <row r="460" ht="15.75" customHeight="1">
      <c r="A460" s="4"/>
      <c r="B460" s="4"/>
      <c r="C460" s="4"/>
      <c r="D460" s="4"/>
      <c r="E460" s="4"/>
      <c r="G460" s="4"/>
    </row>
    <row r="461" ht="15.75" customHeight="1">
      <c r="A461" s="4"/>
      <c r="B461" s="4"/>
      <c r="C461" s="4"/>
      <c r="D461" s="4"/>
      <c r="E461" s="4"/>
      <c r="G461" s="4"/>
    </row>
    <row r="462" ht="15.75" customHeight="1">
      <c r="A462" s="4"/>
      <c r="B462" s="4"/>
      <c r="C462" s="4"/>
      <c r="D462" s="4"/>
      <c r="E462" s="4"/>
      <c r="G462" s="4"/>
    </row>
    <row r="463" ht="15.75" customHeight="1">
      <c r="A463" s="4"/>
      <c r="B463" s="4"/>
      <c r="C463" s="4"/>
      <c r="D463" s="4"/>
      <c r="E463" s="4"/>
      <c r="G463" s="4"/>
    </row>
    <row r="464" ht="15.75" customHeight="1">
      <c r="A464" s="4"/>
      <c r="B464" s="4"/>
      <c r="C464" s="4"/>
      <c r="D464" s="4"/>
      <c r="E464" s="4"/>
      <c r="G464" s="4"/>
    </row>
    <row r="465" ht="15.75" customHeight="1">
      <c r="A465" s="4"/>
      <c r="B465" s="4"/>
      <c r="C465" s="4"/>
      <c r="D465" s="4"/>
      <c r="E465" s="4"/>
      <c r="G465" s="4"/>
    </row>
    <row r="466" ht="15.75" customHeight="1">
      <c r="A466" s="4"/>
      <c r="B466" s="4"/>
      <c r="C466" s="4"/>
      <c r="D466" s="4"/>
      <c r="E466" s="4"/>
      <c r="G466" s="4"/>
    </row>
    <row r="467" ht="15.75" customHeight="1">
      <c r="A467" s="4"/>
      <c r="B467" s="4"/>
      <c r="C467" s="4"/>
      <c r="D467" s="4"/>
      <c r="E467" s="4"/>
      <c r="G467" s="4"/>
    </row>
    <row r="468" ht="15.75" customHeight="1">
      <c r="A468" s="4"/>
      <c r="B468" s="4"/>
      <c r="C468" s="4"/>
      <c r="D468" s="4"/>
      <c r="E468" s="4"/>
      <c r="G468" s="4"/>
    </row>
    <row r="469" ht="15.75" customHeight="1">
      <c r="A469" s="4"/>
      <c r="B469" s="4"/>
      <c r="C469" s="4"/>
      <c r="D469" s="4"/>
      <c r="E469" s="4"/>
      <c r="G469" s="4"/>
    </row>
    <row r="470" ht="15.75" customHeight="1">
      <c r="A470" s="4"/>
      <c r="B470" s="4"/>
      <c r="C470" s="4"/>
      <c r="D470" s="4"/>
      <c r="E470" s="4"/>
      <c r="G470" s="4"/>
    </row>
    <row r="471" ht="15.75" customHeight="1">
      <c r="A471" s="4"/>
      <c r="B471" s="4"/>
      <c r="C471" s="4"/>
      <c r="D471" s="4"/>
      <c r="E471" s="4"/>
      <c r="G471" s="4"/>
    </row>
    <row r="472" ht="15.75" customHeight="1">
      <c r="A472" s="4"/>
      <c r="B472" s="4"/>
      <c r="C472" s="4"/>
      <c r="D472" s="4"/>
      <c r="E472" s="4"/>
      <c r="G472" s="4"/>
    </row>
    <row r="473" ht="15.75" customHeight="1">
      <c r="A473" s="4"/>
      <c r="B473" s="4"/>
      <c r="C473" s="4"/>
      <c r="D473" s="4"/>
      <c r="E473" s="4"/>
      <c r="G473" s="4"/>
    </row>
    <row r="474" ht="15.75" customHeight="1">
      <c r="A474" s="4"/>
      <c r="B474" s="4"/>
      <c r="C474" s="4"/>
      <c r="D474" s="4"/>
      <c r="E474" s="4"/>
      <c r="G474" s="4"/>
    </row>
    <row r="475" ht="15.75" customHeight="1">
      <c r="A475" s="4"/>
      <c r="B475" s="4"/>
      <c r="C475" s="4"/>
      <c r="D475" s="4"/>
      <c r="E475" s="4"/>
      <c r="G475" s="4"/>
    </row>
    <row r="476" ht="15.75" customHeight="1">
      <c r="A476" s="4"/>
      <c r="B476" s="4"/>
      <c r="C476" s="4"/>
      <c r="D476" s="4"/>
      <c r="E476" s="4"/>
      <c r="G476" s="4"/>
    </row>
    <row r="477" ht="15.75" customHeight="1">
      <c r="A477" s="4"/>
      <c r="B477" s="4"/>
      <c r="C477" s="4"/>
      <c r="D477" s="4"/>
      <c r="E477" s="4"/>
      <c r="G477" s="4"/>
    </row>
    <row r="478" ht="15.75" customHeight="1">
      <c r="A478" s="4"/>
      <c r="B478" s="4"/>
      <c r="C478" s="4"/>
      <c r="D478" s="4"/>
      <c r="E478" s="4"/>
      <c r="G478" s="4"/>
    </row>
    <row r="479" ht="15.75" customHeight="1">
      <c r="A479" s="4"/>
      <c r="B479" s="4"/>
      <c r="C479" s="4"/>
      <c r="D479" s="4"/>
      <c r="E479" s="4"/>
      <c r="G479" s="4"/>
    </row>
    <row r="480" ht="15.75" customHeight="1">
      <c r="A480" s="4"/>
      <c r="B480" s="4"/>
      <c r="C480" s="4"/>
      <c r="D480" s="4"/>
      <c r="E480" s="4"/>
      <c r="G480" s="4"/>
    </row>
    <row r="481" ht="15.75" customHeight="1">
      <c r="A481" s="4"/>
      <c r="B481" s="4"/>
      <c r="C481" s="4"/>
      <c r="D481" s="4"/>
      <c r="E481" s="4"/>
      <c r="G481" s="4"/>
    </row>
    <row r="482" ht="15.75" customHeight="1">
      <c r="A482" s="4"/>
      <c r="B482" s="4"/>
      <c r="C482" s="4"/>
      <c r="D482" s="4"/>
      <c r="E482" s="4"/>
      <c r="G482" s="4"/>
    </row>
    <row r="483" ht="15.75" customHeight="1">
      <c r="A483" s="4"/>
      <c r="B483" s="4"/>
      <c r="C483" s="4"/>
      <c r="D483" s="4"/>
      <c r="E483" s="4"/>
      <c r="G483" s="4"/>
    </row>
    <row r="484" ht="15.75" customHeight="1">
      <c r="A484" s="4"/>
      <c r="B484" s="4"/>
      <c r="C484" s="4"/>
      <c r="D484" s="4"/>
      <c r="E484" s="4"/>
      <c r="G484" s="4"/>
    </row>
    <row r="485" ht="15.75" customHeight="1">
      <c r="A485" s="4"/>
      <c r="B485" s="4"/>
      <c r="C485" s="4"/>
      <c r="D485" s="4"/>
      <c r="E485" s="4"/>
      <c r="G485" s="4"/>
    </row>
    <row r="486" ht="15.75" customHeight="1">
      <c r="A486" s="4"/>
      <c r="B486" s="4"/>
      <c r="C486" s="4"/>
      <c r="D486" s="4"/>
      <c r="E486" s="4"/>
      <c r="G486" s="4"/>
    </row>
    <row r="487" ht="15.75" customHeight="1">
      <c r="A487" s="4"/>
      <c r="B487" s="4"/>
      <c r="C487" s="4"/>
      <c r="D487" s="4"/>
      <c r="E487" s="4"/>
      <c r="G487" s="4"/>
    </row>
    <row r="488" ht="15.75" customHeight="1">
      <c r="A488" s="4"/>
      <c r="B488" s="4"/>
      <c r="C488" s="4"/>
      <c r="D488" s="4"/>
      <c r="E488" s="4"/>
      <c r="G488" s="4"/>
    </row>
    <row r="489" ht="15.75" customHeight="1">
      <c r="A489" s="4"/>
      <c r="B489" s="4"/>
      <c r="C489" s="4"/>
      <c r="D489" s="4"/>
      <c r="E489" s="4"/>
      <c r="G489" s="4"/>
    </row>
    <row r="490" ht="15.75" customHeight="1">
      <c r="A490" s="4"/>
      <c r="B490" s="4"/>
      <c r="C490" s="4"/>
      <c r="D490" s="4"/>
      <c r="E490" s="4"/>
      <c r="G490" s="4"/>
    </row>
    <row r="491" ht="15.75" customHeight="1">
      <c r="A491" s="4"/>
      <c r="B491" s="4"/>
      <c r="C491" s="4"/>
      <c r="D491" s="4"/>
      <c r="E491" s="4"/>
      <c r="G491" s="4"/>
    </row>
    <row r="492" ht="15.75" customHeight="1">
      <c r="A492" s="4"/>
      <c r="B492" s="4"/>
      <c r="C492" s="4"/>
      <c r="D492" s="4"/>
      <c r="E492" s="4"/>
      <c r="G492" s="4"/>
    </row>
    <row r="493" ht="15.75" customHeight="1">
      <c r="A493" s="4"/>
      <c r="B493" s="4"/>
      <c r="C493" s="4"/>
      <c r="D493" s="4"/>
      <c r="E493" s="4"/>
      <c r="G493" s="4"/>
    </row>
    <row r="494" ht="15.75" customHeight="1">
      <c r="A494" s="4"/>
      <c r="B494" s="4"/>
      <c r="C494" s="4"/>
      <c r="D494" s="4"/>
      <c r="E494" s="4"/>
      <c r="G494" s="4"/>
    </row>
    <row r="495" ht="15.75" customHeight="1">
      <c r="A495" s="4"/>
      <c r="B495" s="4"/>
      <c r="C495" s="4"/>
      <c r="D495" s="4"/>
      <c r="E495" s="4"/>
      <c r="G495" s="4"/>
    </row>
    <row r="496" ht="15.75" customHeight="1">
      <c r="A496" s="4"/>
      <c r="B496" s="4"/>
      <c r="C496" s="4"/>
      <c r="D496" s="4"/>
      <c r="E496" s="4"/>
      <c r="G496" s="4"/>
    </row>
    <row r="497" ht="15.75" customHeight="1">
      <c r="A497" s="4"/>
      <c r="B497" s="4"/>
      <c r="C497" s="4"/>
      <c r="D497" s="4"/>
      <c r="E497" s="4"/>
      <c r="G497" s="4"/>
    </row>
    <row r="498" ht="15.75" customHeight="1">
      <c r="A498" s="4"/>
      <c r="B498" s="4"/>
      <c r="C498" s="4"/>
      <c r="D498" s="4"/>
      <c r="E498" s="4"/>
      <c r="G498" s="4"/>
    </row>
    <row r="499" ht="15.75" customHeight="1">
      <c r="A499" s="4"/>
      <c r="B499" s="4"/>
      <c r="C499" s="4"/>
      <c r="D499" s="4"/>
      <c r="E499" s="4"/>
      <c r="G499" s="4"/>
    </row>
    <row r="500" ht="15.75" customHeight="1">
      <c r="A500" s="4"/>
      <c r="B500" s="4"/>
      <c r="C500" s="4"/>
      <c r="D500" s="4"/>
      <c r="E500" s="4"/>
      <c r="G500" s="4"/>
    </row>
    <row r="501" ht="15.75" customHeight="1">
      <c r="A501" s="4"/>
      <c r="B501" s="4"/>
      <c r="C501" s="4"/>
      <c r="D501" s="4"/>
      <c r="E501" s="4"/>
      <c r="G501" s="4"/>
    </row>
    <row r="502" ht="15.75" customHeight="1">
      <c r="A502" s="4"/>
      <c r="B502" s="4"/>
      <c r="C502" s="4"/>
      <c r="D502" s="4"/>
      <c r="E502" s="4"/>
      <c r="G502" s="4"/>
    </row>
    <row r="503" ht="15.75" customHeight="1">
      <c r="A503" s="4"/>
      <c r="B503" s="4"/>
      <c r="C503" s="4"/>
      <c r="D503" s="4"/>
      <c r="E503" s="4"/>
      <c r="G503" s="4"/>
    </row>
    <row r="504" ht="15.75" customHeight="1">
      <c r="A504" s="4"/>
      <c r="B504" s="4"/>
      <c r="C504" s="4"/>
      <c r="D504" s="4"/>
      <c r="E504" s="4"/>
      <c r="G504" s="4"/>
    </row>
    <row r="505" ht="15.75" customHeight="1">
      <c r="A505" s="4"/>
      <c r="B505" s="4"/>
      <c r="C505" s="4"/>
      <c r="D505" s="4"/>
      <c r="E505" s="4"/>
      <c r="G505" s="4"/>
    </row>
    <row r="506" ht="15.75" customHeight="1">
      <c r="A506" s="4"/>
      <c r="B506" s="4"/>
      <c r="C506" s="4"/>
      <c r="D506" s="4"/>
      <c r="E506" s="4"/>
      <c r="G506" s="4"/>
    </row>
    <row r="507" ht="15.75" customHeight="1">
      <c r="A507" s="4"/>
      <c r="B507" s="4"/>
      <c r="C507" s="4"/>
      <c r="D507" s="4"/>
      <c r="E507" s="4"/>
      <c r="G507" s="4"/>
    </row>
    <row r="508" ht="15.75" customHeight="1">
      <c r="A508" s="4"/>
      <c r="B508" s="4"/>
      <c r="C508" s="4"/>
      <c r="D508" s="4"/>
      <c r="E508" s="4"/>
      <c r="G508" s="4"/>
    </row>
    <row r="509" ht="15.75" customHeight="1">
      <c r="A509" s="4"/>
      <c r="B509" s="4"/>
      <c r="C509" s="4"/>
      <c r="D509" s="4"/>
      <c r="E509" s="4"/>
      <c r="G509" s="4"/>
    </row>
    <row r="510" ht="15.75" customHeight="1">
      <c r="A510" s="4"/>
      <c r="B510" s="4"/>
      <c r="C510" s="4"/>
      <c r="D510" s="4"/>
      <c r="E510" s="4"/>
      <c r="G510" s="4"/>
    </row>
    <row r="511" ht="15.75" customHeight="1">
      <c r="A511" s="4"/>
      <c r="B511" s="4"/>
      <c r="C511" s="4"/>
      <c r="D511" s="4"/>
      <c r="E511" s="4"/>
      <c r="G511" s="4"/>
    </row>
    <row r="512" ht="15.75" customHeight="1">
      <c r="A512" s="4"/>
      <c r="B512" s="4"/>
      <c r="C512" s="4"/>
      <c r="D512" s="4"/>
      <c r="E512" s="4"/>
      <c r="G512" s="4"/>
    </row>
    <row r="513" ht="15.75" customHeight="1">
      <c r="A513" s="4"/>
      <c r="B513" s="4"/>
      <c r="C513" s="4"/>
      <c r="D513" s="4"/>
      <c r="E513" s="4"/>
      <c r="G513" s="4"/>
    </row>
    <row r="514" ht="15.75" customHeight="1">
      <c r="A514" s="4"/>
      <c r="B514" s="4"/>
      <c r="C514" s="4"/>
      <c r="D514" s="4"/>
      <c r="E514" s="4"/>
      <c r="G514" s="4"/>
    </row>
    <row r="515" ht="15.75" customHeight="1">
      <c r="A515" s="4"/>
      <c r="B515" s="4"/>
      <c r="C515" s="4"/>
      <c r="D515" s="4"/>
      <c r="E515" s="4"/>
      <c r="G515" s="4"/>
    </row>
    <row r="516" ht="15.75" customHeight="1">
      <c r="A516" s="4"/>
      <c r="B516" s="4"/>
      <c r="C516" s="4"/>
      <c r="D516" s="4"/>
      <c r="E516" s="4"/>
      <c r="G516" s="4"/>
    </row>
    <row r="517" ht="15.75" customHeight="1">
      <c r="A517" s="4"/>
      <c r="B517" s="4"/>
      <c r="C517" s="4"/>
      <c r="D517" s="4"/>
      <c r="E517" s="4"/>
      <c r="G517" s="4"/>
    </row>
    <row r="518" ht="15.75" customHeight="1">
      <c r="A518" s="4"/>
      <c r="B518" s="4"/>
      <c r="C518" s="4"/>
      <c r="D518" s="4"/>
      <c r="E518" s="4"/>
      <c r="G518" s="4"/>
    </row>
    <row r="519" ht="15.75" customHeight="1">
      <c r="A519" s="4"/>
      <c r="B519" s="4"/>
      <c r="C519" s="4"/>
      <c r="D519" s="4"/>
      <c r="E519" s="4"/>
      <c r="G519" s="4"/>
    </row>
    <row r="520" ht="15.75" customHeight="1">
      <c r="A520" s="4"/>
      <c r="B520" s="4"/>
      <c r="C520" s="4"/>
      <c r="D520" s="4"/>
      <c r="E520" s="4"/>
      <c r="G520" s="4"/>
    </row>
    <row r="521" ht="15.75" customHeight="1">
      <c r="A521" s="4"/>
      <c r="B521" s="4"/>
      <c r="C521" s="4"/>
      <c r="D521" s="4"/>
      <c r="E521" s="4"/>
      <c r="G521" s="4"/>
    </row>
    <row r="522" ht="15.75" customHeight="1">
      <c r="A522" s="4"/>
      <c r="B522" s="4"/>
      <c r="C522" s="4"/>
      <c r="D522" s="4"/>
      <c r="E522" s="4"/>
      <c r="G522" s="4"/>
    </row>
    <row r="523" ht="15.75" customHeight="1">
      <c r="A523" s="4"/>
      <c r="B523" s="4"/>
      <c r="C523" s="4"/>
      <c r="D523" s="4"/>
      <c r="E523" s="4"/>
      <c r="G523" s="4"/>
    </row>
    <row r="524" ht="15.75" customHeight="1">
      <c r="A524" s="4"/>
      <c r="B524" s="4"/>
      <c r="C524" s="4"/>
      <c r="D524" s="4"/>
      <c r="E524" s="4"/>
      <c r="G524" s="4"/>
    </row>
    <row r="525" ht="15.75" customHeight="1">
      <c r="A525" s="4"/>
      <c r="B525" s="4"/>
      <c r="C525" s="4"/>
      <c r="D525" s="4"/>
      <c r="E525" s="4"/>
      <c r="G525" s="4"/>
    </row>
    <row r="526" ht="15.75" customHeight="1">
      <c r="A526" s="4"/>
      <c r="B526" s="4"/>
      <c r="C526" s="4"/>
      <c r="D526" s="4"/>
      <c r="E526" s="4"/>
      <c r="G526" s="4"/>
    </row>
    <row r="527" ht="15.75" customHeight="1">
      <c r="A527" s="4"/>
      <c r="B527" s="4"/>
      <c r="C527" s="4"/>
      <c r="D527" s="4"/>
      <c r="E527" s="4"/>
      <c r="G527" s="4"/>
    </row>
    <row r="528" ht="15.75" customHeight="1">
      <c r="A528" s="4"/>
      <c r="B528" s="4"/>
      <c r="C528" s="4"/>
      <c r="D528" s="4"/>
      <c r="E528" s="4"/>
      <c r="G528" s="4"/>
    </row>
    <row r="529" ht="15.75" customHeight="1">
      <c r="A529" s="4"/>
      <c r="B529" s="4"/>
      <c r="C529" s="4"/>
      <c r="D529" s="4"/>
      <c r="E529" s="4"/>
      <c r="G529" s="4"/>
    </row>
    <row r="530" ht="15.75" customHeight="1">
      <c r="A530" s="4"/>
      <c r="B530" s="4"/>
      <c r="C530" s="4"/>
      <c r="D530" s="4"/>
      <c r="E530" s="4"/>
      <c r="G530" s="4"/>
    </row>
    <row r="531" ht="15.75" customHeight="1">
      <c r="A531" s="4"/>
      <c r="B531" s="4"/>
      <c r="C531" s="4"/>
      <c r="D531" s="4"/>
      <c r="E531" s="4"/>
      <c r="G531" s="4"/>
    </row>
    <row r="532" ht="15.75" customHeight="1">
      <c r="A532" s="4"/>
      <c r="B532" s="4"/>
      <c r="C532" s="4"/>
      <c r="D532" s="4"/>
      <c r="E532" s="4"/>
      <c r="G532" s="4"/>
    </row>
    <row r="533" ht="15.75" customHeight="1">
      <c r="A533" s="4"/>
      <c r="B533" s="4"/>
      <c r="C533" s="4"/>
      <c r="D533" s="4"/>
      <c r="E533" s="4"/>
      <c r="G533" s="4"/>
    </row>
    <row r="534" ht="15.75" customHeight="1">
      <c r="A534" s="4"/>
      <c r="B534" s="4"/>
      <c r="C534" s="4"/>
      <c r="D534" s="4"/>
      <c r="E534" s="4"/>
      <c r="G534" s="4"/>
    </row>
    <row r="535" ht="15.75" customHeight="1">
      <c r="A535" s="4"/>
      <c r="B535" s="4"/>
      <c r="C535" s="4"/>
      <c r="D535" s="4"/>
      <c r="E535" s="4"/>
      <c r="G535" s="4"/>
    </row>
    <row r="536" ht="15.75" customHeight="1">
      <c r="A536" s="4"/>
      <c r="B536" s="4"/>
      <c r="C536" s="4"/>
      <c r="D536" s="4"/>
      <c r="E536" s="4"/>
      <c r="G536" s="4"/>
    </row>
    <row r="537" ht="15.75" customHeight="1">
      <c r="A537" s="4"/>
      <c r="B537" s="4"/>
      <c r="C537" s="4"/>
      <c r="D537" s="4"/>
      <c r="E537" s="4"/>
      <c r="G537" s="4"/>
    </row>
    <row r="538" ht="15.75" customHeight="1">
      <c r="A538" s="4"/>
      <c r="B538" s="4"/>
      <c r="C538" s="4"/>
      <c r="D538" s="4"/>
      <c r="E538" s="4"/>
      <c r="G538" s="4"/>
    </row>
    <row r="539" ht="15.75" customHeight="1">
      <c r="A539" s="4"/>
      <c r="B539" s="4"/>
      <c r="C539" s="4"/>
      <c r="D539" s="4"/>
      <c r="E539" s="4"/>
      <c r="G539" s="4"/>
    </row>
    <row r="540" ht="15.75" customHeight="1">
      <c r="A540" s="4"/>
      <c r="B540" s="4"/>
      <c r="C540" s="4"/>
      <c r="D540" s="4"/>
      <c r="E540" s="4"/>
      <c r="G540" s="4"/>
    </row>
    <row r="541" ht="15.75" customHeight="1">
      <c r="A541" s="4"/>
      <c r="B541" s="4"/>
      <c r="C541" s="4"/>
      <c r="D541" s="4"/>
      <c r="E541" s="4"/>
      <c r="G541" s="4"/>
    </row>
    <row r="542" ht="15.75" customHeight="1">
      <c r="A542" s="4"/>
      <c r="B542" s="4"/>
      <c r="C542" s="4"/>
      <c r="D542" s="4"/>
      <c r="E542" s="4"/>
      <c r="G542" s="4"/>
    </row>
    <row r="543" ht="15.75" customHeight="1">
      <c r="A543" s="4"/>
      <c r="B543" s="4"/>
      <c r="C543" s="4"/>
      <c r="D543" s="4"/>
      <c r="E543" s="4"/>
      <c r="G543" s="4"/>
    </row>
    <row r="544" ht="15.75" customHeight="1">
      <c r="A544" s="4"/>
      <c r="B544" s="4"/>
      <c r="C544" s="4"/>
      <c r="D544" s="4"/>
      <c r="E544" s="4"/>
      <c r="G544" s="4"/>
    </row>
    <row r="545" ht="15.75" customHeight="1">
      <c r="A545" s="4"/>
      <c r="B545" s="4"/>
      <c r="C545" s="4"/>
      <c r="D545" s="4"/>
      <c r="E545" s="4"/>
      <c r="G545" s="4"/>
    </row>
    <row r="546" ht="15.75" customHeight="1">
      <c r="A546" s="4"/>
      <c r="B546" s="4"/>
      <c r="C546" s="4"/>
      <c r="D546" s="4"/>
      <c r="E546" s="4"/>
      <c r="G546" s="4"/>
    </row>
    <row r="547" ht="15.75" customHeight="1">
      <c r="A547" s="4"/>
      <c r="B547" s="4"/>
      <c r="C547" s="4"/>
      <c r="D547" s="4"/>
      <c r="E547" s="4"/>
      <c r="G547" s="4"/>
    </row>
    <row r="548" ht="15.75" customHeight="1">
      <c r="A548" s="4"/>
      <c r="B548" s="4"/>
      <c r="C548" s="4"/>
      <c r="D548" s="4"/>
      <c r="E548" s="4"/>
      <c r="G548" s="4"/>
    </row>
    <row r="549" ht="15.75" customHeight="1">
      <c r="A549" s="4"/>
      <c r="B549" s="4"/>
      <c r="C549" s="4"/>
      <c r="D549" s="4"/>
      <c r="E549" s="4"/>
      <c r="G549" s="4"/>
    </row>
    <row r="550" ht="15.75" customHeight="1">
      <c r="A550" s="4"/>
      <c r="B550" s="4"/>
      <c r="C550" s="4"/>
      <c r="D550" s="4"/>
      <c r="E550" s="4"/>
      <c r="G550" s="4"/>
    </row>
    <row r="551" ht="15.75" customHeight="1">
      <c r="A551" s="4"/>
      <c r="B551" s="4"/>
      <c r="C551" s="4"/>
      <c r="D551" s="4"/>
      <c r="E551" s="4"/>
      <c r="G551" s="4"/>
    </row>
    <row r="552" ht="15.75" customHeight="1">
      <c r="A552" s="4"/>
      <c r="B552" s="4"/>
      <c r="C552" s="4"/>
      <c r="D552" s="4"/>
      <c r="E552" s="4"/>
      <c r="G552" s="4"/>
    </row>
    <row r="553" ht="15.75" customHeight="1">
      <c r="A553" s="4"/>
      <c r="B553" s="4"/>
      <c r="C553" s="4"/>
      <c r="D553" s="4"/>
      <c r="E553" s="4"/>
      <c r="G553" s="4"/>
    </row>
    <row r="554" ht="15.75" customHeight="1">
      <c r="A554" s="4"/>
      <c r="B554" s="4"/>
      <c r="C554" s="4"/>
      <c r="D554" s="4"/>
      <c r="E554" s="4"/>
      <c r="G554" s="4"/>
    </row>
    <row r="555" ht="15.75" customHeight="1">
      <c r="A555" s="4"/>
      <c r="B555" s="4"/>
      <c r="C555" s="4"/>
      <c r="D555" s="4"/>
      <c r="E555" s="4"/>
      <c r="G555" s="4"/>
    </row>
    <row r="556" ht="15.75" customHeight="1">
      <c r="A556" s="4"/>
      <c r="B556" s="4"/>
      <c r="C556" s="4"/>
      <c r="D556" s="4"/>
      <c r="E556" s="4"/>
      <c r="G556" s="4"/>
    </row>
    <row r="557" ht="15.75" customHeight="1">
      <c r="A557" s="4"/>
      <c r="B557" s="4"/>
      <c r="C557" s="4"/>
      <c r="D557" s="4"/>
      <c r="E557" s="4"/>
      <c r="G557" s="4"/>
    </row>
    <row r="558" ht="15.75" customHeight="1">
      <c r="A558" s="4"/>
      <c r="B558" s="4"/>
      <c r="C558" s="4"/>
      <c r="D558" s="4"/>
      <c r="E558" s="4"/>
      <c r="G558" s="4"/>
    </row>
    <row r="559" ht="15.75" customHeight="1">
      <c r="A559" s="4"/>
      <c r="B559" s="4"/>
      <c r="C559" s="4"/>
      <c r="D559" s="4"/>
      <c r="E559" s="4"/>
      <c r="G559" s="4"/>
    </row>
    <row r="560" ht="15.75" customHeight="1">
      <c r="A560" s="4"/>
      <c r="B560" s="4"/>
      <c r="C560" s="4"/>
      <c r="D560" s="4"/>
      <c r="E560" s="4"/>
      <c r="G560" s="4"/>
    </row>
    <row r="561" ht="15.75" customHeight="1">
      <c r="A561" s="4"/>
      <c r="B561" s="4"/>
      <c r="C561" s="4"/>
      <c r="D561" s="4"/>
      <c r="E561" s="4"/>
      <c r="G561" s="4"/>
    </row>
    <row r="562" ht="15.75" customHeight="1">
      <c r="A562" s="4"/>
      <c r="B562" s="4"/>
      <c r="C562" s="4"/>
      <c r="D562" s="4"/>
      <c r="E562" s="4"/>
      <c r="G562" s="4"/>
    </row>
    <row r="563" ht="15.75" customHeight="1">
      <c r="A563" s="4"/>
      <c r="B563" s="4"/>
      <c r="C563" s="4"/>
      <c r="D563" s="4"/>
      <c r="E563" s="4"/>
      <c r="G563" s="4"/>
    </row>
    <row r="564" ht="15.75" customHeight="1">
      <c r="A564" s="4"/>
      <c r="B564" s="4"/>
      <c r="C564" s="4"/>
      <c r="D564" s="4"/>
      <c r="E564" s="4"/>
      <c r="G564" s="4"/>
    </row>
    <row r="565" ht="15.75" customHeight="1">
      <c r="A565" s="4"/>
      <c r="B565" s="4"/>
      <c r="C565" s="4"/>
      <c r="D565" s="4"/>
      <c r="E565" s="4"/>
      <c r="G565" s="4"/>
    </row>
    <row r="566" ht="15.75" customHeight="1">
      <c r="A566" s="4"/>
      <c r="B566" s="4"/>
      <c r="C566" s="4"/>
      <c r="D566" s="4"/>
      <c r="E566" s="4"/>
      <c r="G566" s="4"/>
    </row>
    <row r="567" ht="15.75" customHeight="1">
      <c r="A567" s="4"/>
      <c r="B567" s="4"/>
      <c r="C567" s="4"/>
      <c r="D567" s="4"/>
      <c r="E567" s="4"/>
      <c r="G567" s="4"/>
    </row>
    <row r="568" ht="15.75" customHeight="1">
      <c r="A568" s="4"/>
      <c r="B568" s="4"/>
      <c r="C568" s="4"/>
      <c r="D568" s="4"/>
      <c r="E568" s="4"/>
      <c r="G568" s="4"/>
    </row>
    <row r="569" ht="15.75" customHeight="1">
      <c r="A569" s="4"/>
      <c r="B569" s="4"/>
      <c r="C569" s="4"/>
      <c r="D569" s="4"/>
      <c r="E569" s="4"/>
      <c r="G569" s="4"/>
    </row>
    <row r="570" ht="15.75" customHeight="1">
      <c r="A570" s="4"/>
      <c r="B570" s="4"/>
      <c r="C570" s="4"/>
      <c r="D570" s="4"/>
      <c r="E570" s="4"/>
      <c r="G570" s="4"/>
    </row>
    <row r="571" ht="15.75" customHeight="1">
      <c r="A571" s="4"/>
      <c r="B571" s="4"/>
      <c r="C571" s="4"/>
      <c r="D571" s="4"/>
      <c r="E571" s="4"/>
      <c r="G571" s="4"/>
    </row>
    <row r="572" ht="15.75" customHeight="1">
      <c r="A572" s="4"/>
      <c r="B572" s="4"/>
      <c r="C572" s="4"/>
      <c r="D572" s="4"/>
      <c r="E572" s="4"/>
      <c r="G572" s="4"/>
    </row>
    <row r="573" ht="15.75" customHeight="1">
      <c r="A573" s="4"/>
      <c r="B573" s="4"/>
      <c r="C573" s="4"/>
      <c r="D573" s="4"/>
      <c r="E573" s="4"/>
      <c r="G573" s="4"/>
    </row>
    <row r="574" ht="15.75" customHeight="1">
      <c r="A574" s="4"/>
      <c r="B574" s="4"/>
      <c r="C574" s="4"/>
      <c r="D574" s="4"/>
      <c r="E574" s="4"/>
      <c r="G574" s="4"/>
    </row>
    <row r="575" ht="15.75" customHeight="1">
      <c r="A575" s="4"/>
      <c r="B575" s="4"/>
      <c r="C575" s="4"/>
      <c r="D575" s="4"/>
      <c r="E575" s="4"/>
      <c r="G575" s="4"/>
    </row>
    <row r="576" ht="15.75" customHeight="1">
      <c r="A576" s="4"/>
      <c r="B576" s="4"/>
      <c r="C576" s="4"/>
      <c r="D576" s="4"/>
      <c r="E576" s="4"/>
      <c r="G576" s="4"/>
    </row>
    <row r="577" ht="15.75" customHeight="1">
      <c r="A577" s="4"/>
      <c r="B577" s="4"/>
      <c r="C577" s="4"/>
      <c r="D577" s="4"/>
      <c r="E577" s="4"/>
      <c r="G577" s="4"/>
    </row>
    <row r="578" ht="15.75" customHeight="1">
      <c r="A578" s="4"/>
      <c r="B578" s="4"/>
      <c r="C578" s="4"/>
      <c r="D578" s="4"/>
      <c r="E578" s="4"/>
      <c r="G578" s="4"/>
    </row>
    <row r="579" ht="15.75" customHeight="1">
      <c r="A579" s="4"/>
      <c r="B579" s="4"/>
      <c r="C579" s="4"/>
      <c r="D579" s="4"/>
      <c r="E579" s="4"/>
      <c r="G579" s="4"/>
    </row>
    <row r="580" ht="15.75" customHeight="1">
      <c r="A580" s="4"/>
      <c r="B580" s="4"/>
      <c r="C580" s="4"/>
      <c r="D580" s="4"/>
      <c r="E580" s="4"/>
      <c r="G580" s="4"/>
    </row>
    <row r="581" ht="15.75" customHeight="1">
      <c r="A581" s="4"/>
      <c r="B581" s="4"/>
      <c r="C581" s="4"/>
      <c r="D581" s="4"/>
      <c r="E581" s="4"/>
      <c r="G581" s="4"/>
    </row>
    <row r="582" ht="15.75" customHeight="1">
      <c r="A582" s="4"/>
      <c r="B582" s="4"/>
      <c r="C582" s="4"/>
      <c r="D582" s="4"/>
      <c r="E582" s="4"/>
      <c r="G582" s="4"/>
    </row>
    <row r="583" ht="15.75" customHeight="1">
      <c r="A583" s="4"/>
      <c r="B583" s="4"/>
      <c r="C583" s="4"/>
      <c r="D583" s="4"/>
      <c r="E583" s="4"/>
      <c r="G583" s="4"/>
    </row>
    <row r="584" ht="15.75" customHeight="1">
      <c r="A584" s="4"/>
      <c r="B584" s="4"/>
      <c r="C584" s="4"/>
      <c r="D584" s="4"/>
      <c r="E584" s="4"/>
      <c r="G584" s="4"/>
    </row>
    <row r="585" ht="15.75" customHeight="1">
      <c r="A585" s="4"/>
      <c r="B585" s="4"/>
      <c r="C585" s="4"/>
      <c r="D585" s="4"/>
      <c r="E585" s="4"/>
      <c r="G585" s="4"/>
    </row>
    <row r="586" ht="15.75" customHeight="1">
      <c r="A586" s="4"/>
      <c r="B586" s="4"/>
      <c r="C586" s="4"/>
      <c r="D586" s="4"/>
      <c r="E586" s="4"/>
      <c r="G586" s="4"/>
    </row>
    <row r="587" ht="15.75" customHeight="1">
      <c r="A587" s="4"/>
      <c r="B587" s="4"/>
      <c r="C587" s="4"/>
      <c r="D587" s="4"/>
      <c r="E587" s="4"/>
      <c r="G587" s="4"/>
    </row>
    <row r="588" ht="15.75" customHeight="1">
      <c r="A588" s="4"/>
      <c r="B588" s="4"/>
      <c r="C588" s="4"/>
      <c r="D588" s="4"/>
      <c r="E588" s="4"/>
      <c r="G588" s="4"/>
    </row>
    <row r="589" ht="15.75" customHeight="1">
      <c r="A589" s="4"/>
      <c r="B589" s="4"/>
      <c r="C589" s="4"/>
      <c r="D589" s="4"/>
      <c r="E589" s="4"/>
      <c r="G589" s="4"/>
    </row>
    <row r="590" ht="15.75" customHeight="1">
      <c r="A590" s="4"/>
      <c r="B590" s="4"/>
      <c r="C590" s="4"/>
      <c r="D590" s="4"/>
      <c r="E590" s="4"/>
      <c r="G590" s="4"/>
    </row>
    <row r="591" ht="15.75" customHeight="1">
      <c r="A591" s="4"/>
      <c r="B591" s="4"/>
      <c r="C591" s="4"/>
      <c r="D591" s="4"/>
      <c r="E591" s="4"/>
      <c r="G591" s="4"/>
    </row>
    <row r="592" ht="15.75" customHeight="1">
      <c r="A592" s="4"/>
      <c r="B592" s="4"/>
      <c r="C592" s="4"/>
      <c r="D592" s="4"/>
      <c r="E592" s="4"/>
      <c r="G592" s="4"/>
    </row>
    <row r="593" ht="15.75" customHeight="1">
      <c r="A593" s="4"/>
      <c r="B593" s="4"/>
      <c r="C593" s="4"/>
      <c r="D593" s="4"/>
      <c r="E593" s="4"/>
      <c r="G593" s="4"/>
    </row>
    <row r="594" ht="15.75" customHeight="1">
      <c r="A594" s="4"/>
      <c r="B594" s="4"/>
      <c r="C594" s="4"/>
      <c r="D594" s="4"/>
      <c r="E594" s="4"/>
      <c r="G594" s="4"/>
    </row>
    <row r="595" ht="15.75" customHeight="1">
      <c r="A595" s="4"/>
      <c r="B595" s="4"/>
      <c r="C595" s="4"/>
      <c r="D595" s="4"/>
      <c r="E595" s="4"/>
      <c r="G595" s="4"/>
    </row>
    <row r="596" ht="15.75" customHeight="1">
      <c r="A596" s="4"/>
      <c r="B596" s="4"/>
      <c r="C596" s="4"/>
      <c r="D596" s="4"/>
      <c r="E596" s="4"/>
      <c r="G596" s="4"/>
    </row>
    <row r="597" ht="15.75" customHeight="1">
      <c r="A597" s="4"/>
      <c r="B597" s="4"/>
      <c r="C597" s="4"/>
      <c r="D597" s="4"/>
      <c r="E597" s="4"/>
      <c r="G597" s="4"/>
    </row>
    <row r="598" ht="15.75" customHeight="1">
      <c r="A598" s="4"/>
      <c r="B598" s="4"/>
      <c r="C598" s="4"/>
      <c r="D598" s="4"/>
      <c r="E598" s="4"/>
      <c r="G598" s="4"/>
    </row>
    <row r="599" ht="15.75" customHeight="1">
      <c r="A599" s="4"/>
      <c r="B599" s="4"/>
      <c r="C599" s="4"/>
      <c r="D599" s="4"/>
      <c r="E599" s="4"/>
      <c r="G599" s="4"/>
    </row>
    <row r="600" ht="15.75" customHeight="1">
      <c r="A600" s="4"/>
      <c r="B600" s="4"/>
      <c r="C600" s="4"/>
      <c r="D600" s="4"/>
      <c r="E600" s="4"/>
      <c r="G600" s="4"/>
    </row>
    <row r="601" ht="15.75" customHeight="1">
      <c r="A601" s="4"/>
      <c r="B601" s="4"/>
      <c r="C601" s="4"/>
      <c r="D601" s="4"/>
      <c r="E601" s="4"/>
      <c r="G601" s="4"/>
    </row>
    <row r="602" ht="15.75" customHeight="1">
      <c r="A602" s="4"/>
      <c r="B602" s="4"/>
      <c r="C602" s="4"/>
      <c r="D602" s="4"/>
      <c r="E602" s="4"/>
      <c r="G602" s="4"/>
    </row>
    <row r="603" ht="15.75" customHeight="1">
      <c r="A603" s="4"/>
      <c r="B603" s="4"/>
      <c r="C603" s="4"/>
      <c r="D603" s="4"/>
      <c r="E603" s="4"/>
      <c r="G603" s="4"/>
    </row>
    <row r="604" ht="15.75" customHeight="1">
      <c r="A604" s="4"/>
      <c r="B604" s="4"/>
      <c r="C604" s="4"/>
      <c r="D604" s="4"/>
      <c r="E604" s="4"/>
      <c r="G604" s="4"/>
    </row>
    <row r="605" ht="15.75" customHeight="1">
      <c r="A605" s="4"/>
      <c r="B605" s="4"/>
      <c r="C605" s="4"/>
      <c r="D605" s="4"/>
      <c r="E605" s="4"/>
      <c r="G605" s="4"/>
    </row>
    <row r="606" ht="15.75" customHeight="1">
      <c r="A606" s="4"/>
      <c r="B606" s="4"/>
      <c r="C606" s="4"/>
      <c r="D606" s="4"/>
      <c r="E606" s="4"/>
      <c r="G606" s="4"/>
    </row>
    <row r="607" ht="15.75" customHeight="1">
      <c r="A607" s="4"/>
      <c r="B607" s="4"/>
      <c r="C607" s="4"/>
      <c r="D607" s="4"/>
      <c r="E607" s="4"/>
      <c r="G607" s="4"/>
    </row>
    <row r="608" ht="15.75" customHeight="1">
      <c r="A608" s="4"/>
      <c r="B608" s="4"/>
      <c r="C608" s="4"/>
      <c r="D608" s="4"/>
      <c r="E608" s="4"/>
      <c r="G608" s="4"/>
    </row>
    <row r="609" ht="15.75" customHeight="1">
      <c r="A609" s="4"/>
      <c r="B609" s="4"/>
      <c r="C609" s="4"/>
      <c r="D609" s="4"/>
      <c r="E609" s="4"/>
      <c r="G609" s="4"/>
    </row>
    <row r="610" ht="15.75" customHeight="1">
      <c r="A610" s="4"/>
      <c r="B610" s="4"/>
      <c r="C610" s="4"/>
      <c r="D610" s="4"/>
      <c r="E610" s="4"/>
      <c r="G610" s="4"/>
    </row>
    <row r="611" ht="15.75" customHeight="1">
      <c r="A611" s="4"/>
      <c r="B611" s="4"/>
      <c r="C611" s="4"/>
      <c r="D611" s="4"/>
      <c r="E611" s="4"/>
      <c r="G611" s="4"/>
    </row>
    <row r="612" ht="15.75" customHeight="1">
      <c r="A612" s="4"/>
      <c r="B612" s="4"/>
      <c r="C612" s="4"/>
      <c r="D612" s="4"/>
      <c r="E612" s="4"/>
      <c r="G612" s="4"/>
    </row>
    <row r="613" ht="15.75" customHeight="1">
      <c r="A613" s="4"/>
      <c r="B613" s="4"/>
      <c r="C613" s="4"/>
      <c r="D613" s="4"/>
      <c r="E613" s="4"/>
      <c r="G613" s="4"/>
    </row>
    <row r="614" ht="15.75" customHeight="1">
      <c r="A614" s="4"/>
      <c r="B614" s="4"/>
      <c r="C614" s="4"/>
      <c r="D614" s="4"/>
      <c r="E614" s="4"/>
      <c r="G614" s="4"/>
    </row>
    <row r="615" ht="15.75" customHeight="1">
      <c r="A615" s="4"/>
      <c r="B615" s="4"/>
      <c r="C615" s="4"/>
      <c r="D615" s="4"/>
      <c r="E615" s="4"/>
      <c r="G615" s="4"/>
    </row>
    <row r="616" ht="15.75" customHeight="1">
      <c r="A616" s="4"/>
      <c r="B616" s="4"/>
      <c r="C616" s="4"/>
      <c r="D616" s="4"/>
      <c r="E616" s="4"/>
      <c r="G616" s="4"/>
    </row>
    <row r="617" ht="15.75" customHeight="1">
      <c r="A617" s="4"/>
      <c r="B617" s="4"/>
      <c r="C617" s="4"/>
      <c r="D617" s="4"/>
      <c r="E617" s="4"/>
      <c r="G617" s="4"/>
    </row>
    <row r="618" ht="15.75" customHeight="1">
      <c r="A618" s="4"/>
      <c r="B618" s="4"/>
      <c r="C618" s="4"/>
      <c r="D618" s="4"/>
      <c r="E618" s="4"/>
      <c r="G618" s="4"/>
    </row>
    <row r="619" ht="15.75" customHeight="1">
      <c r="A619" s="4"/>
      <c r="B619" s="4"/>
      <c r="C619" s="4"/>
      <c r="D619" s="4"/>
      <c r="E619" s="4"/>
      <c r="G619" s="4"/>
    </row>
    <row r="620" ht="15.75" customHeight="1">
      <c r="A620" s="4"/>
      <c r="B620" s="4"/>
      <c r="C620" s="4"/>
      <c r="D620" s="4"/>
      <c r="E620" s="4"/>
      <c r="G620" s="4"/>
    </row>
    <row r="621" ht="15.75" customHeight="1">
      <c r="A621" s="4"/>
      <c r="B621" s="4"/>
      <c r="C621" s="4"/>
      <c r="D621" s="4"/>
      <c r="E621" s="4"/>
      <c r="G621" s="4"/>
    </row>
    <row r="622" ht="15.75" customHeight="1">
      <c r="A622" s="4"/>
      <c r="B622" s="4"/>
      <c r="C622" s="4"/>
      <c r="D622" s="4"/>
      <c r="E622" s="4"/>
      <c r="G622" s="4"/>
    </row>
    <row r="623" ht="15.75" customHeight="1">
      <c r="A623" s="4"/>
      <c r="B623" s="4"/>
      <c r="C623" s="4"/>
      <c r="D623" s="4"/>
      <c r="E623" s="4"/>
      <c r="G623" s="4"/>
    </row>
    <row r="624" ht="15.75" customHeight="1">
      <c r="A624" s="4"/>
      <c r="B624" s="4"/>
      <c r="C624" s="4"/>
      <c r="D624" s="4"/>
      <c r="E624" s="4"/>
      <c r="G624" s="4"/>
    </row>
    <row r="625" ht="15.75" customHeight="1">
      <c r="A625" s="4"/>
      <c r="B625" s="4"/>
      <c r="C625" s="4"/>
      <c r="D625" s="4"/>
      <c r="E625" s="4"/>
      <c r="G625" s="4"/>
    </row>
    <row r="626" ht="15.75" customHeight="1">
      <c r="A626" s="4"/>
      <c r="B626" s="4"/>
      <c r="C626" s="4"/>
      <c r="D626" s="4"/>
      <c r="E626" s="4"/>
      <c r="G626" s="4"/>
    </row>
    <row r="627" ht="15.75" customHeight="1">
      <c r="A627" s="4"/>
      <c r="B627" s="4"/>
      <c r="C627" s="4"/>
      <c r="D627" s="4"/>
      <c r="E627" s="4"/>
      <c r="G627" s="4"/>
    </row>
    <row r="628" ht="15.75" customHeight="1">
      <c r="A628" s="4"/>
      <c r="B628" s="4"/>
      <c r="C628" s="4"/>
      <c r="D628" s="4"/>
      <c r="E628" s="4"/>
      <c r="G628" s="4"/>
    </row>
    <row r="629" ht="15.75" customHeight="1">
      <c r="A629" s="4"/>
      <c r="B629" s="4"/>
      <c r="C629" s="4"/>
      <c r="D629" s="4"/>
      <c r="E629" s="4"/>
      <c r="G629" s="4"/>
    </row>
    <row r="630" ht="15.75" customHeight="1">
      <c r="A630" s="4"/>
      <c r="B630" s="4"/>
      <c r="C630" s="4"/>
      <c r="D630" s="4"/>
      <c r="E630" s="4"/>
      <c r="G630" s="4"/>
    </row>
    <row r="631" ht="15.75" customHeight="1">
      <c r="A631" s="4"/>
      <c r="B631" s="4"/>
      <c r="C631" s="4"/>
      <c r="D631" s="4"/>
      <c r="E631" s="4"/>
      <c r="G631" s="4"/>
    </row>
    <row r="632" ht="15.75" customHeight="1">
      <c r="A632" s="4"/>
      <c r="B632" s="4"/>
      <c r="C632" s="4"/>
      <c r="D632" s="4"/>
      <c r="E632" s="4"/>
      <c r="G632" s="4"/>
    </row>
    <row r="633" ht="15.75" customHeight="1">
      <c r="A633" s="4"/>
      <c r="B633" s="4"/>
      <c r="C633" s="4"/>
      <c r="D633" s="4"/>
      <c r="E633" s="4"/>
      <c r="G633" s="4"/>
    </row>
    <row r="634" ht="15.75" customHeight="1">
      <c r="A634" s="4"/>
      <c r="B634" s="4"/>
      <c r="C634" s="4"/>
      <c r="D634" s="4"/>
      <c r="E634" s="4"/>
      <c r="G634" s="4"/>
    </row>
    <row r="635" ht="15.75" customHeight="1">
      <c r="A635" s="4"/>
      <c r="B635" s="4"/>
      <c r="C635" s="4"/>
      <c r="D635" s="4"/>
      <c r="E635" s="4"/>
      <c r="G635" s="4"/>
    </row>
    <row r="636" ht="15.75" customHeight="1">
      <c r="A636" s="4"/>
      <c r="B636" s="4"/>
      <c r="C636" s="4"/>
      <c r="D636" s="4"/>
      <c r="E636" s="4"/>
      <c r="G636" s="4"/>
    </row>
    <row r="637" ht="15.75" customHeight="1">
      <c r="A637" s="4"/>
      <c r="B637" s="4"/>
      <c r="C637" s="4"/>
      <c r="D637" s="4"/>
      <c r="E637" s="4"/>
      <c r="G637" s="4"/>
    </row>
    <row r="638" ht="15.75" customHeight="1">
      <c r="A638" s="4"/>
      <c r="B638" s="4"/>
      <c r="C638" s="4"/>
      <c r="D638" s="4"/>
      <c r="E638" s="4"/>
      <c r="G638" s="4"/>
    </row>
    <row r="639" ht="15.75" customHeight="1">
      <c r="A639" s="4"/>
      <c r="B639" s="4"/>
      <c r="C639" s="4"/>
      <c r="D639" s="4"/>
      <c r="E639" s="4"/>
      <c r="G639" s="4"/>
    </row>
    <row r="640" ht="15.75" customHeight="1">
      <c r="A640" s="4"/>
      <c r="B640" s="4"/>
      <c r="C640" s="4"/>
      <c r="D640" s="4"/>
      <c r="E640" s="4"/>
      <c r="G640" s="4"/>
    </row>
    <row r="641" ht="15.75" customHeight="1">
      <c r="A641" s="4"/>
      <c r="B641" s="4"/>
      <c r="C641" s="4"/>
      <c r="D641" s="4"/>
      <c r="E641" s="4"/>
      <c r="G641" s="4"/>
    </row>
    <row r="642" ht="15.75" customHeight="1">
      <c r="A642" s="4"/>
      <c r="B642" s="4"/>
      <c r="C642" s="4"/>
      <c r="D642" s="4"/>
      <c r="E642" s="4"/>
      <c r="G642" s="4"/>
    </row>
    <row r="643" ht="15.75" customHeight="1">
      <c r="A643" s="4"/>
      <c r="B643" s="4"/>
      <c r="C643" s="4"/>
      <c r="D643" s="4"/>
      <c r="E643" s="4"/>
      <c r="G643" s="4"/>
    </row>
    <row r="644" ht="15.75" customHeight="1">
      <c r="A644" s="4"/>
      <c r="B644" s="4"/>
      <c r="C644" s="4"/>
      <c r="D644" s="4"/>
      <c r="E644" s="4"/>
      <c r="G644" s="4"/>
    </row>
    <row r="645" ht="15.75" customHeight="1">
      <c r="A645" s="4"/>
      <c r="B645" s="4"/>
      <c r="C645" s="4"/>
      <c r="D645" s="4"/>
      <c r="E645" s="4"/>
      <c r="G645" s="4"/>
    </row>
    <row r="646" ht="15.75" customHeight="1">
      <c r="A646" s="4"/>
      <c r="B646" s="4"/>
      <c r="C646" s="4"/>
      <c r="D646" s="4"/>
      <c r="E646" s="4"/>
      <c r="G646" s="4"/>
    </row>
    <row r="647" ht="15.75" customHeight="1">
      <c r="A647" s="4"/>
      <c r="B647" s="4"/>
      <c r="C647" s="4"/>
      <c r="D647" s="4"/>
      <c r="E647" s="4"/>
      <c r="G647" s="4"/>
    </row>
    <row r="648" ht="15.75" customHeight="1">
      <c r="A648" s="4"/>
      <c r="B648" s="4"/>
      <c r="C648" s="4"/>
      <c r="D648" s="4"/>
      <c r="E648" s="4"/>
      <c r="G648" s="4"/>
    </row>
    <row r="649" ht="15.75" customHeight="1">
      <c r="A649" s="4"/>
      <c r="B649" s="4"/>
      <c r="C649" s="4"/>
      <c r="D649" s="4"/>
      <c r="E649" s="4"/>
      <c r="G649" s="4"/>
    </row>
    <row r="650" ht="15.75" customHeight="1">
      <c r="A650" s="4"/>
      <c r="B650" s="4"/>
      <c r="C650" s="4"/>
      <c r="D650" s="4"/>
      <c r="E650" s="4"/>
      <c r="G650" s="4"/>
    </row>
    <row r="651" ht="15.75" customHeight="1">
      <c r="A651" s="4"/>
      <c r="B651" s="4"/>
      <c r="C651" s="4"/>
      <c r="D651" s="4"/>
      <c r="E651" s="4"/>
      <c r="G651" s="4"/>
    </row>
    <row r="652" ht="15.75" customHeight="1">
      <c r="A652" s="4"/>
      <c r="B652" s="4"/>
      <c r="C652" s="4"/>
      <c r="D652" s="4"/>
      <c r="E652" s="4"/>
      <c r="G652" s="4"/>
    </row>
    <row r="653" ht="15.75" customHeight="1">
      <c r="A653" s="4"/>
      <c r="B653" s="4"/>
      <c r="C653" s="4"/>
      <c r="D653" s="4"/>
      <c r="E653" s="4"/>
      <c r="G653" s="4"/>
    </row>
    <row r="654" ht="15.75" customHeight="1">
      <c r="A654" s="4"/>
      <c r="B654" s="4"/>
      <c r="C654" s="4"/>
      <c r="D654" s="4"/>
      <c r="E654" s="4"/>
      <c r="G654" s="4"/>
    </row>
    <row r="655" ht="15.75" customHeight="1">
      <c r="A655" s="4"/>
      <c r="B655" s="4"/>
      <c r="C655" s="4"/>
      <c r="D655" s="4"/>
      <c r="E655" s="4"/>
      <c r="G655" s="4"/>
    </row>
    <row r="656" ht="15.75" customHeight="1">
      <c r="A656" s="4"/>
      <c r="B656" s="4"/>
      <c r="C656" s="4"/>
      <c r="D656" s="4"/>
      <c r="E656" s="4"/>
      <c r="G656" s="4"/>
    </row>
    <row r="657" ht="15.75" customHeight="1">
      <c r="A657" s="4"/>
      <c r="B657" s="4"/>
      <c r="C657" s="4"/>
      <c r="D657" s="4"/>
      <c r="E657" s="4"/>
      <c r="G657" s="4"/>
    </row>
    <row r="658" ht="15.75" customHeight="1">
      <c r="A658" s="4"/>
      <c r="B658" s="4"/>
      <c r="C658" s="4"/>
      <c r="D658" s="4"/>
      <c r="E658" s="4"/>
      <c r="G658" s="4"/>
    </row>
    <row r="659" ht="15.75" customHeight="1">
      <c r="A659" s="4"/>
      <c r="B659" s="4"/>
      <c r="C659" s="4"/>
      <c r="D659" s="4"/>
      <c r="E659" s="4"/>
      <c r="G659" s="4"/>
    </row>
    <row r="660" ht="15.75" customHeight="1">
      <c r="A660" s="4"/>
      <c r="B660" s="4"/>
      <c r="C660" s="4"/>
      <c r="D660" s="4"/>
      <c r="E660" s="4"/>
      <c r="G660" s="4"/>
    </row>
    <row r="661" ht="15.75" customHeight="1">
      <c r="A661" s="4"/>
      <c r="B661" s="4"/>
      <c r="C661" s="4"/>
      <c r="D661" s="4"/>
      <c r="E661" s="4"/>
      <c r="G661" s="4"/>
    </row>
    <row r="662" ht="15.75" customHeight="1">
      <c r="A662" s="4"/>
      <c r="B662" s="4"/>
      <c r="C662" s="4"/>
      <c r="D662" s="4"/>
      <c r="E662" s="4"/>
      <c r="G662" s="4"/>
    </row>
    <row r="663" ht="15.75" customHeight="1">
      <c r="A663" s="4"/>
      <c r="B663" s="4"/>
      <c r="C663" s="4"/>
      <c r="D663" s="4"/>
      <c r="E663" s="4"/>
      <c r="G663" s="4"/>
    </row>
    <row r="664" ht="15.75" customHeight="1">
      <c r="A664" s="4"/>
      <c r="B664" s="4"/>
      <c r="C664" s="4"/>
      <c r="D664" s="4"/>
      <c r="E664" s="4"/>
      <c r="G664" s="4"/>
    </row>
    <row r="665" ht="15.75" customHeight="1">
      <c r="A665" s="4"/>
      <c r="B665" s="4"/>
      <c r="C665" s="4"/>
      <c r="D665" s="4"/>
      <c r="E665" s="4"/>
      <c r="G665" s="4"/>
    </row>
    <row r="666" ht="15.75" customHeight="1">
      <c r="A666" s="4"/>
      <c r="B666" s="4"/>
      <c r="C666" s="4"/>
      <c r="D666" s="4"/>
      <c r="E666" s="4"/>
      <c r="G666" s="4"/>
    </row>
    <row r="667" ht="15.75" customHeight="1">
      <c r="A667" s="4"/>
      <c r="B667" s="4"/>
      <c r="C667" s="4"/>
      <c r="D667" s="4"/>
      <c r="E667" s="4"/>
      <c r="G667" s="4"/>
    </row>
    <row r="668" ht="15.75" customHeight="1">
      <c r="A668" s="4"/>
      <c r="B668" s="4"/>
      <c r="C668" s="4"/>
      <c r="D668" s="4"/>
      <c r="E668" s="4"/>
      <c r="G668" s="4"/>
    </row>
    <row r="669" ht="15.75" customHeight="1">
      <c r="A669" s="4"/>
      <c r="B669" s="4"/>
      <c r="C669" s="4"/>
      <c r="D669" s="4"/>
      <c r="E669" s="4"/>
      <c r="G669" s="4"/>
    </row>
    <row r="670" ht="15.75" customHeight="1">
      <c r="A670" s="4"/>
      <c r="B670" s="4"/>
      <c r="C670" s="4"/>
      <c r="D670" s="4"/>
      <c r="E670" s="4"/>
      <c r="G670" s="4"/>
    </row>
    <row r="671" ht="15.75" customHeight="1">
      <c r="A671" s="4"/>
      <c r="B671" s="4"/>
      <c r="C671" s="4"/>
      <c r="D671" s="4"/>
      <c r="E671" s="4"/>
      <c r="G671" s="4"/>
    </row>
    <row r="672" ht="15.75" customHeight="1">
      <c r="A672" s="4"/>
      <c r="B672" s="4"/>
      <c r="C672" s="4"/>
      <c r="D672" s="4"/>
      <c r="E672" s="4"/>
      <c r="G672" s="4"/>
    </row>
    <row r="673" ht="15.75" customHeight="1">
      <c r="A673" s="4"/>
      <c r="B673" s="4"/>
      <c r="C673" s="4"/>
      <c r="D673" s="4"/>
      <c r="E673" s="4"/>
      <c r="G673" s="4"/>
    </row>
    <row r="674" ht="15.75" customHeight="1">
      <c r="A674" s="4"/>
      <c r="B674" s="4"/>
      <c r="C674" s="4"/>
      <c r="D674" s="4"/>
      <c r="E674" s="4"/>
      <c r="G674" s="4"/>
    </row>
    <row r="675" ht="15.75" customHeight="1">
      <c r="A675" s="4"/>
      <c r="B675" s="4"/>
      <c r="C675" s="4"/>
      <c r="D675" s="4"/>
      <c r="E675" s="4"/>
      <c r="G675" s="4"/>
    </row>
    <row r="676" ht="15.75" customHeight="1">
      <c r="A676" s="4"/>
      <c r="B676" s="4"/>
      <c r="C676" s="4"/>
      <c r="D676" s="4"/>
      <c r="E676" s="4"/>
      <c r="G676" s="4"/>
    </row>
    <row r="677" ht="15.75" customHeight="1">
      <c r="A677" s="4"/>
      <c r="B677" s="4"/>
      <c r="C677" s="4"/>
      <c r="D677" s="4"/>
      <c r="E677" s="4"/>
      <c r="G677" s="4"/>
    </row>
    <row r="678" ht="15.75" customHeight="1">
      <c r="A678" s="4"/>
      <c r="B678" s="4"/>
      <c r="C678" s="4"/>
      <c r="D678" s="4"/>
      <c r="E678" s="4"/>
      <c r="G678" s="4"/>
    </row>
    <row r="679" ht="15.75" customHeight="1">
      <c r="A679" s="4"/>
      <c r="B679" s="4"/>
      <c r="C679" s="4"/>
      <c r="D679" s="4"/>
      <c r="E679" s="4"/>
      <c r="G679" s="4"/>
    </row>
    <row r="680" ht="15.75" customHeight="1">
      <c r="A680" s="4"/>
      <c r="B680" s="4"/>
      <c r="C680" s="4"/>
      <c r="D680" s="4"/>
      <c r="E680" s="4"/>
      <c r="G680" s="4"/>
    </row>
    <row r="681" ht="15.75" customHeight="1">
      <c r="A681" s="4"/>
      <c r="B681" s="4"/>
      <c r="C681" s="4"/>
      <c r="D681" s="4"/>
      <c r="E681" s="4"/>
      <c r="G681" s="4"/>
    </row>
    <row r="682" ht="15.75" customHeight="1">
      <c r="A682" s="4"/>
      <c r="B682" s="4"/>
      <c r="C682" s="4"/>
      <c r="D682" s="4"/>
      <c r="E682" s="4"/>
      <c r="G682" s="4"/>
    </row>
    <row r="683" ht="15.75" customHeight="1">
      <c r="A683" s="4"/>
      <c r="B683" s="4"/>
      <c r="C683" s="4"/>
      <c r="D683" s="4"/>
      <c r="E683" s="4"/>
      <c r="G683" s="4"/>
    </row>
    <row r="684" ht="15.75" customHeight="1">
      <c r="A684" s="4"/>
      <c r="B684" s="4"/>
      <c r="C684" s="4"/>
      <c r="D684" s="4"/>
      <c r="E684" s="4"/>
      <c r="G684" s="4"/>
    </row>
    <row r="685" ht="15.75" customHeight="1">
      <c r="A685" s="4"/>
      <c r="B685" s="4"/>
      <c r="C685" s="4"/>
      <c r="D685" s="4"/>
      <c r="E685" s="4"/>
      <c r="G685" s="4"/>
    </row>
    <row r="686" ht="15.75" customHeight="1">
      <c r="A686" s="4"/>
      <c r="B686" s="4"/>
      <c r="C686" s="4"/>
      <c r="D686" s="4"/>
      <c r="E686" s="4"/>
      <c r="G686" s="4"/>
    </row>
    <row r="687" ht="15.75" customHeight="1">
      <c r="A687" s="4"/>
      <c r="B687" s="4"/>
      <c r="C687" s="4"/>
      <c r="D687" s="4"/>
      <c r="E687" s="4"/>
      <c r="G687" s="4"/>
    </row>
    <row r="688" ht="15.75" customHeight="1">
      <c r="A688" s="4"/>
      <c r="B688" s="4"/>
      <c r="C688" s="4"/>
      <c r="D688" s="4"/>
      <c r="E688" s="4"/>
      <c r="G688" s="4"/>
    </row>
    <row r="689" ht="15.75" customHeight="1">
      <c r="A689" s="4"/>
      <c r="B689" s="4"/>
      <c r="C689" s="4"/>
      <c r="D689" s="4"/>
      <c r="E689" s="4"/>
      <c r="G689" s="4"/>
    </row>
    <row r="690" ht="15.75" customHeight="1">
      <c r="A690" s="4"/>
      <c r="B690" s="4"/>
      <c r="C690" s="4"/>
      <c r="D690" s="4"/>
      <c r="E690" s="4"/>
      <c r="G690" s="4"/>
    </row>
    <row r="691" ht="15.75" customHeight="1">
      <c r="A691" s="4"/>
      <c r="B691" s="4"/>
      <c r="C691" s="4"/>
      <c r="D691" s="4"/>
      <c r="E691" s="4"/>
      <c r="G691" s="4"/>
    </row>
    <row r="692" ht="15.75" customHeight="1">
      <c r="A692" s="4"/>
      <c r="B692" s="4"/>
      <c r="C692" s="4"/>
      <c r="D692" s="4"/>
      <c r="E692" s="4"/>
      <c r="G692" s="4"/>
    </row>
    <row r="693" ht="15.75" customHeight="1">
      <c r="A693" s="4"/>
      <c r="B693" s="4"/>
      <c r="C693" s="4"/>
      <c r="D693" s="4"/>
      <c r="E693" s="4"/>
      <c r="G693" s="4"/>
    </row>
    <row r="694" ht="15.75" customHeight="1">
      <c r="A694" s="4"/>
      <c r="B694" s="4"/>
      <c r="C694" s="4"/>
      <c r="D694" s="4"/>
      <c r="E694" s="4"/>
      <c r="G694" s="4"/>
    </row>
    <row r="695" ht="15.75" customHeight="1">
      <c r="A695" s="4"/>
      <c r="B695" s="4"/>
      <c r="C695" s="4"/>
      <c r="D695" s="4"/>
      <c r="E695" s="4"/>
      <c r="G695" s="4"/>
    </row>
    <row r="696" ht="15.75" customHeight="1">
      <c r="A696" s="4"/>
      <c r="B696" s="4"/>
      <c r="C696" s="4"/>
      <c r="D696" s="4"/>
      <c r="E696" s="4"/>
      <c r="G696" s="4"/>
    </row>
    <row r="697" ht="15.75" customHeight="1">
      <c r="A697" s="4"/>
      <c r="B697" s="4"/>
      <c r="C697" s="4"/>
      <c r="D697" s="4"/>
      <c r="E697" s="4"/>
      <c r="G697" s="4"/>
    </row>
    <row r="698" ht="15.75" customHeight="1">
      <c r="A698" s="4"/>
      <c r="B698" s="4"/>
      <c r="C698" s="4"/>
      <c r="D698" s="4"/>
      <c r="E698" s="4"/>
      <c r="G698" s="4"/>
    </row>
    <row r="699" ht="15.75" customHeight="1">
      <c r="A699" s="4"/>
      <c r="B699" s="4"/>
      <c r="C699" s="4"/>
      <c r="D699" s="4"/>
      <c r="E699" s="4"/>
      <c r="G699" s="4"/>
    </row>
    <row r="700" ht="15.75" customHeight="1">
      <c r="A700" s="4"/>
      <c r="B700" s="4"/>
      <c r="C700" s="4"/>
      <c r="D700" s="4"/>
      <c r="E700" s="4"/>
      <c r="G700" s="4"/>
    </row>
    <row r="701" ht="15.75" customHeight="1">
      <c r="A701" s="4"/>
      <c r="B701" s="4"/>
      <c r="C701" s="4"/>
      <c r="D701" s="4"/>
      <c r="E701" s="4"/>
      <c r="G701" s="4"/>
    </row>
    <row r="702" ht="15.75" customHeight="1">
      <c r="A702" s="4"/>
      <c r="B702" s="4"/>
      <c r="C702" s="4"/>
      <c r="D702" s="4"/>
      <c r="E702" s="4"/>
      <c r="G702" s="4"/>
    </row>
    <row r="703" ht="15.75" customHeight="1">
      <c r="A703" s="4"/>
      <c r="B703" s="4"/>
      <c r="C703" s="4"/>
      <c r="D703" s="4"/>
      <c r="E703" s="4"/>
      <c r="G703" s="4"/>
    </row>
    <row r="704" ht="15.75" customHeight="1">
      <c r="A704" s="4"/>
      <c r="B704" s="4"/>
      <c r="C704" s="4"/>
      <c r="D704" s="4"/>
      <c r="E704" s="4"/>
      <c r="G704" s="4"/>
    </row>
    <row r="705" ht="15.75" customHeight="1">
      <c r="A705" s="4"/>
      <c r="B705" s="4"/>
      <c r="C705" s="4"/>
      <c r="D705" s="4"/>
      <c r="E705" s="4"/>
      <c r="G705" s="4"/>
    </row>
    <row r="706" ht="15.75" customHeight="1">
      <c r="A706" s="4"/>
      <c r="B706" s="4"/>
      <c r="C706" s="4"/>
      <c r="D706" s="4"/>
      <c r="E706" s="4"/>
      <c r="G706" s="4"/>
    </row>
    <row r="707" ht="15.75" customHeight="1">
      <c r="A707" s="4"/>
      <c r="B707" s="4"/>
      <c r="C707" s="4"/>
      <c r="D707" s="4"/>
      <c r="E707" s="4"/>
      <c r="G707" s="4"/>
    </row>
    <row r="708" ht="15.75" customHeight="1">
      <c r="A708" s="4"/>
      <c r="B708" s="4"/>
      <c r="C708" s="4"/>
      <c r="D708" s="4"/>
      <c r="E708" s="4"/>
      <c r="G708" s="4"/>
    </row>
    <row r="709" ht="15.75" customHeight="1">
      <c r="A709" s="4"/>
      <c r="B709" s="4"/>
      <c r="C709" s="4"/>
      <c r="D709" s="4"/>
      <c r="E709" s="4"/>
      <c r="G709" s="4"/>
    </row>
    <row r="710" ht="15.75" customHeight="1">
      <c r="A710" s="4"/>
      <c r="B710" s="4"/>
      <c r="C710" s="4"/>
      <c r="D710" s="4"/>
      <c r="E710" s="4"/>
      <c r="G710" s="4"/>
    </row>
    <row r="711" ht="15.75" customHeight="1">
      <c r="A711" s="4"/>
      <c r="B711" s="4"/>
      <c r="C711" s="4"/>
      <c r="D711" s="4"/>
      <c r="E711" s="4"/>
      <c r="G711" s="4"/>
    </row>
    <row r="712" ht="15.75" customHeight="1">
      <c r="A712" s="4"/>
      <c r="B712" s="4"/>
      <c r="C712" s="4"/>
      <c r="D712" s="4"/>
      <c r="E712" s="4"/>
      <c r="G712" s="4"/>
    </row>
    <row r="713" ht="15.75" customHeight="1">
      <c r="A713" s="4"/>
      <c r="B713" s="4"/>
      <c r="C713" s="4"/>
      <c r="D713" s="4"/>
      <c r="E713" s="4"/>
      <c r="G713" s="4"/>
    </row>
    <row r="714" ht="15.75" customHeight="1">
      <c r="A714" s="4"/>
      <c r="B714" s="4"/>
      <c r="C714" s="4"/>
      <c r="D714" s="4"/>
      <c r="E714" s="4"/>
      <c r="G714" s="4"/>
    </row>
    <row r="715" ht="15.75" customHeight="1">
      <c r="A715" s="4"/>
      <c r="B715" s="4"/>
      <c r="C715" s="4"/>
      <c r="D715" s="4"/>
      <c r="E715" s="4"/>
      <c r="G715" s="4"/>
    </row>
    <row r="716" ht="15.75" customHeight="1">
      <c r="A716" s="4"/>
      <c r="B716" s="4"/>
      <c r="C716" s="4"/>
      <c r="D716" s="4"/>
      <c r="E716" s="4"/>
      <c r="G716" s="4"/>
    </row>
    <row r="717" ht="15.75" customHeight="1">
      <c r="A717" s="4"/>
      <c r="B717" s="4"/>
      <c r="C717" s="4"/>
      <c r="D717" s="4"/>
      <c r="E717" s="4"/>
      <c r="G717" s="4"/>
    </row>
    <row r="718" ht="15.75" customHeight="1">
      <c r="A718" s="4"/>
      <c r="B718" s="4"/>
      <c r="C718" s="4"/>
      <c r="D718" s="4"/>
      <c r="E718" s="4"/>
      <c r="G718" s="4"/>
    </row>
    <row r="719" ht="15.75" customHeight="1">
      <c r="A719" s="4"/>
      <c r="B719" s="4"/>
      <c r="C719" s="4"/>
      <c r="D719" s="4"/>
      <c r="E719" s="4"/>
      <c r="G719" s="4"/>
    </row>
    <row r="720" ht="15.75" customHeight="1">
      <c r="A720" s="4"/>
      <c r="B720" s="4"/>
      <c r="C720" s="4"/>
      <c r="D720" s="4"/>
      <c r="E720" s="4"/>
      <c r="G720" s="4"/>
    </row>
    <row r="721" ht="15.75" customHeight="1">
      <c r="A721" s="4"/>
      <c r="B721" s="4"/>
      <c r="C721" s="4"/>
      <c r="D721" s="4"/>
      <c r="E721" s="4"/>
      <c r="G721" s="4"/>
    </row>
    <row r="722" ht="15.75" customHeight="1">
      <c r="A722" s="4"/>
      <c r="B722" s="4"/>
      <c r="C722" s="4"/>
      <c r="D722" s="4"/>
      <c r="E722" s="4"/>
      <c r="G722" s="4"/>
    </row>
    <row r="723" ht="15.75" customHeight="1">
      <c r="A723" s="4"/>
      <c r="B723" s="4"/>
      <c r="C723" s="4"/>
      <c r="D723" s="4"/>
      <c r="E723" s="4"/>
      <c r="G723" s="4"/>
    </row>
    <row r="724" ht="15.75" customHeight="1">
      <c r="A724" s="4"/>
      <c r="B724" s="4"/>
      <c r="C724" s="4"/>
      <c r="D724" s="4"/>
      <c r="E724" s="4"/>
      <c r="G724" s="4"/>
    </row>
    <row r="725" ht="15.75" customHeight="1">
      <c r="A725" s="4"/>
      <c r="B725" s="4"/>
      <c r="C725" s="4"/>
      <c r="D725" s="4"/>
      <c r="E725" s="4"/>
      <c r="G725" s="4"/>
    </row>
    <row r="726" ht="15.75" customHeight="1">
      <c r="A726" s="4"/>
      <c r="B726" s="4"/>
      <c r="C726" s="4"/>
      <c r="D726" s="4"/>
      <c r="E726" s="4"/>
      <c r="G726" s="4"/>
    </row>
    <row r="727" ht="15.75" customHeight="1">
      <c r="A727" s="4"/>
      <c r="B727" s="4"/>
      <c r="C727" s="4"/>
      <c r="D727" s="4"/>
      <c r="E727" s="4"/>
      <c r="G727" s="4"/>
    </row>
    <row r="728" ht="15.75" customHeight="1">
      <c r="A728" s="4"/>
      <c r="B728" s="4"/>
      <c r="C728" s="4"/>
      <c r="D728" s="4"/>
      <c r="E728" s="4"/>
      <c r="G728" s="4"/>
    </row>
    <row r="729" ht="15.75" customHeight="1">
      <c r="A729" s="4"/>
      <c r="B729" s="4"/>
      <c r="C729" s="4"/>
      <c r="D729" s="4"/>
      <c r="E729" s="4"/>
      <c r="G729" s="4"/>
    </row>
    <row r="730" ht="15.75" customHeight="1">
      <c r="A730" s="4"/>
      <c r="B730" s="4"/>
      <c r="C730" s="4"/>
      <c r="D730" s="4"/>
      <c r="E730" s="4"/>
      <c r="G730" s="4"/>
    </row>
    <row r="731" ht="15.75" customHeight="1">
      <c r="A731" s="4"/>
      <c r="B731" s="4"/>
      <c r="C731" s="4"/>
      <c r="D731" s="4"/>
      <c r="E731" s="4"/>
      <c r="G731" s="4"/>
    </row>
    <row r="732" ht="15.75" customHeight="1">
      <c r="A732" s="4"/>
      <c r="B732" s="4"/>
      <c r="C732" s="4"/>
      <c r="D732" s="4"/>
      <c r="E732" s="4"/>
      <c r="G732" s="4"/>
    </row>
    <row r="733" ht="15.75" customHeight="1">
      <c r="A733" s="4"/>
      <c r="B733" s="4"/>
      <c r="C733" s="4"/>
      <c r="D733" s="4"/>
      <c r="E733" s="4"/>
      <c r="G733" s="4"/>
    </row>
    <row r="734" ht="15.75" customHeight="1">
      <c r="A734" s="4"/>
      <c r="B734" s="4"/>
      <c r="C734" s="4"/>
      <c r="D734" s="4"/>
      <c r="E734" s="4"/>
      <c r="G734" s="4"/>
    </row>
    <row r="735" ht="15.75" customHeight="1">
      <c r="A735" s="4"/>
      <c r="B735" s="4"/>
      <c r="C735" s="4"/>
      <c r="D735" s="4"/>
      <c r="E735" s="4"/>
      <c r="G735" s="4"/>
    </row>
    <row r="736" ht="15.75" customHeight="1">
      <c r="A736" s="4"/>
      <c r="B736" s="4"/>
      <c r="C736" s="4"/>
      <c r="D736" s="4"/>
      <c r="E736" s="4"/>
      <c r="G736" s="4"/>
    </row>
    <row r="737" ht="15.75" customHeight="1">
      <c r="A737" s="4"/>
      <c r="B737" s="4"/>
      <c r="C737" s="4"/>
      <c r="D737" s="4"/>
      <c r="E737" s="4"/>
      <c r="G737" s="4"/>
    </row>
    <row r="738" ht="15.75" customHeight="1">
      <c r="A738" s="4"/>
      <c r="B738" s="4"/>
      <c r="C738" s="4"/>
      <c r="D738" s="4"/>
      <c r="E738" s="4"/>
      <c r="G738" s="4"/>
    </row>
    <row r="739" ht="15.75" customHeight="1">
      <c r="A739" s="4"/>
      <c r="B739" s="4"/>
      <c r="C739" s="4"/>
      <c r="D739" s="4"/>
      <c r="E739" s="4"/>
      <c r="G739" s="4"/>
    </row>
    <row r="740" ht="15.75" customHeight="1">
      <c r="A740" s="4"/>
      <c r="B740" s="4"/>
      <c r="C740" s="4"/>
      <c r="D740" s="4"/>
      <c r="E740" s="4"/>
      <c r="G740" s="4"/>
    </row>
    <row r="741" ht="15.75" customHeight="1">
      <c r="A741" s="4"/>
      <c r="B741" s="4"/>
      <c r="C741" s="4"/>
      <c r="D741" s="4"/>
      <c r="E741" s="4"/>
      <c r="G741" s="4"/>
    </row>
    <row r="742" ht="15.75" customHeight="1">
      <c r="A742" s="4"/>
      <c r="B742" s="4"/>
      <c r="C742" s="4"/>
      <c r="D742" s="4"/>
      <c r="E742" s="4"/>
      <c r="G742" s="4"/>
    </row>
    <row r="743" ht="15.75" customHeight="1">
      <c r="A743" s="4"/>
      <c r="B743" s="4"/>
      <c r="C743" s="4"/>
      <c r="D743" s="4"/>
      <c r="E743" s="4"/>
      <c r="G743" s="4"/>
    </row>
    <row r="744" ht="15.75" customHeight="1">
      <c r="A744" s="4"/>
      <c r="B744" s="4"/>
      <c r="C744" s="4"/>
      <c r="D744" s="4"/>
      <c r="E744" s="4"/>
      <c r="G744" s="4"/>
    </row>
    <row r="745" ht="15.75" customHeight="1">
      <c r="A745" s="4"/>
      <c r="B745" s="4"/>
      <c r="C745" s="4"/>
      <c r="D745" s="4"/>
      <c r="E745" s="4"/>
      <c r="G745" s="4"/>
    </row>
    <row r="746" ht="15.75" customHeight="1">
      <c r="A746" s="4"/>
      <c r="B746" s="4"/>
      <c r="C746" s="4"/>
      <c r="D746" s="4"/>
      <c r="E746" s="4"/>
      <c r="G746" s="4"/>
    </row>
    <row r="747" ht="15.75" customHeight="1">
      <c r="A747" s="4"/>
      <c r="B747" s="4"/>
      <c r="C747" s="4"/>
      <c r="D747" s="4"/>
      <c r="E747" s="4"/>
      <c r="G747" s="4"/>
    </row>
    <row r="748" ht="15.75" customHeight="1">
      <c r="A748" s="4"/>
      <c r="B748" s="4"/>
      <c r="C748" s="4"/>
      <c r="D748" s="4"/>
      <c r="E748" s="4"/>
      <c r="G748" s="4"/>
    </row>
    <row r="749" ht="15.75" customHeight="1">
      <c r="A749" s="4"/>
      <c r="B749" s="4"/>
      <c r="C749" s="4"/>
      <c r="D749" s="4"/>
      <c r="E749" s="4"/>
      <c r="G749" s="4"/>
    </row>
    <row r="750" ht="15.75" customHeight="1">
      <c r="A750" s="4"/>
      <c r="B750" s="4"/>
      <c r="C750" s="4"/>
      <c r="D750" s="4"/>
      <c r="E750" s="4"/>
      <c r="G750" s="4"/>
    </row>
    <row r="751" ht="15.75" customHeight="1">
      <c r="A751" s="4"/>
      <c r="B751" s="4"/>
      <c r="C751" s="4"/>
      <c r="D751" s="4"/>
      <c r="E751" s="4"/>
      <c r="G751" s="4"/>
    </row>
    <row r="752" ht="15.75" customHeight="1">
      <c r="A752" s="4"/>
      <c r="B752" s="4"/>
      <c r="C752" s="4"/>
      <c r="D752" s="4"/>
      <c r="E752" s="4"/>
      <c r="G752" s="4"/>
    </row>
    <row r="753" ht="15.75" customHeight="1">
      <c r="A753" s="4"/>
      <c r="B753" s="4"/>
      <c r="C753" s="4"/>
      <c r="D753" s="4"/>
      <c r="E753" s="4"/>
      <c r="G753" s="4"/>
    </row>
    <row r="754" ht="15.75" customHeight="1">
      <c r="A754" s="4"/>
      <c r="B754" s="4"/>
      <c r="C754" s="4"/>
      <c r="D754" s="4"/>
      <c r="E754" s="4"/>
      <c r="G754" s="4"/>
    </row>
    <row r="755" ht="15.75" customHeight="1">
      <c r="A755" s="4"/>
      <c r="B755" s="4"/>
      <c r="C755" s="4"/>
      <c r="D755" s="4"/>
      <c r="E755" s="4"/>
      <c r="G755" s="4"/>
    </row>
    <row r="756" ht="15.75" customHeight="1">
      <c r="A756" s="4"/>
      <c r="B756" s="4"/>
      <c r="C756" s="4"/>
      <c r="D756" s="4"/>
      <c r="E756" s="4"/>
      <c r="G756" s="4"/>
    </row>
    <row r="757" ht="15.75" customHeight="1">
      <c r="A757" s="4"/>
      <c r="B757" s="4"/>
      <c r="C757" s="4"/>
      <c r="D757" s="4"/>
      <c r="E757" s="4"/>
      <c r="G757" s="4"/>
    </row>
    <row r="758" ht="15.75" customHeight="1">
      <c r="A758" s="4"/>
      <c r="B758" s="4"/>
      <c r="C758" s="4"/>
      <c r="D758" s="4"/>
      <c r="E758" s="4"/>
      <c r="G758" s="4"/>
    </row>
    <row r="759" ht="15.75" customHeight="1">
      <c r="A759" s="4"/>
      <c r="B759" s="4"/>
      <c r="C759" s="4"/>
      <c r="D759" s="4"/>
      <c r="E759" s="4"/>
      <c r="G759" s="4"/>
    </row>
    <row r="760" ht="15.75" customHeight="1">
      <c r="A760" s="4"/>
      <c r="B760" s="4"/>
      <c r="C760" s="4"/>
      <c r="D760" s="4"/>
      <c r="E760" s="4"/>
      <c r="G760" s="4"/>
    </row>
    <row r="761" ht="15.75" customHeight="1">
      <c r="A761" s="4"/>
      <c r="B761" s="4"/>
      <c r="C761" s="4"/>
      <c r="D761" s="4"/>
      <c r="E761" s="4"/>
      <c r="G761" s="4"/>
    </row>
    <row r="762" ht="15.75" customHeight="1">
      <c r="A762" s="4"/>
      <c r="B762" s="4"/>
      <c r="C762" s="4"/>
      <c r="D762" s="4"/>
      <c r="E762" s="4"/>
      <c r="G762" s="4"/>
    </row>
    <row r="763" ht="15.75" customHeight="1">
      <c r="A763" s="4"/>
      <c r="B763" s="4"/>
      <c r="C763" s="4"/>
      <c r="D763" s="4"/>
      <c r="E763" s="4"/>
      <c r="G763" s="4"/>
    </row>
    <row r="764" ht="15.75" customHeight="1">
      <c r="A764" s="4"/>
      <c r="B764" s="4"/>
      <c r="C764" s="4"/>
      <c r="D764" s="4"/>
      <c r="E764" s="4"/>
      <c r="G764" s="4"/>
    </row>
    <row r="765" ht="15.75" customHeight="1">
      <c r="A765" s="4"/>
      <c r="B765" s="4"/>
      <c r="C765" s="4"/>
      <c r="D765" s="4"/>
      <c r="E765" s="4"/>
      <c r="G765" s="4"/>
    </row>
    <row r="766" ht="15.75" customHeight="1">
      <c r="A766" s="4"/>
      <c r="B766" s="4"/>
      <c r="C766" s="4"/>
      <c r="D766" s="4"/>
      <c r="E766" s="4"/>
      <c r="G766" s="4"/>
    </row>
    <row r="767" ht="15.75" customHeight="1">
      <c r="A767" s="4"/>
      <c r="B767" s="4"/>
      <c r="C767" s="4"/>
      <c r="D767" s="4"/>
      <c r="E767" s="4"/>
      <c r="G767" s="4"/>
    </row>
    <row r="768" ht="15.75" customHeight="1">
      <c r="A768" s="4"/>
      <c r="B768" s="4"/>
      <c r="C768" s="4"/>
      <c r="D768" s="4"/>
      <c r="E768" s="4"/>
      <c r="G768" s="4"/>
    </row>
    <row r="769" ht="15.75" customHeight="1">
      <c r="A769" s="4"/>
      <c r="B769" s="4"/>
      <c r="C769" s="4"/>
      <c r="D769" s="4"/>
      <c r="E769" s="4"/>
      <c r="G769" s="4"/>
    </row>
    <row r="770" ht="15.75" customHeight="1">
      <c r="A770" s="4"/>
      <c r="B770" s="4"/>
      <c r="C770" s="4"/>
      <c r="D770" s="4"/>
      <c r="E770" s="4"/>
      <c r="G770" s="4"/>
    </row>
    <row r="771" ht="15.75" customHeight="1">
      <c r="A771" s="4"/>
      <c r="B771" s="4"/>
      <c r="C771" s="4"/>
      <c r="D771" s="4"/>
      <c r="E771" s="4"/>
      <c r="G771" s="4"/>
    </row>
    <row r="772" ht="15.75" customHeight="1">
      <c r="A772" s="4"/>
      <c r="B772" s="4"/>
      <c r="C772" s="4"/>
      <c r="D772" s="4"/>
      <c r="E772" s="4"/>
      <c r="G772" s="4"/>
    </row>
    <row r="773" ht="15.75" customHeight="1">
      <c r="A773" s="4"/>
      <c r="B773" s="4"/>
      <c r="C773" s="4"/>
      <c r="D773" s="4"/>
      <c r="E773" s="4"/>
      <c r="G773" s="4"/>
    </row>
    <row r="774" ht="15.75" customHeight="1">
      <c r="A774" s="4"/>
      <c r="B774" s="4"/>
      <c r="C774" s="4"/>
      <c r="D774" s="4"/>
      <c r="E774" s="4"/>
      <c r="G774" s="4"/>
    </row>
    <row r="775" ht="15.75" customHeight="1">
      <c r="A775" s="4"/>
      <c r="B775" s="4"/>
      <c r="C775" s="4"/>
      <c r="D775" s="4"/>
      <c r="E775" s="4"/>
      <c r="G775" s="4"/>
    </row>
    <row r="776" ht="15.75" customHeight="1">
      <c r="A776" s="4"/>
      <c r="B776" s="4"/>
      <c r="C776" s="4"/>
      <c r="D776" s="4"/>
      <c r="E776" s="4"/>
      <c r="G776" s="4"/>
    </row>
    <row r="777" ht="15.75" customHeight="1">
      <c r="A777" s="4"/>
      <c r="B777" s="4"/>
      <c r="C777" s="4"/>
      <c r="D777" s="4"/>
      <c r="E777" s="4"/>
      <c r="G777" s="4"/>
    </row>
    <row r="778" ht="15.75" customHeight="1">
      <c r="A778" s="4"/>
      <c r="B778" s="4"/>
      <c r="C778" s="4"/>
      <c r="D778" s="4"/>
      <c r="E778" s="4"/>
      <c r="G778" s="4"/>
    </row>
    <row r="779" ht="15.75" customHeight="1">
      <c r="A779" s="4"/>
      <c r="B779" s="4"/>
      <c r="C779" s="4"/>
      <c r="D779" s="4"/>
      <c r="E779" s="4"/>
      <c r="G779" s="4"/>
    </row>
    <row r="780" ht="15.75" customHeight="1">
      <c r="A780" s="4"/>
      <c r="B780" s="4"/>
      <c r="C780" s="4"/>
      <c r="D780" s="4"/>
      <c r="E780" s="4"/>
      <c r="G780" s="4"/>
    </row>
    <row r="781" ht="15.75" customHeight="1">
      <c r="A781" s="4"/>
      <c r="B781" s="4"/>
      <c r="C781" s="4"/>
      <c r="D781" s="4"/>
      <c r="E781" s="4"/>
      <c r="G781" s="4"/>
    </row>
    <row r="782" ht="15.75" customHeight="1">
      <c r="A782" s="4"/>
      <c r="B782" s="4"/>
      <c r="C782" s="4"/>
      <c r="D782" s="4"/>
      <c r="E782" s="4"/>
      <c r="G782" s="4"/>
    </row>
    <row r="783" ht="15.75" customHeight="1">
      <c r="A783" s="4"/>
      <c r="B783" s="4"/>
      <c r="C783" s="4"/>
      <c r="D783" s="4"/>
      <c r="E783" s="4"/>
      <c r="G783" s="4"/>
    </row>
    <row r="784" ht="15.75" customHeight="1">
      <c r="A784" s="4"/>
      <c r="B784" s="4"/>
      <c r="C784" s="4"/>
      <c r="D784" s="4"/>
      <c r="E784" s="4"/>
      <c r="G784" s="4"/>
    </row>
    <row r="785" ht="15.75" customHeight="1">
      <c r="A785" s="4"/>
      <c r="B785" s="4"/>
      <c r="C785" s="4"/>
      <c r="D785" s="4"/>
      <c r="E785" s="4"/>
      <c r="G785" s="4"/>
    </row>
    <row r="786" ht="15.75" customHeight="1">
      <c r="A786" s="4"/>
      <c r="B786" s="4"/>
      <c r="C786" s="4"/>
      <c r="D786" s="4"/>
      <c r="E786" s="4"/>
      <c r="G786" s="4"/>
    </row>
    <row r="787" ht="15.75" customHeight="1">
      <c r="A787" s="4"/>
      <c r="B787" s="4"/>
      <c r="C787" s="4"/>
      <c r="D787" s="4"/>
      <c r="E787" s="4"/>
      <c r="G787" s="4"/>
    </row>
    <row r="788" ht="15.75" customHeight="1">
      <c r="A788" s="4"/>
      <c r="B788" s="4"/>
      <c r="C788" s="4"/>
      <c r="D788" s="4"/>
      <c r="E788" s="4"/>
      <c r="G788" s="4"/>
    </row>
    <row r="789" ht="15.75" customHeight="1">
      <c r="A789" s="4"/>
      <c r="B789" s="4"/>
      <c r="C789" s="4"/>
      <c r="D789" s="4"/>
      <c r="E789" s="4"/>
      <c r="G789" s="4"/>
    </row>
    <row r="790" ht="15.75" customHeight="1">
      <c r="A790" s="4"/>
      <c r="B790" s="4"/>
      <c r="C790" s="4"/>
      <c r="D790" s="4"/>
      <c r="E790" s="4"/>
      <c r="G790" s="4"/>
    </row>
    <row r="791" ht="15.75" customHeight="1">
      <c r="A791" s="4"/>
      <c r="B791" s="4"/>
      <c r="C791" s="4"/>
      <c r="D791" s="4"/>
      <c r="E791" s="4"/>
      <c r="G791" s="4"/>
    </row>
    <row r="792" ht="15.75" customHeight="1">
      <c r="A792" s="4"/>
      <c r="B792" s="4"/>
      <c r="C792" s="4"/>
      <c r="D792" s="4"/>
      <c r="E792" s="4"/>
      <c r="G792" s="4"/>
    </row>
    <row r="793" ht="15.75" customHeight="1">
      <c r="A793" s="4"/>
      <c r="B793" s="4"/>
      <c r="C793" s="4"/>
      <c r="D793" s="4"/>
      <c r="E793" s="4"/>
      <c r="G793" s="4"/>
    </row>
    <row r="794" ht="15.75" customHeight="1">
      <c r="A794" s="4"/>
      <c r="B794" s="4"/>
      <c r="C794" s="4"/>
      <c r="D794" s="4"/>
      <c r="E794" s="4"/>
      <c r="G794" s="4"/>
    </row>
    <row r="795" ht="15.75" customHeight="1">
      <c r="A795" s="4"/>
      <c r="B795" s="4"/>
      <c r="C795" s="4"/>
      <c r="D795" s="4"/>
      <c r="E795" s="4"/>
      <c r="G795" s="4"/>
    </row>
    <row r="796" ht="15.75" customHeight="1">
      <c r="A796" s="4"/>
      <c r="B796" s="4"/>
      <c r="C796" s="4"/>
      <c r="D796" s="4"/>
      <c r="E796" s="4"/>
      <c r="G796" s="4"/>
    </row>
    <row r="797" ht="15.75" customHeight="1">
      <c r="A797" s="4"/>
      <c r="B797" s="4"/>
      <c r="C797" s="4"/>
      <c r="D797" s="4"/>
      <c r="E797" s="4"/>
      <c r="G797" s="4"/>
    </row>
    <row r="798" ht="15.75" customHeight="1">
      <c r="A798" s="4"/>
      <c r="B798" s="4"/>
      <c r="C798" s="4"/>
      <c r="D798" s="4"/>
      <c r="E798" s="4"/>
      <c r="G798" s="4"/>
    </row>
    <row r="799" ht="15.75" customHeight="1">
      <c r="A799" s="4"/>
      <c r="B799" s="4"/>
      <c r="C799" s="4"/>
      <c r="D799" s="4"/>
      <c r="E799" s="4"/>
      <c r="G799" s="4"/>
    </row>
    <row r="800" ht="15.75" customHeight="1">
      <c r="A800" s="4"/>
      <c r="B800" s="4"/>
      <c r="C800" s="4"/>
      <c r="D800" s="4"/>
      <c r="E800" s="4"/>
      <c r="G800" s="4"/>
    </row>
    <row r="801" ht="15.75" customHeight="1">
      <c r="A801" s="4"/>
      <c r="B801" s="4"/>
      <c r="C801" s="4"/>
      <c r="D801" s="4"/>
      <c r="E801" s="4"/>
      <c r="G801" s="4"/>
    </row>
    <row r="802" ht="15.75" customHeight="1">
      <c r="A802" s="4"/>
      <c r="B802" s="4"/>
      <c r="C802" s="4"/>
      <c r="D802" s="4"/>
      <c r="E802" s="4"/>
      <c r="G802" s="4"/>
    </row>
    <row r="803" ht="15.75" customHeight="1">
      <c r="A803" s="4"/>
      <c r="B803" s="4"/>
      <c r="C803" s="4"/>
      <c r="D803" s="4"/>
      <c r="E803" s="4"/>
      <c r="G803" s="4"/>
    </row>
    <row r="804" ht="15.75" customHeight="1">
      <c r="A804" s="4"/>
      <c r="B804" s="4"/>
      <c r="C804" s="4"/>
      <c r="D804" s="4"/>
      <c r="E804" s="4"/>
      <c r="G804" s="4"/>
    </row>
    <row r="805" ht="15.75" customHeight="1">
      <c r="A805" s="4"/>
      <c r="B805" s="4"/>
      <c r="C805" s="4"/>
      <c r="D805" s="4"/>
      <c r="E805" s="4"/>
      <c r="G805" s="4"/>
    </row>
    <row r="806" ht="15.75" customHeight="1">
      <c r="A806" s="4"/>
      <c r="B806" s="4"/>
      <c r="C806" s="4"/>
      <c r="D806" s="4"/>
      <c r="E806" s="4"/>
      <c r="G806" s="4"/>
    </row>
    <row r="807" ht="15.75" customHeight="1">
      <c r="A807" s="4"/>
      <c r="B807" s="4"/>
      <c r="C807" s="4"/>
      <c r="D807" s="4"/>
      <c r="E807" s="4"/>
      <c r="G807" s="4"/>
    </row>
    <row r="808" ht="15.75" customHeight="1">
      <c r="A808" s="4"/>
      <c r="B808" s="4"/>
      <c r="C808" s="4"/>
      <c r="D808" s="4"/>
      <c r="E808" s="4"/>
      <c r="G808" s="4"/>
    </row>
    <row r="809" ht="15.75" customHeight="1">
      <c r="A809" s="4"/>
      <c r="B809" s="4"/>
      <c r="C809" s="4"/>
      <c r="D809" s="4"/>
      <c r="E809" s="4"/>
      <c r="G809" s="4"/>
    </row>
    <row r="810" ht="15.75" customHeight="1">
      <c r="A810" s="4"/>
      <c r="B810" s="4"/>
      <c r="C810" s="4"/>
      <c r="D810" s="4"/>
      <c r="E810" s="4"/>
      <c r="G810" s="4"/>
    </row>
    <row r="811" ht="15.75" customHeight="1">
      <c r="A811" s="4"/>
      <c r="B811" s="4"/>
      <c r="C811" s="4"/>
      <c r="D811" s="4"/>
      <c r="E811" s="4"/>
      <c r="G811" s="4"/>
    </row>
    <row r="812" ht="15.75" customHeight="1">
      <c r="A812" s="4"/>
      <c r="B812" s="4"/>
      <c r="C812" s="4"/>
      <c r="D812" s="4"/>
      <c r="E812" s="4"/>
      <c r="G812" s="4"/>
    </row>
    <row r="813" ht="15.75" customHeight="1">
      <c r="A813" s="4"/>
      <c r="B813" s="4"/>
      <c r="C813" s="4"/>
      <c r="D813" s="4"/>
      <c r="E813" s="4"/>
      <c r="G813" s="4"/>
    </row>
    <row r="814" ht="15.75" customHeight="1">
      <c r="A814" s="4"/>
      <c r="B814" s="4"/>
      <c r="C814" s="4"/>
      <c r="D814" s="4"/>
      <c r="E814" s="4"/>
      <c r="G814" s="4"/>
    </row>
    <row r="815" ht="15.75" customHeight="1">
      <c r="A815" s="4"/>
      <c r="B815" s="4"/>
      <c r="C815" s="4"/>
      <c r="D815" s="4"/>
      <c r="E815" s="4"/>
      <c r="G815" s="4"/>
    </row>
    <row r="816" ht="15.75" customHeight="1">
      <c r="A816" s="4"/>
      <c r="B816" s="4"/>
      <c r="C816" s="4"/>
      <c r="D816" s="4"/>
      <c r="E816" s="4"/>
      <c r="G816" s="4"/>
    </row>
    <row r="817" ht="15.75" customHeight="1">
      <c r="A817" s="4"/>
      <c r="B817" s="4"/>
      <c r="C817" s="4"/>
      <c r="D817" s="4"/>
      <c r="E817" s="4"/>
      <c r="G817" s="4"/>
    </row>
    <row r="818" ht="15.75" customHeight="1">
      <c r="A818" s="4"/>
      <c r="B818" s="4"/>
      <c r="C818" s="4"/>
      <c r="D818" s="4"/>
      <c r="E818" s="4"/>
      <c r="G818" s="4"/>
    </row>
    <row r="819" ht="15.75" customHeight="1">
      <c r="A819" s="4"/>
      <c r="B819" s="4"/>
      <c r="C819" s="4"/>
      <c r="D819" s="4"/>
      <c r="E819" s="4"/>
      <c r="G819" s="4"/>
    </row>
    <row r="820" ht="15.75" customHeight="1">
      <c r="A820" s="4"/>
      <c r="B820" s="4"/>
      <c r="C820" s="4"/>
      <c r="D820" s="4"/>
      <c r="E820" s="4"/>
      <c r="G820" s="4"/>
    </row>
    <row r="821" ht="15.75" customHeight="1">
      <c r="A821" s="4"/>
      <c r="B821" s="4"/>
      <c r="C821" s="4"/>
      <c r="D821" s="4"/>
      <c r="E821" s="4"/>
      <c r="G821" s="4"/>
    </row>
    <row r="822" ht="15.75" customHeight="1">
      <c r="A822" s="4"/>
      <c r="B822" s="4"/>
      <c r="C822" s="4"/>
      <c r="D822" s="4"/>
      <c r="E822" s="4"/>
      <c r="G822" s="4"/>
    </row>
    <row r="823" ht="15.75" customHeight="1">
      <c r="A823" s="4"/>
      <c r="B823" s="4"/>
      <c r="C823" s="4"/>
      <c r="D823" s="4"/>
      <c r="E823" s="4"/>
      <c r="G823" s="4"/>
    </row>
    <row r="824" ht="15.75" customHeight="1">
      <c r="A824" s="4"/>
      <c r="B824" s="4"/>
      <c r="C824" s="4"/>
      <c r="D824" s="4"/>
      <c r="E824" s="4"/>
      <c r="G824" s="4"/>
    </row>
    <row r="825" ht="15.75" customHeight="1">
      <c r="A825" s="4"/>
      <c r="B825" s="4"/>
      <c r="C825" s="4"/>
      <c r="D825" s="4"/>
      <c r="E825" s="4"/>
      <c r="G825" s="4"/>
    </row>
    <row r="826" ht="15.75" customHeight="1">
      <c r="A826" s="4"/>
      <c r="B826" s="4"/>
      <c r="C826" s="4"/>
      <c r="D826" s="4"/>
      <c r="E826" s="4"/>
      <c r="G826" s="4"/>
    </row>
    <row r="827" ht="15.75" customHeight="1">
      <c r="A827" s="4"/>
      <c r="B827" s="4"/>
      <c r="C827" s="4"/>
      <c r="D827" s="4"/>
      <c r="E827" s="4"/>
      <c r="G827" s="4"/>
    </row>
    <row r="828" ht="15.75" customHeight="1">
      <c r="A828" s="4"/>
      <c r="B828" s="4"/>
      <c r="C828" s="4"/>
      <c r="D828" s="4"/>
      <c r="E828" s="4"/>
      <c r="G828" s="4"/>
    </row>
    <row r="829" ht="15.75" customHeight="1">
      <c r="A829" s="4"/>
      <c r="B829" s="4"/>
      <c r="C829" s="4"/>
      <c r="D829" s="4"/>
      <c r="E829" s="4"/>
      <c r="G829" s="4"/>
    </row>
    <row r="830" ht="15.75" customHeight="1">
      <c r="A830" s="4"/>
      <c r="B830" s="4"/>
      <c r="C830" s="4"/>
      <c r="D830" s="4"/>
      <c r="E830" s="4"/>
      <c r="G830" s="4"/>
    </row>
    <row r="831" ht="15.75" customHeight="1">
      <c r="A831" s="4"/>
      <c r="B831" s="4"/>
      <c r="C831" s="4"/>
      <c r="D831" s="4"/>
      <c r="E831" s="4"/>
      <c r="G831" s="4"/>
    </row>
    <row r="832" ht="15.75" customHeight="1">
      <c r="A832" s="4"/>
      <c r="B832" s="4"/>
      <c r="C832" s="4"/>
      <c r="D832" s="4"/>
      <c r="E832" s="4"/>
      <c r="G832" s="4"/>
    </row>
    <row r="833" ht="15.75" customHeight="1">
      <c r="A833" s="4"/>
      <c r="B833" s="4"/>
      <c r="C833" s="4"/>
      <c r="D833" s="4"/>
      <c r="E833" s="4"/>
      <c r="G833" s="4"/>
    </row>
    <row r="834" ht="15.75" customHeight="1">
      <c r="A834" s="4"/>
      <c r="B834" s="4"/>
      <c r="C834" s="4"/>
      <c r="D834" s="4"/>
      <c r="E834" s="4"/>
      <c r="G834" s="4"/>
    </row>
    <row r="835" ht="15.75" customHeight="1">
      <c r="A835" s="4"/>
      <c r="B835" s="4"/>
      <c r="C835" s="4"/>
      <c r="D835" s="4"/>
      <c r="E835" s="4"/>
      <c r="G835" s="4"/>
    </row>
    <row r="836" ht="15.75" customHeight="1">
      <c r="A836" s="4"/>
      <c r="B836" s="4"/>
      <c r="C836" s="4"/>
      <c r="D836" s="4"/>
      <c r="E836" s="4"/>
      <c r="G836" s="4"/>
    </row>
    <row r="837" ht="15.75" customHeight="1">
      <c r="A837" s="4"/>
      <c r="B837" s="4"/>
      <c r="C837" s="4"/>
      <c r="D837" s="4"/>
      <c r="E837" s="4"/>
      <c r="G837" s="4"/>
    </row>
    <row r="838" ht="15.75" customHeight="1">
      <c r="A838" s="4"/>
      <c r="B838" s="4"/>
      <c r="C838" s="4"/>
      <c r="D838" s="4"/>
      <c r="E838" s="4"/>
      <c r="G838" s="4"/>
    </row>
    <row r="839" ht="15.75" customHeight="1">
      <c r="A839" s="4"/>
      <c r="B839" s="4"/>
      <c r="C839" s="4"/>
      <c r="D839" s="4"/>
      <c r="E839" s="4"/>
      <c r="G839" s="4"/>
    </row>
    <row r="840" ht="15.75" customHeight="1">
      <c r="A840" s="4"/>
      <c r="B840" s="4"/>
      <c r="C840" s="4"/>
      <c r="D840" s="4"/>
      <c r="E840" s="4"/>
      <c r="G840" s="4"/>
    </row>
    <row r="841" ht="15.75" customHeight="1">
      <c r="A841" s="4"/>
      <c r="B841" s="4"/>
      <c r="C841" s="4"/>
      <c r="D841" s="4"/>
      <c r="E841" s="4"/>
      <c r="G841" s="4"/>
    </row>
    <row r="842" ht="15.75" customHeight="1">
      <c r="A842" s="4"/>
      <c r="B842" s="4"/>
      <c r="C842" s="4"/>
      <c r="D842" s="4"/>
      <c r="E842" s="4"/>
      <c r="G842" s="4"/>
    </row>
    <row r="843" ht="15.75" customHeight="1">
      <c r="A843" s="4"/>
      <c r="B843" s="4"/>
      <c r="C843" s="4"/>
      <c r="D843" s="4"/>
      <c r="E843" s="4"/>
      <c r="G843" s="4"/>
    </row>
    <row r="844" ht="15.75" customHeight="1">
      <c r="A844" s="4"/>
      <c r="B844" s="4"/>
      <c r="C844" s="4"/>
      <c r="D844" s="4"/>
      <c r="E844" s="4"/>
      <c r="G844" s="4"/>
    </row>
    <row r="845" ht="15.75" customHeight="1">
      <c r="A845" s="4"/>
      <c r="B845" s="4"/>
      <c r="C845" s="4"/>
      <c r="D845" s="4"/>
      <c r="E845" s="4"/>
      <c r="G845" s="4"/>
    </row>
    <row r="846" ht="15.75" customHeight="1">
      <c r="A846" s="4"/>
      <c r="B846" s="4"/>
      <c r="C846" s="4"/>
      <c r="D846" s="4"/>
      <c r="E846" s="4"/>
      <c r="G846" s="4"/>
    </row>
    <row r="847" ht="15.75" customHeight="1">
      <c r="A847" s="4"/>
      <c r="B847" s="4"/>
      <c r="C847" s="4"/>
      <c r="D847" s="4"/>
      <c r="E847" s="4"/>
      <c r="G847" s="4"/>
    </row>
    <row r="848" ht="15.75" customHeight="1">
      <c r="A848" s="4"/>
      <c r="B848" s="4"/>
      <c r="C848" s="4"/>
      <c r="D848" s="4"/>
      <c r="E848" s="4"/>
      <c r="G848" s="4"/>
    </row>
    <row r="849" ht="15.75" customHeight="1">
      <c r="A849" s="4"/>
      <c r="B849" s="4"/>
      <c r="C849" s="4"/>
      <c r="D849" s="4"/>
      <c r="E849" s="4"/>
      <c r="G849" s="4"/>
    </row>
    <row r="850" ht="15.75" customHeight="1">
      <c r="A850" s="4"/>
      <c r="B850" s="4"/>
      <c r="C850" s="4"/>
      <c r="D850" s="4"/>
      <c r="E850" s="4"/>
      <c r="G850" s="4"/>
    </row>
    <row r="851" ht="15.75" customHeight="1">
      <c r="A851" s="4"/>
      <c r="B851" s="4"/>
      <c r="C851" s="4"/>
      <c r="D851" s="4"/>
      <c r="E851" s="4"/>
      <c r="G851" s="4"/>
    </row>
    <row r="852" ht="15.75" customHeight="1">
      <c r="A852" s="4"/>
      <c r="B852" s="4"/>
      <c r="C852" s="4"/>
      <c r="D852" s="4"/>
      <c r="E852" s="4"/>
      <c r="G852" s="4"/>
    </row>
    <row r="853" ht="15.75" customHeight="1">
      <c r="A853" s="4"/>
      <c r="B853" s="4"/>
      <c r="C853" s="4"/>
      <c r="D853" s="4"/>
      <c r="E853" s="4"/>
      <c r="G853" s="4"/>
    </row>
    <row r="854" ht="15.75" customHeight="1">
      <c r="A854" s="4"/>
      <c r="B854" s="4"/>
      <c r="C854" s="4"/>
      <c r="D854" s="4"/>
      <c r="E854" s="4"/>
      <c r="G854" s="4"/>
    </row>
    <row r="855" ht="15.75" customHeight="1">
      <c r="A855" s="4"/>
      <c r="B855" s="4"/>
      <c r="C855" s="4"/>
      <c r="D855" s="4"/>
      <c r="E855" s="4"/>
      <c r="G855" s="4"/>
    </row>
    <row r="856" ht="15.75" customHeight="1">
      <c r="A856" s="4"/>
      <c r="B856" s="4"/>
      <c r="C856" s="4"/>
      <c r="D856" s="4"/>
      <c r="E856" s="4"/>
      <c r="G856" s="4"/>
    </row>
    <row r="857" ht="15.75" customHeight="1">
      <c r="A857" s="4"/>
      <c r="B857" s="4"/>
      <c r="C857" s="4"/>
      <c r="D857" s="4"/>
      <c r="E857" s="4"/>
      <c r="G857" s="4"/>
    </row>
    <row r="858" ht="15.75" customHeight="1">
      <c r="A858" s="4"/>
      <c r="B858" s="4"/>
      <c r="C858" s="4"/>
      <c r="D858" s="4"/>
      <c r="E858" s="4"/>
      <c r="G858" s="4"/>
    </row>
    <row r="859" ht="15.75" customHeight="1">
      <c r="A859" s="4"/>
      <c r="B859" s="4"/>
      <c r="C859" s="4"/>
      <c r="D859" s="4"/>
      <c r="E859" s="4"/>
      <c r="G859" s="4"/>
    </row>
    <row r="860" ht="15.75" customHeight="1">
      <c r="A860" s="4"/>
      <c r="B860" s="4"/>
      <c r="C860" s="4"/>
      <c r="D860" s="4"/>
      <c r="E860" s="4"/>
      <c r="G860" s="4"/>
    </row>
    <row r="861" ht="15.75" customHeight="1">
      <c r="A861" s="4"/>
      <c r="B861" s="4"/>
      <c r="C861" s="4"/>
      <c r="D861" s="4"/>
      <c r="E861" s="4"/>
      <c r="G861" s="4"/>
    </row>
    <row r="862" ht="15.75" customHeight="1">
      <c r="A862" s="4"/>
      <c r="B862" s="4"/>
      <c r="C862" s="4"/>
      <c r="D862" s="4"/>
      <c r="E862" s="4"/>
      <c r="G862" s="4"/>
    </row>
    <row r="863" ht="15.75" customHeight="1">
      <c r="A863" s="4"/>
      <c r="B863" s="4"/>
      <c r="C863" s="4"/>
      <c r="D863" s="4"/>
      <c r="E863" s="4"/>
      <c r="G863" s="4"/>
    </row>
    <row r="864" ht="15.75" customHeight="1">
      <c r="A864" s="4"/>
      <c r="B864" s="4"/>
      <c r="C864" s="4"/>
      <c r="D864" s="4"/>
      <c r="E864" s="4"/>
      <c r="G864" s="4"/>
    </row>
    <row r="865" ht="15.75" customHeight="1">
      <c r="A865" s="4"/>
      <c r="B865" s="4"/>
      <c r="C865" s="4"/>
      <c r="D865" s="4"/>
      <c r="E865" s="4"/>
      <c r="G865" s="4"/>
    </row>
    <row r="866" ht="15.75" customHeight="1">
      <c r="A866" s="4"/>
      <c r="B866" s="4"/>
      <c r="C866" s="4"/>
      <c r="D866" s="4"/>
      <c r="E866" s="4"/>
      <c r="G866" s="4"/>
    </row>
    <row r="867" ht="15.75" customHeight="1">
      <c r="A867" s="4"/>
      <c r="B867" s="4"/>
      <c r="C867" s="4"/>
      <c r="D867" s="4"/>
      <c r="E867" s="4"/>
      <c r="G867" s="4"/>
    </row>
    <row r="868" ht="15.75" customHeight="1">
      <c r="A868" s="4"/>
      <c r="B868" s="4"/>
      <c r="C868" s="4"/>
      <c r="D868" s="4"/>
      <c r="E868" s="4"/>
      <c r="G868" s="4"/>
    </row>
    <row r="869" ht="15.75" customHeight="1">
      <c r="A869" s="4"/>
      <c r="B869" s="4"/>
      <c r="C869" s="4"/>
      <c r="D869" s="4"/>
      <c r="E869" s="4"/>
      <c r="G869" s="4"/>
    </row>
    <row r="870" ht="15.75" customHeight="1">
      <c r="A870" s="4"/>
      <c r="B870" s="4"/>
      <c r="C870" s="4"/>
      <c r="D870" s="4"/>
      <c r="E870" s="4"/>
      <c r="G870" s="4"/>
    </row>
    <row r="871" ht="15.75" customHeight="1">
      <c r="A871" s="4"/>
      <c r="B871" s="4"/>
      <c r="C871" s="4"/>
      <c r="D871" s="4"/>
      <c r="E871" s="4"/>
      <c r="G871" s="4"/>
    </row>
    <row r="872" ht="15.75" customHeight="1">
      <c r="A872" s="4"/>
      <c r="B872" s="4"/>
      <c r="C872" s="4"/>
      <c r="D872" s="4"/>
      <c r="E872" s="4"/>
      <c r="G872" s="4"/>
    </row>
    <row r="873" ht="15.75" customHeight="1">
      <c r="A873" s="4"/>
      <c r="B873" s="4"/>
      <c r="C873" s="4"/>
      <c r="D873" s="4"/>
      <c r="E873" s="4"/>
      <c r="G873" s="4"/>
    </row>
    <row r="874" ht="15.75" customHeight="1">
      <c r="A874" s="4"/>
      <c r="B874" s="4"/>
      <c r="C874" s="4"/>
      <c r="D874" s="4"/>
      <c r="E874" s="4"/>
      <c r="G874" s="4"/>
    </row>
    <row r="875" ht="15.75" customHeight="1">
      <c r="A875" s="4"/>
      <c r="B875" s="4"/>
      <c r="C875" s="4"/>
      <c r="D875" s="4"/>
      <c r="E875" s="4"/>
      <c r="G875" s="4"/>
    </row>
    <row r="876" ht="15.75" customHeight="1">
      <c r="A876" s="4"/>
      <c r="B876" s="4"/>
      <c r="C876" s="4"/>
      <c r="D876" s="4"/>
      <c r="E876" s="4"/>
      <c r="G876" s="4"/>
    </row>
    <row r="877" ht="15.75" customHeight="1">
      <c r="A877" s="4"/>
      <c r="B877" s="4"/>
      <c r="C877" s="4"/>
      <c r="D877" s="4"/>
      <c r="E877" s="4"/>
      <c r="G877" s="4"/>
    </row>
    <row r="878" ht="15.75" customHeight="1">
      <c r="A878" s="4"/>
      <c r="B878" s="4"/>
      <c r="C878" s="4"/>
      <c r="D878" s="4"/>
      <c r="E878" s="4"/>
      <c r="G878" s="4"/>
    </row>
    <row r="879" ht="15.75" customHeight="1">
      <c r="A879" s="4"/>
      <c r="B879" s="4"/>
      <c r="C879" s="4"/>
      <c r="D879" s="4"/>
      <c r="E879" s="4"/>
      <c r="G879" s="4"/>
    </row>
    <row r="880" ht="15.75" customHeight="1">
      <c r="A880" s="4"/>
      <c r="B880" s="4"/>
      <c r="C880" s="4"/>
      <c r="D880" s="4"/>
      <c r="E880" s="4"/>
      <c r="G880" s="4"/>
    </row>
    <row r="881" ht="15.75" customHeight="1">
      <c r="A881" s="4"/>
      <c r="B881" s="4"/>
      <c r="C881" s="4"/>
      <c r="D881" s="4"/>
      <c r="E881" s="4"/>
      <c r="G881" s="4"/>
    </row>
    <row r="882" ht="15.75" customHeight="1">
      <c r="A882" s="4"/>
      <c r="B882" s="4"/>
      <c r="C882" s="4"/>
      <c r="D882" s="4"/>
      <c r="E882" s="4"/>
      <c r="G882" s="4"/>
    </row>
    <row r="883" ht="15.75" customHeight="1">
      <c r="A883" s="4"/>
      <c r="B883" s="4"/>
      <c r="C883" s="4"/>
      <c r="D883" s="4"/>
      <c r="E883" s="4"/>
      <c r="G883" s="4"/>
    </row>
    <row r="884" ht="15.75" customHeight="1">
      <c r="A884" s="4"/>
      <c r="B884" s="4"/>
      <c r="C884" s="4"/>
      <c r="D884" s="4"/>
      <c r="E884" s="4"/>
      <c r="G884" s="4"/>
    </row>
    <row r="885" ht="15.75" customHeight="1">
      <c r="A885" s="4"/>
      <c r="B885" s="4"/>
      <c r="C885" s="4"/>
      <c r="D885" s="4"/>
      <c r="E885" s="4"/>
      <c r="G885" s="4"/>
    </row>
    <row r="886" ht="15.75" customHeight="1">
      <c r="A886" s="4"/>
      <c r="B886" s="4"/>
      <c r="C886" s="4"/>
      <c r="D886" s="4"/>
      <c r="E886" s="4"/>
      <c r="G886" s="4"/>
    </row>
    <row r="887" ht="15.75" customHeight="1">
      <c r="A887" s="4"/>
      <c r="B887" s="4"/>
      <c r="C887" s="4"/>
      <c r="D887" s="4"/>
      <c r="E887" s="4"/>
      <c r="G887" s="4"/>
    </row>
    <row r="888" ht="15.75" customHeight="1">
      <c r="A888" s="4"/>
      <c r="B888" s="4"/>
      <c r="C888" s="4"/>
      <c r="D888" s="4"/>
      <c r="E888" s="4"/>
      <c r="G888" s="4"/>
    </row>
    <row r="889" ht="15.75" customHeight="1">
      <c r="A889" s="4"/>
      <c r="B889" s="4"/>
      <c r="C889" s="4"/>
      <c r="D889" s="4"/>
      <c r="E889" s="4"/>
      <c r="G889" s="4"/>
    </row>
    <row r="890" ht="15.75" customHeight="1">
      <c r="A890" s="4"/>
      <c r="B890" s="4"/>
      <c r="C890" s="4"/>
      <c r="D890" s="4"/>
      <c r="E890" s="4"/>
      <c r="G890" s="4"/>
    </row>
    <row r="891" ht="15.75" customHeight="1">
      <c r="A891" s="4"/>
      <c r="B891" s="4"/>
      <c r="C891" s="4"/>
      <c r="D891" s="4"/>
      <c r="E891" s="4"/>
      <c r="G891" s="4"/>
    </row>
    <row r="892" ht="15.75" customHeight="1">
      <c r="A892" s="4"/>
      <c r="B892" s="4"/>
      <c r="C892" s="4"/>
      <c r="D892" s="4"/>
      <c r="E892" s="4"/>
      <c r="G892" s="4"/>
    </row>
    <row r="893" ht="15.75" customHeight="1">
      <c r="A893" s="4"/>
      <c r="B893" s="4"/>
      <c r="C893" s="4"/>
      <c r="D893" s="4"/>
      <c r="E893" s="4"/>
      <c r="G893" s="4"/>
    </row>
    <row r="894" ht="15.75" customHeight="1">
      <c r="A894" s="4"/>
      <c r="B894" s="4"/>
      <c r="C894" s="4"/>
      <c r="D894" s="4"/>
      <c r="E894" s="4"/>
      <c r="G894" s="4"/>
    </row>
    <row r="895" ht="15.75" customHeight="1">
      <c r="A895" s="4"/>
      <c r="B895" s="4"/>
      <c r="C895" s="4"/>
      <c r="D895" s="4"/>
      <c r="E895" s="4"/>
      <c r="G895" s="4"/>
    </row>
    <row r="896" ht="15.75" customHeight="1">
      <c r="A896" s="4"/>
      <c r="B896" s="4"/>
      <c r="C896" s="4"/>
      <c r="D896" s="4"/>
      <c r="E896" s="4"/>
      <c r="G896" s="4"/>
    </row>
    <row r="897" ht="15.75" customHeight="1">
      <c r="A897" s="4"/>
      <c r="B897" s="4"/>
      <c r="C897" s="4"/>
      <c r="D897" s="4"/>
      <c r="E897" s="4"/>
      <c r="G897" s="4"/>
    </row>
    <row r="898" ht="15.75" customHeight="1">
      <c r="A898" s="4"/>
      <c r="B898" s="4"/>
      <c r="C898" s="4"/>
      <c r="D898" s="4"/>
      <c r="E898" s="4"/>
      <c r="G898" s="4"/>
    </row>
    <row r="899" ht="15.75" customHeight="1">
      <c r="A899" s="4"/>
      <c r="B899" s="4"/>
      <c r="C899" s="4"/>
      <c r="D899" s="4"/>
      <c r="E899" s="4"/>
      <c r="G899" s="4"/>
    </row>
    <row r="900" ht="15.75" customHeight="1">
      <c r="A900" s="4"/>
      <c r="B900" s="4"/>
      <c r="C900" s="4"/>
      <c r="D900" s="4"/>
      <c r="E900" s="4"/>
      <c r="G900" s="4"/>
    </row>
    <row r="901" ht="15.75" customHeight="1">
      <c r="A901" s="4"/>
      <c r="B901" s="4"/>
      <c r="C901" s="4"/>
      <c r="D901" s="4"/>
      <c r="E901" s="4"/>
      <c r="G901" s="4"/>
    </row>
    <row r="902" ht="15.75" customHeight="1">
      <c r="A902" s="4"/>
      <c r="B902" s="4"/>
      <c r="C902" s="4"/>
      <c r="D902" s="4"/>
      <c r="E902" s="4"/>
      <c r="G902" s="4"/>
    </row>
    <row r="903" ht="15.75" customHeight="1">
      <c r="A903" s="4"/>
      <c r="B903" s="4"/>
      <c r="C903" s="4"/>
      <c r="D903" s="4"/>
      <c r="E903" s="4"/>
      <c r="G903" s="4"/>
    </row>
    <row r="904" ht="15.75" customHeight="1">
      <c r="A904" s="4"/>
      <c r="B904" s="4"/>
      <c r="C904" s="4"/>
      <c r="D904" s="4"/>
      <c r="E904" s="4"/>
      <c r="G904" s="4"/>
    </row>
    <row r="905" ht="15.75" customHeight="1">
      <c r="A905" s="4"/>
      <c r="B905" s="4"/>
      <c r="C905" s="4"/>
      <c r="D905" s="4"/>
      <c r="E905" s="4"/>
      <c r="G905" s="4"/>
    </row>
    <row r="906" ht="15.75" customHeight="1">
      <c r="A906" s="4"/>
      <c r="B906" s="4"/>
      <c r="C906" s="4"/>
      <c r="D906" s="4"/>
      <c r="E906" s="4"/>
      <c r="G906" s="4"/>
    </row>
    <row r="907" ht="15.75" customHeight="1">
      <c r="A907" s="4"/>
      <c r="B907" s="4"/>
      <c r="C907" s="4"/>
      <c r="D907" s="4"/>
      <c r="E907" s="4"/>
      <c r="G907" s="4"/>
    </row>
    <row r="908" ht="15.75" customHeight="1">
      <c r="A908" s="4"/>
      <c r="B908" s="4"/>
      <c r="C908" s="4"/>
      <c r="D908" s="4"/>
      <c r="E908" s="4"/>
      <c r="G908" s="4"/>
    </row>
    <row r="909" ht="15.75" customHeight="1">
      <c r="A909" s="4"/>
      <c r="B909" s="4"/>
      <c r="C909" s="4"/>
      <c r="D909" s="4"/>
      <c r="E909" s="4"/>
      <c r="G909" s="4"/>
    </row>
    <row r="910" ht="15.75" customHeight="1">
      <c r="A910" s="4"/>
      <c r="B910" s="4"/>
      <c r="C910" s="4"/>
      <c r="D910" s="4"/>
      <c r="E910" s="4"/>
      <c r="G910" s="4"/>
    </row>
    <row r="911" ht="15.75" customHeight="1">
      <c r="A911" s="4"/>
      <c r="B911" s="4"/>
      <c r="C911" s="4"/>
      <c r="D911" s="4"/>
      <c r="E911" s="4"/>
      <c r="G911" s="4"/>
    </row>
    <row r="912" ht="15.75" customHeight="1">
      <c r="A912" s="4"/>
      <c r="B912" s="4"/>
      <c r="C912" s="4"/>
      <c r="D912" s="4"/>
      <c r="E912" s="4"/>
      <c r="G912" s="4"/>
    </row>
    <row r="913" ht="15.75" customHeight="1">
      <c r="A913" s="4"/>
      <c r="B913" s="4"/>
      <c r="C913" s="4"/>
      <c r="D913" s="4"/>
      <c r="E913" s="4"/>
      <c r="G913" s="4"/>
    </row>
    <row r="914" ht="15.75" customHeight="1">
      <c r="A914" s="4"/>
      <c r="B914" s="4"/>
      <c r="C914" s="4"/>
      <c r="D914" s="4"/>
      <c r="E914" s="4"/>
      <c r="G914" s="4"/>
    </row>
    <row r="915" ht="15.75" customHeight="1">
      <c r="A915" s="4"/>
      <c r="B915" s="4"/>
      <c r="C915" s="4"/>
      <c r="D915" s="4"/>
      <c r="E915" s="4"/>
      <c r="G915" s="4"/>
    </row>
    <row r="916" ht="15.75" customHeight="1">
      <c r="A916" s="4"/>
      <c r="B916" s="4"/>
      <c r="C916" s="4"/>
      <c r="D916" s="4"/>
      <c r="E916" s="4"/>
      <c r="G916" s="4"/>
    </row>
    <row r="917" ht="15.75" customHeight="1">
      <c r="A917" s="4"/>
      <c r="B917" s="4"/>
      <c r="C917" s="4"/>
      <c r="D917" s="4"/>
      <c r="E917" s="4"/>
      <c r="G917" s="4"/>
    </row>
    <row r="918" ht="15.75" customHeight="1">
      <c r="A918" s="4"/>
      <c r="B918" s="4"/>
      <c r="C918" s="4"/>
      <c r="D918" s="4"/>
      <c r="E918" s="4"/>
      <c r="G918" s="4"/>
    </row>
    <row r="919" ht="15.75" customHeight="1">
      <c r="A919" s="4"/>
      <c r="B919" s="4"/>
      <c r="C919" s="4"/>
      <c r="D919" s="4"/>
      <c r="E919" s="4"/>
      <c r="G919" s="4"/>
    </row>
    <row r="920" ht="15.75" customHeight="1">
      <c r="A920" s="4"/>
      <c r="B920" s="4"/>
      <c r="C920" s="4"/>
      <c r="D920" s="4"/>
      <c r="E920" s="4"/>
      <c r="G920" s="4"/>
    </row>
    <row r="921" ht="15.75" customHeight="1">
      <c r="A921" s="4"/>
      <c r="B921" s="4"/>
      <c r="C921" s="4"/>
      <c r="D921" s="4"/>
      <c r="E921" s="4"/>
      <c r="G921" s="4"/>
    </row>
    <row r="922" ht="15.75" customHeight="1">
      <c r="A922" s="4"/>
      <c r="B922" s="4"/>
      <c r="C922" s="4"/>
      <c r="D922" s="4"/>
      <c r="E922" s="4"/>
      <c r="G922" s="4"/>
    </row>
    <row r="923" ht="15.75" customHeight="1">
      <c r="A923" s="4"/>
      <c r="B923" s="4"/>
      <c r="C923" s="4"/>
      <c r="D923" s="4"/>
      <c r="E923" s="4"/>
      <c r="G923" s="4"/>
    </row>
    <row r="924" ht="15.75" customHeight="1">
      <c r="A924" s="4"/>
      <c r="B924" s="4"/>
      <c r="C924" s="4"/>
      <c r="D924" s="4"/>
      <c r="E924" s="4"/>
      <c r="G924" s="4"/>
    </row>
    <row r="925" ht="15.75" customHeight="1">
      <c r="A925" s="4"/>
      <c r="B925" s="4"/>
      <c r="C925" s="4"/>
      <c r="D925" s="4"/>
      <c r="E925" s="4"/>
      <c r="G925" s="4"/>
    </row>
    <row r="926" ht="15.75" customHeight="1">
      <c r="A926" s="4"/>
      <c r="B926" s="4"/>
      <c r="C926" s="4"/>
      <c r="D926" s="4"/>
      <c r="E926" s="4"/>
      <c r="G926" s="4"/>
    </row>
    <row r="927" ht="15.75" customHeight="1">
      <c r="A927" s="4"/>
      <c r="B927" s="4"/>
      <c r="C927" s="4"/>
      <c r="D927" s="4"/>
      <c r="E927" s="4"/>
      <c r="G927" s="4"/>
    </row>
    <row r="928" ht="15.75" customHeight="1">
      <c r="A928" s="4"/>
      <c r="B928" s="4"/>
      <c r="C928" s="4"/>
      <c r="D928" s="4"/>
      <c r="E928" s="4"/>
      <c r="G928" s="4"/>
    </row>
    <row r="929" ht="15.75" customHeight="1">
      <c r="A929" s="4"/>
      <c r="B929" s="4"/>
      <c r="C929" s="4"/>
      <c r="D929" s="4"/>
      <c r="E929" s="4"/>
      <c r="G929" s="4"/>
    </row>
    <row r="930" ht="15.75" customHeight="1">
      <c r="A930" s="4"/>
      <c r="B930" s="4"/>
      <c r="C930" s="4"/>
      <c r="D930" s="4"/>
      <c r="E930" s="4"/>
      <c r="G930" s="4"/>
    </row>
    <row r="931" ht="15.75" customHeight="1">
      <c r="A931" s="4"/>
      <c r="B931" s="4"/>
      <c r="C931" s="4"/>
      <c r="D931" s="4"/>
      <c r="E931" s="4"/>
      <c r="G931" s="4"/>
    </row>
    <row r="932" ht="15.75" customHeight="1">
      <c r="A932" s="4"/>
      <c r="B932" s="4"/>
      <c r="C932" s="4"/>
      <c r="D932" s="4"/>
      <c r="E932" s="4"/>
      <c r="G932" s="4"/>
    </row>
    <row r="933" ht="15.75" customHeight="1">
      <c r="A933" s="4"/>
      <c r="B933" s="4"/>
      <c r="C933" s="4"/>
      <c r="D933" s="4"/>
      <c r="E933" s="4"/>
      <c r="G933" s="4"/>
    </row>
    <row r="934" ht="15.75" customHeight="1">
      <c r="A934" s="4"/>
      <c r="B934" s="4"/>
      <c r="C934" s="4"/>
      <c r="D934" s="4"/>
      <c r="E934" s="4"/>
      <c r="G934" s="4"/>
    </row>
    <row r="935" ht="15.75" customHeight="1">
      <c r="A935" s="4"/>
      <c r="B935" s="4"/>
      <c r="C935" s="4"/>
      <c r="D935" s="4"/>
      <c r="E935" s="4"/>
      <c r="G935" s="4"/>
    </row>
    <row r="936" ht="15.75" customHeight="1">
      <c r="A936" s="4"/>
      <c r="B936" s="4"/>
      <c r="C936" s="4"/>
      <c r="D936" s="4"/>
      <c r="E936" s="4"/>
      <c r="G936" s="4"/>
    </row>
    <row r="937" ht="15.75" customHeight="1">
      <c r="A937" s="4"/>
      <c r="B937" s="4"/>
      <c r="C937" s="4"/>
      <c r="D937" s="4"/>
      <c r="E937" s="4"/>
      <c r="G937" s="4"/>
    </row>
    <row r="938" ht="15.75" customHeight="1">
      <c r="A938" s="4"/>
      <c r="B938" s="4"/>
      <c r="C938" s="4"/>
      <c r="D938" s="4"/>
      <c r="E938" s="4"/>
      <c r="G938" s="4"/>
    </row>
    <row r="939" ht="15.75" customHeight="1">
      <c r="A939" s="4"/>
      <c r="B939" s="4"/>
      <c r="C939" s="4"/>
      <c r="D939" s="4"/>
      <c r="E939" s="4"/>
      <c r="G939" s="4"/>
    </row>
    <row r="940" ht="15.75" customHeight="1">
      <c r="A940" s="4"/>
      <c r="B940" s="4"/>
      <c r="C940" s="4"/>
      <c r="D940" s="4"/>
      <c r="E940" s="4"/>
      <c r="G940" s="4"/>
    </row>
    <row r="941" ht="15.75" customHeight="1">
      <c r="A941" s="4"/>
      <c r="B941" s="4"/>
      <c r="C941" s="4"/>
      <c r="D941" s="4"/>
      <c r="E941" s="4"/>
      <c r="G941" s="4"/>
    </row>
    <row r="942" ht="15.75" customHeight="1">
      <c r="A942" s="4"/>
      <c r="B942" s="4"/>
      <c r="C942" s="4"/>
      <c r="D942" s="4"/>
      <c r="E942" s="4"/>
      <c r="G942" s="4"/>
    </row>
    <row r="943" ht="15.75" customHeight="1">
      <c r="A943" s="4"/>
      <c r="B943" s="4"/>
      <c r="C943" s="4"/>
      <c r="D943" s="4"/>
      <c r="E943" s="4"/>
      <c r="G943" s="4"/>
    </row>
    <row r="944" ht="15.75" customHeight="1">
      <c r="A944" s="4"/>
      <c r="B944" s="4"/>
      <c r="C944" s="4"/>
      <c r="D944" s="4"/>
      <c r="E944" s="4"/>
      <c r="G944" s="4"/>
    </row>
    <row r="945" ht="15.75" customHeight="1">
      <c r="A945" s="4"/>
      <c r="B945" s="4"/>
      <c r="C945" s="4"/>
      <c r="D945" s="4"/>
      <c r="E945" s="4"/>
      <c r="G945" s="4"/>
    </row>
    <row r="946" ht="15.75" customHeight="1">
      <c r="A946" s="4"/>
      <c r="B946" s="4"/>
      <c r="C946" s="4"/>
      <c r="D946" s="4"/>
      <c r="E946" s="4"/>
      <c r="G946" s="4"/>
    </row>
    <row r="947" ht="15.75" customHeight="1">
      <c r="A947" s="4"/>
      <c r="B947" s="4"/>
      <c r="C947" s="4"/>
      <c r="D947" s="4"/>
      <c r="E947" s="4"/>
      <c r="G947" s="4"/>
    </row>
    <row r="948" ht="15.75" customHeight="1">
      <c r="A948" s="4"/>
      <c r="B948" s="4"/>
      <c r="C948" s="4"/>
      <c r="D948" s="4"/>
      <c r="E948" s="4"/>
      <c r="G948" s="4"/>
    </row>
    <row r="949" ht="15.75" customHeight="1">
      <c r="A949" s="4"/>
      <c r="B949" s="4"/>
      <c r="C949" s="4"/>
      <c r="D949" s="4"/>
      <c r="E949" s="4"/>
      <c r="G949" s="4"/>
    </row>
    <row r="950" ht="15.75" customHeight="1">
      <c r="A950" s="4"/>
      <c r="B950" s="4"/>
      <c r="C950" s="4"/>
      <c r="D950" s="4"/>
      <c r="E950" s="4"/>
      <c r="G950" s="4"/>
    </row>
    <row r="951" ht="15.75" customHeight="1">
      <c r="A951" s="4"/>
      <c r="B951" s="4"/>
      <c r="C951" s="4"/>
      <c r="D951" s="4"/>
      <c r="E951" s="4"/>
      <c r="G951" s="4"/>
    </row>
    <row r="952" ht="15.75" customHeight="1">
      <c r="A952" s="4"/>
      <c r="B952" s="4"/>
      <c r="C952" s="4"/>
      <c r="D952" s="4"/>
      <c r="E952" s="4"/>
      <c r="G952" s="4"/>
    </row>
    <row r="953" ht="15.75" customHeight="1">
      <c r="A953" s="4"/>
      <c r="B953" s="4"/>
      <c r="C953" s="4"/>
      <c r="D953" s="4"/>
      <c r="E953" s="4"/>
      <c r="G953" s="4"/>
    </row>
    <row r="954" ht="15.75" customHeight="1">
      <c r="A954" s="4"/>
      <c r="B954" s="4"/>
      <c r="C954" s="4"/>
      <c r="D954" s="4"/>
      <c r="E954" s="4"/>
      <c r="G954" s="4"/>
    </row>
    <row r="955" ht="15.75" customHeight="1">
      <c r="A955" s="4"/>
      <c r="B955" s="4"/>
      <c r="C955" s="4"/>
      <c r="D955" s="4"/>
      <c r="E955" s="4"/>
      <c r="G955" s="4"/>
    </row>
    <row r="956" ht="15.75" customHeight="1">
      <c r="A956" s="4"/>
      <c r="B956" s="4"/>
      <c r="C956" s="4"/>
      <c r="D956" s="4"/>
      <c r="E956" s="4"/>
      <c r="G956" s="4"/>
    </row>
    <row r="957" ht="15.75" customHeight="1">
      <c r="A957" s="4"/>
      <c r="B957" s="4"/>
      <c r="C957" s="4"/>
      <c r="D957" s="4"/>
      <c r="E957" s="4"/>
      <c r="G957" s="4"/>
    </row>
    <row r="958" ht="15.75" customHeight="1">
      <c r="A958" s="4"/>
      <c r="B958" s="4"/>
      <c r="C958" s="4"/>
      <c r="D958" s="4"/>
      <c r="E958" s="4"/>
      <c r="G958" s="4"/>
    </row>
    <row r="959" ht="15.75" customHeight="1">
      <c r="A959" s="4"/>
      <c r="B959" s="4"/>
      <c r="C959" s="4"/>
      <c r="D959" s="4"/>
      <c r="E959" s="4"/>
      <c r="G959" s="4"/>
    </row>
    <row r="960" ht="15.75" customHeight="1">
      <c r="A960" s="4"/>
      <c r="B960" s="4"/>
      <c r="C960" s="4"/>
      <c r="D960" s="4"/>
      <c r="E960" s="4"/>
      <c r="G960" s="4"/>
    </row>
    <row r="961" ht="15.75" customHeight="1">
      <c r="A961" s="4"/>
      <c r="B961" s="4"/>
      <c r="C961" s="4"/>
      <c r="D961" s="4"/>
      <c r="E961" s="4"/>
      <c r="G961" s="4"/>
    </row>
    <row r="962" ht="15.75" customHeight="1">
      <c r="A962" s="4"/>
      <c r="B962" s="4"/>
      <c r="C962" s="4"/>
      <c r="D962" s="4"/>
      <c r="E962" s="4"/>
      <c r="G962" s="4"/>
    </row>
    <row r="963" ht="15.75" customHeight="1">
      <c r="A963" s="4"/>
      <c r="B963" s="4"/>
      <c r="C963" s="4"/>
      <c r="D963" s="4"/>
      <c r="E963" s="4"/>
      <c r="G963" s="4"/>
    </row>
    <row r="964" ht="15.75" customHeight="1">
      <c r="A964" s="4"/>
      <c r="B964" s="4"/>
      <c r="C964" s="4"/>
      <c r="D964" s="4"/>
      <c r="E964" s="4"/>
      <c r="G964" s="4"/>
    </row>
    <row r="965" ht="15.75" customHeight="1">
      <c r="A965" s="4"/>
      <c r="B965" s="4"/>
      <c r="C965" s="4"/>
      <c r="D965" s="4"/>
      <c r="E965" s="4"/>
      <c r="G965" s="4"/>
    </row>
    <row r="966" ht="15.75" customHeight="1">
      <c r="A966" s="4"/>
      <c r="B966" s="4"/>
      <c r="C966" s="4"/>
      <c r="D966" s="4"/>
      <c r="E966" s="4"/>
      <c r="G966" s="4"/>
    </row>
    <row r="967" ht="15.75" customHeight="1">
      <c r="A967" s="4"/>
      <c r="B967" s="4"/>
      <c r="C967" s="4"/>
      <c r="D967" s="4"/>
      <c r="E967" s="4"/>
      <c r="G967" s="4"/>
    </row>
    <row r="968" ht="15.75" customHeight="1">
      <c r="A968" s="4"/>
      <c r="B968" s="4"/>
      <c r="C968" s="4"/>
      <c r="D968" s="4"/>
      <c r="E968" s="4"/>
      <c r="G968" s="4"/>
    </row>
    <row r="969" ht="15.75" customHeight="1">
      <c r="A969" s="4"/>
      <c r="B969" s="4"/>
      <c r="C969" s="4"/>
      <c r="D969" s="4"/>
      <c r="E969" s="4"/>
      <c r="G969" s="4"/>
    </row>
    <row r="970" ht="15.75" customHeight="1">
      <c r="A970" s="4"/>
      <c r="B970" s="4"/>
      <c r="C970" s="4"/>
      <c r="D970" s="4"/>
      <c r="E970" s="4"/>
      <c r="G970" s="4"/>
    </row>
    <row r="971" ht="15.75" customHeight="1">
      <c r="A971" s="4"/>
      <c r="B971" s="4"/>
      <c r="C971" s="4"/>
      <c r="D971" s="4"/>
      <c r="E971" s="4"/>
      <c r="G971" s="4"/>
    </row>
    <row r="972" ht="15.75" customHeight="1">
      <c r="A972" s="4"/>
      <c r="B972" s="4"/>
      <c r="C972" s="4"/>
      <c r="D972" s="4"/>
      <c r="E972" s="4"/>
      <c r="G972" s="4"/>
    </row>
    <row r="973" ht="15.75" customHeight="1">
      <c r="A973" s="4"/>
      <c r="B973" s="4"/>
      <c r="C973" s="4"/>
      <c r="D973" s="4"/>
      <c r="E973" s="4"/>
      <c r="G973" s="4"/>
    </row>
    <row r="974" ht="15.75" customHeight="1">
      <c r="A974" s="4"/>
      <c r="B974" s="4"/>
      <c r="C974" s="4"/>
      <c r="D974" s="4"/>
      <c r="E974" s="4"/>
      <c r="G974" s="4"/>
    </row>
    <row r="975" ht="15.75" customHeight="1">
      <c r="A975" s="4"/>
      <c r="B975" s="4"/>
      <c r="C975" s="4"/>
      <c r="D975" s="4"/>
      <c r="E975" s="4"/>
      <c r="G975" s="4"/>
    </row>
    <row r="976" ht="15.75" customHeight="1">
      <c r="A976" s="4"/>
      <c r="B976" s="4"/>
      <c r="C976" s="4"/>
      <c r="D976" s="4"/>
      <c r="E976" s="4"/>
      <c r="G976" s="4"/>
    </row>
    <row r="977" ht="15.75" customHeight="1">
      <c r="A977" s="4"/>
      <c r="B977" s="4"/>
      <c r="C977" s="4"/>
      <c r="D977" s="4"/>
      <c r="E977" s="4"/>
      <c r="G977" s="4"/>
    </row>
    <row r="978" ht="15.75" customHeight="1">
      <c r="A978" s="4"/>
      <c r="B978" s="4"/>
      <c r="C978" s="4"/>
      <c r="D978" s="4"/>
      <c r="E978" s="4"/>
      <c r="G978" s="4"/>
    </row>
    <row r="979" ht="15.75" customHeight="1">
      <c r="A979" s="4"/>
      <c r="B979" s="4"/>
      <c r="C979" s="4"/>
      <c r="D979" s="4"/>
      <c r="E979" s="4"/>
      <c r="G979" s="4"/>
    </row>
    <row r="980" ht="15.75" customHeight="1">
      <c r="A980" s="4"/>
      <c r="B980" s="4"/>
      <c r="C980" s="4"/>
      <c r="D980" s="4"/>
      <c r="E980" s="4"/>
      <c r="G980" s="4"/>
    </row>
    <row r="981" ht="15.75" customHeight="1">
      <c r="A981" s="4"/>
      <c r="B981" s="4"/>
      <c r="C981" s="4"/>
      <c r="D981" s="4"/>
      <c r="E981" s="4"/>
      <c r="G981" s="4"/>
    </row>
    <row r="982" ht="15.75" customHeight="1">
      <c r="A982" s="4"/>
      <c r="B982" s="4"/>
      <c r="C982" s="4"/>
      <c r="D982" s="4"/>
      <c r="E982" s="4"/>
      <c r="G982" s="4"/>
    </row>
    <row r="983" ht="15.75" customHeight="1">
      <c r="A983" s="4"/>
      <c r="B983" s="4"/>
      <c r="C983" s="4"/>
      <c r="D983" s="4"/>
      <c r="E983" s="4"/>
      <c r="G983" s="4"/>
    </row>
    <row r="984" ht="15.75" customHeight="1">
      <c r="A984" s="4"/>
      <c r="B984" s="4"/>
      <c r="C984" s="4"/>
      <c r="D984" s="4"/>
      <c r="E984" s="4"/>
      <c r="G984" s="4"/>
    </row>
    <row r="985" ht="15.75" customHeight="1">
      <c r="A985" s="4"/>
      <c r="B985" s="4"/>
      <c r="C985" s="4"/>
      <c r="D985" s="4"/>
      <c r="E985" s="4"/>
      <c r="G985" s="4"/>
    </row>
    <row r="986" ht="15.75" customHeight="1">
      <c r="A986" s="4"/>
      <c r="B986" s="4"/>
      <c r="C986" s="4"/>
      <c r="D986" s="4"/>
      <c r="E986" s="4"/>
      <c r="G986" s="4"/>
    </row>
    <row r="987" ht="15.75" customHeight="1">
      <c r="A987" s="4"/>
      <c r="B987" s="4"/>
      <c r="C987" s="4"/>
      <c r="D987" s="4"/>
      <c r="E987" s="4"/>
      <c r="G987" s="4"/>
    </row>
    <row r="988" ht="15.75" customHeight="1">
      <c r="A988" s="4"/>
      <c r="B988" s="4"/>
      <c r="C988" s="4"/>
      <c r="D988" s="4"/>
      <c r="E988" s="4"/>
      <c r="G988" s="4"/>
    </row>
    <row r="989" ht="15.75" customHeight="1">
      <c r="A989" s="4"/>
      <c r="B989" s="4"/>
      <c r="C989" s="4"/>
      <c r="D989" s="4"/>
      <c r="E989" s="4"/>
      <c r="G989" s="4"/>
    </row>
    <row r="990" ht="15.75" customHeight="1">
      <c r="A990" s="4"/>
      <c r="B990" s="4"/>
      <c r="C990" s="4"/>
      <c r="D990" s="4"/>
      <c r="E990" s="4"/>
      <c r="G990" s="4"/>
    </row>
    <row r="991" ht="15.75" customHeight="1">
      <c r="A991" s="4"/>
      <c r="B991" s="4"/>
      <c r="C991" s="4"/>
      <c r="D991" s="4"/>
      <c r="E991" s="4"/>
      <c r="G991" s="4"/>
    </row>
    <row r="992" ht="15.75" customHeight="1">
      <c r="A992" s="4"/>
      <c r="B992" s="4"/>
      <c r="C992" s="4"/>
      <c r="D992" s="4"/>
      <c r="E992" s="4"/>
      <c r="G992" s="4"/>
    </row>
    <row r="993" ht="15.75" customHeight="1">
      <c r="A993" s="4"/>
      <c r="B993" s="4"/>
      <c r="C993" s="4"/>
      <c r="D993" s="4"/>
      <c r="E993" s="4"/>
      <c r="G993" s="4"/>
    </row>
    <row r="994" ht="15.75" customHeight="1">
      <c r="A994" s="4"/>
      <c r="B994" s="4"/>
      <c r="C994" s="4"/>
      <c r="D994" s="4"/>
      <c r="E994" s="4"/>
      <c r="G994" s="4"/>
    </row>
    <row r="995" ht="15.75" customHeight="1">
      <c r="A995" s="4"/>
      <c r="B995" s="4"/>
      <c r="C995" s="4"/>
      <c r="D995" s="4"/>
      <c r="E995" s="4"/>
      <c r="G995" s="4"/>
    </row>
    <row r="996" ht="15.75" customHeight="1">
      <c r="A996" s="4"/>
      <c r="B996" s="4"/>
      <c r="C996" s="4"/>
      <c r="D996" s="4"/>
      <c r="E996" s="4"/>
      <c r="G996" s="4"/>
    </row>
    <row r="997" ht="15.75" customHeight="1">
      <c r="A997" s="4"/>
      <c r="B997" s="4"/>
      <c r="C997" s="4"/>
      <c r="D997" s="4"/>
      <c r="E997" s="4"/>
      <c r="G997" s="4"/>
    </row>
    <row r="998" ht="15.75" customHeight="1">
      <c r="A998" s="4"/>
      <c r="B998" s="4"/>
      <c r="C998" s="4"/>
      <c r="D998" s="4"/>
      <c r="E998" s="4"/>
      <c r="G998" s="4"/>
    </row>
    <row r="999" ht="15.75" customHeight="1">
      <c r="A999" s="4"/>
      <c r="B999" s="4"/>
      <c r="C999" s="4"/>
      <c r="D999" s="4"/>
      <c r="E999" s="4"/>
      <c r="G999" s="4"/>
    </row>
    <row r="1000" ht="15.75" customHeight="1">
      <c r="A1000" s="4"/>
      <c r="B1000" s="4"/>
      <c r="C1000" s="4"/>
      <c r="D1000" s="4"/>
      <c r="E1000" s="4"/>
      <c r="G1000" s="4"/>
    </row>
  </sheetData>
  <conditionalFormatting sqref="E2:E7">
    <cfRule type="containsText" dxfId="0" priority="1" operator="containsText" text="Launched">
      <formula>NOT(ISERROR(SEARCH(("Launched"),(E2))))</formula>
    </cfRule>
  </conditionalFormatting>
  <conditionalFormatting sqref="E2:E7">
    <cfRule type="containsText" dxfId="1" priority="2" operator="containsText" text="Testing">
      <formula>NOT(ISERROR(SEARCH(("Testing"),(E2))))</formula>
    </cfRule>
  </conditionalFormatting>
  <conditionalFormatting sqref="E2:E7">
    <cfRule type="containsText" dxfId="1" priority="3" operator="containsText" text="In Development">
      <formula>NOT(ISERROR(SEARCH(("In Development"),(E2))))</formula>
    </cfRule>
  </conditionalFormatting>
  <conditionalFormatting sqref="E2:E7">
    <cfRule type="containsText" dxfId="1" priority="4" operator="containsText" text="Planning">
      <formula>NOT(ISERROR(SEARCH(("Planning"),(E2))))</formula>
    </cfRule>
  </conditionalFormatting>
  <conditionalFormatting sqref="E2:E7">
    <cfRule type="containsText" dxfId="2" priority="5" operator="containsText" text="On Hold">
      <formula>NOT(ISERROR(SEARCH(("On Hold"),(E2))))</formula>
    </cfRule>
  </conditionalFormatting>
  <dataValidations>
    <dataValidation type="list" allowBlank="1" sqref="B2">
      <formula1>$D$2:$D$6</formula1>
    </dataValidation>
    <dataValidation type="list" allowBlank="1" sqref="B4">
      <formula1>$F$2:$F$5</formula1>
    </dataValidation>
    <dataValidation type="list" allowBlank="1" sqref="B3">
      <formula1>$E$2:$E$6</formula1>
    </dataValidation>
    <dataValidation type="list" allowBlank="1" sqref="B5">
      <formula1>$G$2:$G$6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0.0"/>
    <col customWidth="1" min="3" max="3" width="30.0"/>
    <col customWidth="1" min="4" max="4" width="8.71"/>
    <col customWidth="1" min="5" max="5" width="24.0"/>
    <col customWidth="1" min="6" max="6" width="12.0"/>
  </cols>
  <sheetData>
    <row r="1" ht="18.75" customHeight="1">
      <c r="A1" s="11" t="s">
        <v>254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255</v>
      </c>
      <c r="B3" s="10" t="s">
        <v>256</v>
      </c>
      <c r="C3" s="10" t="s">
        <v>257</v>
      </c>
      <c r="D3" s="10"/>
      <c r="E3" s="10" t="s">
        <v>41</v>
      </c>
      <c r="F3" s="10" t="s">
        <v>258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259</v>
      </c>
      <c r="B4" s="12">
        <f>SUMIF(Data!$AB$2:$AB$96,1)</f>
        <v>80</v>
      </c>
      <c r="C4" s="4"/>
      <c r="D4" s="4"/>
      <c r="E4" s="6" t="s">
        <v>77</v>
      </c>
      <c r="F4" s="12">
        <f>SUMPRODUCT(Data!$AB$2:$AB$81,--(Data!$D$2:$D$81="Planning"))</f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260</v>
      </c>
      <c r="B5" s="13">
        <f>IFERROR(SUMPRODUCT(Data!$V$2:$V$96,Data!$AB$2:$AB$96)/SUMPRODUCT(Data!$AB$2:$AB$96),0)</f>
        <v>0.075</v>
      </c>
      <c r="C5" s="4" t="s">
        <v>261</v>
      </c>
      <c r="D5" s="4"/>
      <c r="E5" s="6" t="s">
        <v>81</v>
      </c>
      <c r="F5" s="12">
        <f>SUMPRODUCT(Data!$AB$2:$AB$81,--(Data!$D$2:$D$81="In Development"))</f>
        <v>13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262</v>
      </c>
      <c r="B6" s="13">
        <f>IFERROR(SUMPRODUCT(Data!$J$2:$J$96,Data!$AB$2:$AB$96)/SUMPRODUCT(Data!$I$2:$I$96,Data!$AB$2:$AB$96),0)</f>
        <v>0.7226060626</v>
      </c>
      <c r="C6" s="4" t="s">
        <v>263</v>
      </c>
      <c r="D6" s="4"/>
      <c r="E6" s="6" t="s">
        <v>67</v>
      </c>
      <c r="F6" s="12">
        <f>SUMPRODUCT(Data!$AB$2:$AB$81,--(Data!$D$2:$D$81="Testing"))</f>
        <v>16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264</v>
      </c>
      <c r="B7" s="13">
        <f>IFERROR(SUMPRODUCT(Data!$K$2:$K$96,Data!$AB$2:$AB$96)/SUMPRODUCT(Data!$AB$2:$AB$96),0)</f>
        <v>81.275</v>
      </c>
      <c r="C7" s="4" t="s">
        <v>265</v>
      </c>
      <c r="D7" s="4"/>
      <c r="E7" s="9" t="s">
        <v>92</v>
      </c>
      <c r="F7" s="12">
        <f>SUMPRODUCT(Data!$AB$2:$AB$81,--(Data!$D$2:$D$81="Launched"))</f>
        <v>18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266</v>
      </c>
      <c r="B8" s="14">
        <f>SUMPRODUCT(Data!$M$2:$M$96,Data!$AB$2:$AB$96)</f>
        <v>104200000</v>
      </c>
      <c r="C8" s="4"/>
      <c r="D8" s="4"/>
      <c r="E8" s="8" t="s">
        <v>73</v>
      </c>
      <c r="F8" s="12">
        <f>SUMPRODUCT(Data!$AB$2:$AB$81,--(Data!$D$2:$D$81="On Hold"))</f>
        <v>15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267</v>
      </c>
      <c r="B9" s="14">
        <f>SUMPRODUCT(Data!$N$2:$N$96,Data!$AB$2:$AB$96)</f>
        <v>21409447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conditionalFormatting sqref="E4:E1000">
    <cfRule type="containsText" dxfId="0" priority="1" operator="containsText" text="Launched">
      <formula>NOT(ISERROR(SEARCH(("Launched"),(E4))))</formula>
    </cfRule>
  </conditionalFormatting>
  <conditionalFormatting sqref="E4:E1000">
    <cfRule type="containsText" dxfId="1" priority="2" operator="containsText" text="Testing">
      <formula>NOT(ISERROR(SEARCH(("Testing"),(E4))))</formula>
    </cfRule>
  </conditionalFormatting>
  <conditionalFormatting sqref="E4:E1000">
    <cfRule type="containsText" dxfId="1" priority="3" operator="containsText" text="In Development">
      <formula>NOT(ISERROR(SEARCH(("In Development"),(E4))))</formula>
    </cfRule>
  </conditionalFormatting>
  <conditionalFormatting sqref="E4:E1000">
    <cfRule type="containsText" dxfId="1" priority="4" operator="containsText" text="Planning">
      <formula>NOT(ISERROR(SEARCH(("Planning"),(E4))))</formula>
    </cfRule>
  </conditionalFormatting>
  <conditionalFormatting sqref="E4:E1000">
    <cfRule type="containsText" dxfId="2" priority="5" operator="containsText" text="On Hold">
      <formula>NOT(ISERROR(SEARCH(("On Hold"),(E4))))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8.57"/>
    <col customWidth="1" min="3" max="3" width="16.71"/>
    <col customWidth="1" min="4" max="4" width="20.86"/>
    <col customWidth="1" min="5" max="5" width="19.0"/>
    <col customWidth="1" min="6" max="6" width="25.43"/>
    <col customWidth="1" min="7" max="7" width="23.86"/>
    <col customWidth="1" min="8" max="8" width="23.29"/>
    <col customWidth="1" min="9" max="9" width="16.29"/>
    <col customWidth="1" min="10" max="10" width="19.57"/>
    <col customWidth="1" min="11" max="11" width="17.29"/>
    <col customWidth="1" min="12" max="15" width="8.71"/>
    <col customWidth="1" min="16" max="16" width="28.86"/>
    <col customWidth="1" min="17" max="17" width="15.57"/>
    <col customWidth="1" min="18" max="18" width="17.0"/>
    <col customWidth="1" min="19" max="19" width="23.71"/>
    <col customWidth="1" min="20" max="20" width="15.29"/>
    <col customWidth="1" min="21" max="26" width="8.71"/>
    <col customWidth="1" min="31" max="31" width="24.14"/>
    <col customWidth="1" min="32" max="32" width="16.71"/>
  </cols>
  <sheetData>
    <row r="1">
      <c r="A1" s="10" t="s">
        <v>39</v>
      </c>
      <c r="B1" s="10" t="s">
        <v>268</v>
      </c>
      <c r="C1" s="10" t="s">
        <v>269</v>
      </c>
      <c r="D1" s="10" t="s">
        <v>42</v>
      </c>
      <c r="E1" s="10" t="s">
        <v>43</v>
      </c>
      <c r="F1" s="10" t="s">
        <v>44</v>
      </c>
      <c r="G1" s="10" t="s">
        <v>54</v>
      </c>
      <c r="H1" s="10" t="s">
        <v>55</v>
      </c>
      <c r="I1" s="10" t="s">
        <v>270</v>
      </c>
      <c r="J1" s="10" t="s">
        <v>271</v>
      </c>
      <c r="K1" s="4"/>
      <c r="L1" s="4"/>
      <c r="M1" s="4"/>
      <c r="N1" s="4"/>
      <c r="O1" s="4"/>
      <c r="P1" s="4" t="s">
        <v>272</v>
      </c>
      <c r="Q1" s="4" t="s">
        <v>245</v>
      </c>
      <c r="R1" s="4" t="s">
        <v>273</v>
      </c>
      <c r="S1" s="4" t="s">
        <v>268</v>
      </c>
      <c r="T1" s="4" t="s">
        <v>269</v>
      </c>
      <c r="U1" s="4" t="s">
        <v>274</v>
      </c>
      <c r="V1" s="4" t="s">
        <v>275</v>
      </c>
      <c r="W1" s="4" t="s">
        <v>276</v>
      </c>
      <c r="X1" s="4" t="s">
        <v>277</v>
      </c>
      <c r="Y1" s="4" t="s">
        <v>278</v>
      </c>
      <c r="Z1" s="4" t="s">
        <v>279</v>
      </c>
      <c r="AA1" s="4" t="s">
        <v>280</v>
      </c>
      <c r="AB1" s="4" t="s">
        <v>281</v>
      </c>
      <c r="AC1" s="4" t="s">
        <v>282</v>
      </c>
      <c r="AD1" s="4"/>
      <c r="AE1" s="10"/>
      <c r="AF1" s="4"/>
      <c r="AG1" s="4" t="s">
        <v>283</v>
      </c>
    </row>
    <row r="2">
      <c r="A2" s="4" t="s">
        <v>65</v>
      </c>
      <c r="B2" s="4" t="s">
        <v>66</v>
      </c>
      <c r="C2" s="6" t="s">
        <v>67</v>
      </c>
      <c r="D2" s="15">
        <v>44971.0</v>
      </c>
      <c r="E2" s="15">
        <v>45100.0</v>
      </c>
      <c r="F2" s="4"/>
      <c r="G2" s="4">
        <v>129.0</v>
      </c>
      <c r="H2" s="4"/>
      <c r="I2" s="4">
        <v>80.0</v>
      </c>
      <c r="J2" s="4">
        <v>42.0</v>
      </c>
      <c r="K2" s="4"/>
      <c r="L2" s="4"/>
      <c r="M2" s="4"/>
      <c r="N2" s="4"/>
      <c r="O2" s="4"/>
      <c r="P2" s="4" t="s">
        <v>101</v>
      </c>
      <c r="Q2" s="4" t="s">
        <v>66</v>
      </c>
      <c r="R2" s="4" t="s">
        <v>67</v>
      </c>
      <c r="S2" s="4" t="s">
        <v>284</v>
      </c>
      <c r="T2" s="4" t="s">
        <v>285</v>
      </c>
      <c r="U2" s="16">
        <f t="shared" ref="U2:U81" si="1">IF(AND(OR($S$1="All Product Lines",$S$1="",B2=$S$1),OR($T$1="All Statuses",$T$1="",C2=$T$1)),1,0)</f>
        <v>1</v>
      </c>
      <c r="V2" s="16">
        <f t="shared" ref="V2:V81" si="2">IF($AG2=1,$J2,NA())</f>
        <v>42</v>
      </c>
      <c r="W2" s="16">
        <f t="shared" ref="W2:W81" si="3">IF($AG2=1,$G2,NA())</f>
        <v>129</v>
      </c>
      <c r="X2" s="16" t="str">
        <f t="shared" ref="X2:X81" si="4">IF(AND($AG2=1,ISNUMBER($H2)),$H2,NA())</f>
        <v>#N/A</v>
      </c>
      <c r="Y2" s="16">
        <f t="shared" ref="Y2:Y81" si="5">IF(ISNUMBER(G2),J2+G2,NA())</f>
        <v>171</v>
      </c>
      <c r="Z2" s="16" t="str">
        <f t="shared" ref="Z2:Z81" si="6">IF(ISNUMBER(H2),J2+H2,NA())</f>
        <v>#N/A</v>
      </c>
      <c r="AA2" s="16">
        <f t="shared" ref="AA2:AA81" si="7">IF($AG2=1,$J2+$G2,NA())</f>
        <v>171</v>
      </c>
      <c r="AB2" s="16" t="str">
        <f t="shared" ref="AB2:AB81" si="8">IF(AND($AG2=1,ISNUMBER($H2)),$J2+$H2,NA())</f>
        <v>#N/A</v>
      </c>
      <c r="AC2" s="16">
        <v>1.0</v>
      </c>
      <c r="AD2" s="4"/>
      <c r="AE2" s="4"/>
      <c r="AF2" s="17"/>
      <c r="AG2" s="4">
        <f t="array" ref="AG2">IFERROR(INDEX(Data!$AB$2:$AB$81,MATCH(A2,Data!$B$2:$B$81,0)),1)</f>
        <v>1</v>
      </c>
    </row>
    <row r="3">
      <c r="A3" s="4" t="s">
        <v>71</v>
      </c>
      <c r="B3" s="4" t="s">
        <v>72</v>
      </c>
      <c r="C3" s="8" t="s">
        <v>73</v>
      </c>
      <c r="D3" s="15">
        <v>45139.0</v>
      </c>
      <c r="E3" s="15">
        <v>45207.0</v>
      </c>
      <c r="F3" s="4"/>
      <c r="G3" s="4">
        <v>68.0</v>
      </c>
      <c r="H3" s="4"/>
      <c r="I3" s="4">
        <v>25.0</v>
      </c>
      <c r="J3" s="4">
        <v>210.0</v>
      </c>
      <c r="K3" s="4"/>
      <c r="L3" s="4"/>
      <c r="M3" s="4"/>
      <c r="N3" s="4"/>
      <c r="O3" s="4"/>
      <c r="P3" s="4" t="s">
        <v>66</v>
      </c>
      <c r="Q3" s="4" t="s">
        <v>72</v>
      </c>
      <c r="R3" s="4" t="s">
        <v>73</v>
      </c>
      <c r="S3" s="4"/>
      <c r="T3" s="4"/>
      <c r="U3" s="16">
        <f t="shared" si="1"/>
        <v>1</v>
      </c>
      <c r="V3" s="16">
        <f t="shared" si="2"/>
        <v>210</v>
      </c>
      <c r="W3" s="16">
        <f t="shared" si="3"/>
        <v>68</v>
      </c>
      <c r="X3" s="16" t="str">
        <f t="shared" si="4"/>
        <v>#N/A</v>
      </c>
      <c r="Y3" s="16">
        <f t="shared" si="5"/>
        <v>278</v>
      </c>
      <c r="Z3" s="16" t="str">
        <f t="shared" si="6"/>
        <v>#N/A</v>
      </c>
      <c r="AA3" s="16">
        <f t="shared" si="7"/>
        <v>278</v>
      </c>
      <c r="AB3" s="16" t="str">
        <f t="shared" si="8"/>
        <v>#N/A</v>
      </c>
      <c r="AC3" s="16">
        <v>2.0</v>
      </c>
      <c r="AD3" s="4"/>
      <c r="AE3" s="4"/>
      <c r="AF3" s="17"/>
      <c r="AG3" s="4">
        <f t="array" ref="AG3">IFERROR(INDEX(Data!$AB$2:$AB$81,MATCH(A3,Data!$B$2:$B$81,0)),1)</f>
        <v>1</v>
      </c>
    </row>
    <row r="4">
      <c r="A4" s="4" t="s">
        <v>76</v>
      </c>
      <c r="B4" s="4" t="s">
        <v>66</v>
      </c>
      <c r="C4" s="6" t="s">
        <v>77</v>
      </c>
      <c r="D4" s="15">
        <v>45103.0</v>
      </c>
      <c r="E4" s="15">
        <v>45238.0</v>
      </c>
      <c r="F4" s="4"/>
      <c r="G4" s="4">
        <v>135.0</v>
      </c>
      <c r="H4" s="4"/>
      <c r="I4" s="4">
        <v>10.0</v>
      </c>
      <c r="J4" s="4">
        <v>174.0</v>
      </c>
      <c r="K4" s="4"/>
      <c r="L4" s="4"/>
      <c r="M4" s="4"/>
      <c r="N4" s="4"/>
      <c r="O4" s="4"/>
      <c r="P4" s="4" t="s">
        <v>85</v>
      </c>
      <c r="Q4" s="4" t="s">
        <v>85</v>
      </c>
      <c r="R4" s="4" t="s">
        <v>77</v>
      </c>
      <c r="S4" s="4"/>
      <c r="T4" s="4"/>
      <c r="U4" s="16">
        <f t="shared" si="1"/>
        <v>1</v>
      </c>
      <c r="V4" s="16">
        <f t="shared" si="2"/>
        <v>174</v>
      </c>
      <c r="W4" s="16">
        <f t="shared" si="3"/>
        <v>135</v>
      </c>
      <c r="X4" s="16" t="str">
        <f t="shared" si="4"/>
        <v>#N/A</v>
      </c>
      <c r="Y4" s="16">
        <f t="shared" si="5"/>
        <v>309</v>
      </c>
      <c r="Z4" s="16" t="str">
        <f t="shared" si="6"/>
        <v>#N/A</v>
      </c>
      <c r="AA4" s="16">
        <f t="shared" si="7"/>
        <v>309</v>
      </c>
      <c r="AB4" s="16" t="str">
        <f t="shared" si="8"/>
        <v>#N/A</v>
      </c>
      <c r="AC4" s="16">
        <v>3.0</v>
      </c>
      <c r="AD4" s="4"/>
      <c r="AE4" s="4"/>
      <c r="AF4" s="17"/>
      <c r="AG4" s="4">
        <f t="array" ref="AG4">IFERROR(INDEX(Data!$AB$2:$AB$81,MATCH(A4,Data!$B$2:$B$81,0)),1)</f>
        <v>1</v>
      </c>
    </row>
    <row r="5">
      <c r="A5" s="4" t="s">
        <v>80</v>
      </c>
      <c r="B5" s="4" t="s">
        <v>72</v>
      </c>
      <c r="C5" s="6" t="s">
        <v>81</v>
      </c>
      <c r="D5" s="15">
        <v>45000.0</v>
      </c>
      <c r="E5" s="15">
        <v>45132.0</v>
      </c>
      <c r="F5" s="4"/>
      <c r="G5" s="4">
        <v>132.0</v>
      </c>
      <c r="H5" s="4"/>
      <c r="I5" s="4">
        <v>50.0</v>
      </c>
      <c r="J5" s="4">
        <v>71.0</v>
      </c>
      <c r="K5" s="4"/>
      <c r="L5" s="4"/>
      <c r="M5" s="4"/>
      <c r="N5" s="4"/>
      <c r="O5" s="4"/>
      <c r="P5" s="4" t="s">
        <v>72</v>
      </c>
      <c r="Q5" s="4" t="s">
        <v>88</v>
      </c>
      <c r="R5" s="4" t="s">
        <v>81</v>
      </c>
      <c r="S5" s="4"/>
      <c r="T5" s="4"/>
      <c r="U5" s="16">
        <f t="shared" si="1"/>
        <v>1</v>
      </c>
      <c r="V5" s="16">
        <f t="shared" si="2"/>
        <v>71</v>
      </c>
      <c r="W5" s="16">
        <f t="shared" si="3"/>
        <v>132</v>
      </c>
      <c r="X5" s="16" t="str">
        <f t="shared" si="4"/>
        <v>#N/A</v>
      </c>
      <c r="Y5" s="16">
        <f t="shared" si="5"/>
        <v>203</v>
      </c>
      <c r="Z5" s="16" t="str">
        <f t="shared" si="6"/>
        <v>#N/A</v>
      </c>
      <c r="AA5" s="16">
        <f t="shared" si="7"/>
        <v>203</v>
      </c>
      <c r="AB5" s="16" t="str">
        <f t="shared" si="8"/>
        <v>#N/A</v>
      </c>
      <c r="AC5" s="16">
        <v>4.0</v>
      </c>
      <c r="AD5" s="4"/>
      <c r="AE5" s="4"/>
      <c r="AF5" s="18"/>
      <c r="AG5" s="4">
        <f t="array" ref="AG5">IFERROR(INDEX(Data!$AB$2:$AB$81,MATCH(A5,Data!$B$2:$B$81,0)),1)</f>
        <v>1</v>
      </c>
    </row>
    <row r="6">
      <c r="A6" s="4" t="s">
        <v>84</v>
      </c>
      <c r="B6" s="4" t="s">
        <v>85</v>
      </c>
      <c r="C6" s="6" t="s">
        <v>67</v>
      </c>
      <c r="D6" s="15">
        <v>45099.0</v>
      </c>
      <c r="E6" s="15">
        <v>45206.0</v>
      </c>
      <c r="F6" s="4"/>
      <c r="G6" s="4">
        <v>107.0</v>
      </c>
      <c r="H6" s="4"/>
      <c r="I6" s="4">
        <v>80.0</v>
      </c>
      <c r="J6" s="4">
        <v>170.0</v>
      </c>
      <c r="K6" s="4"/>
      <c r="L6" s="4"/>
      <c r="M6" s="4"/>
      <c r="N6" s="4"/>
      <c r="O6" s="4"/>
      <c r="P6" s="4" t="s">
        <v>88</v>
      </c>
      <c r="Q6" s="4" t="s">
        <v>101</v>
      </c>
      <c r="R6" s="4" t="s">
        <v>92</v>
      </c>
      <c r="S6" s="4"/>
      <c r="T6" s="4"/>
      <c r="U6" s="16">
        <f t="shared" si="1"/>
        <v>1</v>
      </c>
      <c r="V6" s="16">
        <f t="shared" si="2"/>
        <v>170</v>
      </c>
      <c r="W6" s="16">
        <f t="shared" si="3"/>
        <v>107</v>
      </c>
      <c r="X6" s="16" t="str">
        <f t="shared" si="4"/>
        <v>#N/A</v>
      </c>
      <c r="Y6" s="16">
        <f t="shared" si="5"/>
        <v>277</v>
      </c>
      <c r="Z6" s="16" t="str">
        <f t="shared" si="6"/>
        <v>#N/A</v>
      </c>
      <c r="AA6" s="16">
        <f t="shared" si="7"/>
        <v>277</v>
      </c>
      <c r="AB6" s="16" t="str">
        <f t="shared" si="8"/>
        <v>#N/A</v>
      </c>
      <c r="AC6" s="16">
        <v>5.0</v>
      </c>
      <c r="AD6" s="4"/>
      <c r="AE6" s="10"/>
      <c r="AF6" s="4"/>
      <c r="AG6" s="4">
        <f t="array" ref="AG6">IFERROR(INDEX(Data!$AB$2:$AB$81,MATCH(A6,Data!$B$2:$B$81,0)),1)</f>
        <v>1</v>
      </c>
    </row>
    <row r="7">
      <c r="A7" s="4" t="s">
        <v>87</v>
      </c>
      <c r="B7" s="4" t="s">
        <v>88</v>
      </c>
      <c r="C7" s="6" t="s">
        <v>67</v>
      </c>
      <c r="D7" s="15">
        <v>45064.0</v>
      </c>
      <c r="E7" s="15">
        <v>45200.0</v>
      </c>
      <c r="F7" s="4"/>
      <c r="G7" s="4">
        <v>136.0</v>
      </c>
      <c r="H7" s="4"/>
      <c r="I7" s="4">
        <v>80.0</v>
      </c>
      <c r="J7" s="4">
        <v>135.0</v>
      </c>
      <c r="K7" s="4"/>
      <c r="L7" s="4"/>
      <c r="M7" s="4"/>
      <c r="N7" s="4"/>
      <c r="O7" s="4"/>
      <c r="P7" s="4"/>
      <c r="Q7" s="4"/>
      <c r="R7" s="4"/>
      <c r="S7" s="4"/>
      <c r="T7" s="4"/>
      <c r="U7" s="16">
        <f t="shared" si="1"/>
        <v>1</v>
      </c>
      <c r="V7" s="16">
        <f t="shared" si="2"/>
        <v>135</v>
      </c>
      <c r="W7" s="16">
        <f t="shared" si="3"/>
        <v>136</v>
      </c>
      <c r="X7" s="16" t="str">
        <f t="shared" si="4"/>
        <v>#N/A</v>
      </c>
      <c r="Y7" s="16">
        <f t="shared" si="5"/>
        <v>271</v>
      </c>
      <c r="Z7" s="16" t="str">
        <f t="shared" si="6"/>
        <v>#N/A</v>
      </c>
      <c r="AA7" s="16">
        <f t="shared" si="7"/>
        <v>271</v>
      </c>
      <c r="AB7" s="16" t="str">
        <f t="shared" si="8"/>
        <v>#N/A</v>
      </c>
      <c r="AC7" s="16">
        <v>6.0</v>
      </c>
      <c r="AD7" s="4"/>
      <c r="AE7" s="4"/>
      <c r="AF7" s="17"/>
      <c r="AG7" s="4">
        <f t="array" ref="AG7">IFERROR(INDEX(Data!$AB$2:$AB$81,MATCH(A7,Data!$B$2:$B$81,0)),1)</f>
        <v>1</v>
      </c>
    </row>
    <row r="8">
      <c r="A8" s="4" t="s">
        <v>91</v>
      </c>
      <c r="B8" s="4" t="s">
        <v>85</v>
      </c>
      <c r="C8" s="9" t="s">
        <v>92</v>
      </c>
      <c r="D8" s="15">
        <v>45190.0</v>
      </c>
      <c r="E8" s="15">
        <v>45260.0</v>
      </c>
      <c r="F8" s="15">
        <v>45263.0</v>
      </c>
      <c r="G8" s="4">
        <v>70.0</v>
      </c>
      <c r="H8" s="4">
        <v>73.0</v>
      </c>
      <c r="I8" s="4">
        <v>100.0</v>
      </c>
      <c r="J8" s="4">
        <v>261.0</v>
      </c>
      <c r="K8" s="4"/>
      <c r="L8" s="4"/>
      <c r="M8" s="4"/>
      <c r="N8" s="4"/>
      <c r="O8" s="4"/>
      <c r="P8" s="4"/>
      <c r="Q8" s="4"/>
      <c r="R8" s="4"/>
      <c r="S8" s="4"/>
      <c r="T8" s="4"/>
      <c r="U8" s="16">
        <f t="shared" si="1"/>
        <v>1</v>
      </c>
      <c r="V8" s="16">
        <f t="shared" si="2"/>
        <v>261</v>
      </c>
      <c r="W8" s="16">
        <f t="shared" si="3"/>
        <v>70</v>
      </c>
      <c r="X8" s="16">
        <f t="shared" si="4"/>
        <v>73</v>
      </c>
      <c r="Y8" s="16">
        <f t="shared" si="5"/>
        <v>331</v>
      </c>
      <c r="Z8" s="16">
        <f t="shared" si="6"/>
        <v>334</v>
      </c>
      <c r="AA8" s="16">
        <f t="shared" si="7"/>
        <v>331</v>
      </c>
      <c r="AB8" s="16">
        <f t="shared" si="8"/>
        <v>334</v>
      </c>
      <c r="AC8" s="16">
        <v>7.0</v>
      </c>
      <c r="AD8" s="4"/>
      <c r="AE8" s="4"/>
      <c r="AF8" s="17"/>
      <c r="AG8" s="4">
        <f t="array" ref="AG8">IFERROR(INDEX(Data!$AB$2:$AB$81,MATCH(A8,Data!$B$2:$B$81,0)),1)</f>
        <v>1</v>
      </c>
    </row>
    <row r="9">
      <c r="A9" s="4" t="s">
        <v>94</v>
      </c>
      <c r="B9" s="4" t="s">
        <v>88</v>
      </c>
      <c r="C9" s="6" t="s">
        <v>77</v>
      </c>
      <c r="D9" s="15">
        <v>45160.0</v>
      </c>
      <c r="E9" s="15">
        <v>45202.0</v>
      </c>
      <c r="F9" s="4"/>
      <c r="G9" s="4">
        <v>42.0</v>
      </c>
      <c r="H9" s="4"/>
      <c r="I9" s="4">
        <v>10.0</v>
      </c>
      <c r="J9" s="4">
        <v>231.0</v>
      </c>
      <c r="K9" s="4"/>
      <c r="L9" s="4"/>
      <c r="M9" s="4"/>
      <c r="N9" s="4"/>
      <c r="O9" s="4"/>
      <c r="P9" s="4"/>
      <c r="Q9" s="4"/>
      <c r="R9" s="4"/>
      <c r="S9" s="4"/>
      <c r="T9" s="4"/>
      <c r="U9" s="16">
        <f t="shared" si="1"/>
        <v>1</v>
      </c>
      <c r="V9" s="16">
        <f t="shared" si="2"/>
        <v>231</v>
      </c>
      <c r="W9" s="16">
        <f t="shared" si="3"/>
        <v>42</v>
      </c>
      <c r="X9" s="16" t="str">
        <f t="shared" si="4"/>
        <v>#N/A</v>
      </c>
      <c r="Y9" s="16">
        <f t="shared" si="5"/>
        <v>273</v>
      </c>
      <c r="Z9" s="16" t="str">
        <f t="shared" si="6"/>
        <v>#N/A</v>
      </c>
      <c r="AA9" s="16">
        <f t="shared" si="7"/>
        <v>273</v>
      </c>
      <c r="AB9" s="16" t="str">
        <f t="shared" si="8"/>
        <v>#N/A</v>
      </c>
      <c r="AC9" s="16">
        <v>8.0</v>
      </c>
      <c r="AD9" s="4"/>
      <c r="AE9" s="4"/>
      <c r="AF9" s="17"/>
      <c r="AG9" s="4">
        <f t="array" ref="AG9">IFERROR(INDEX(Data!$AB$2:$AB$81,MATCH(A9,Data!$B$2:$B$81,0)),1)</f>
        <v>1</v>
      </c>
    </row>
    <row r="10">
      <c r="A10" s="4" t="s">
        <v>97</v>
      </c>
      <c r="B10" s="4" t="s">
        <v>66</v>
      </c>
      <c r="C10" s="9" t="s">
        <v>92</v>
      </c>
      <c r="D10" s="15">
        <v>45050.0</v>
      </c>
      <c r="E10" s="15">
        <v>45175.0</v>
      </c>
      <c r="F10" s="15">
        <v>45177.0</v>
      </c>
      <c r="G10" s="4">
        <v>125.0</v>
      </c>
      <c r="H10" s="4">
        <v>127.0</v>
      </c>
      <c r="I10" s="4">
        <v>100.0</v>
      </c>
      <c r="J10" s="4">
        <v>121.0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16">
        <f t="shared" si="1"/>
        <v>1</v>
      </c>
      <c r="V10" s="16">
        <f t="shared" si="2"/>
        <v>121</v>
      </c>
      <c r="W10" s="16">
        <f t="shared" si="3"/>
        <v>125</v>
      </c>
      <c r="X10" s="16">
        <f t="shared" si="4"/>
        <v>127</v>
      </c>
      <c r="Y10" s="16">
        <f t="shared" si="5"/>
        <v>246</v>
      </c>
      <c r="Z10" s="16">
        <f t="shared" si="6"/>
        <v>248</v>
      </c>
      <c r="AA10" s="16">
        <f t="shared" si="7"/>
        <v>246</v>
      </c>
      <c r="AB10" s="16">
        <f t="shared" si="8"/>
        <v>248</v>
      </c>
      <c r="AC10" s="16">
        <v>9.0</v>
      </c>
      <c r="AD10" s="4"/>
      <c r="AE10" s="4"/>
      <c r="AF10" s="17"/>
      <c r="AG10" s="4">
        <f t="array" ref="AG10">IFERROR(INDEX(Data!$AB$2:$AB$81,MATCH(A10,Data!$B$2:$B$81,0)),1)</f>
        <v>1</v>
      </c>
    </row>
    <row r="11">
      <c r="A11" s="4" t="s">
        <v>100</v>
      </c>
      <c r="B11" s="4" t="s">
        <v>101</v>
      </c>
      <c r="C11" s="6" t="s">
        <v>77</v>
      </c>
      <c r="D11" s="15">
        <v>45124.0</v>
      </c>
      <c r="E11" s="15">
        <v>45166.0</v>
      </c>
      <c r="F11" s="4"/>
      <c r="G11" s="4">
        <v>42.0</v>
      </c>
      <c r="H11" s="4"/>
      <c r="I11" s="4">
        <v>10.0</v>
      </c>
      <c r="J11" s="4">
        <v>195.0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16">
        <f t="shared" si="1"/>
        <v>1</v>
      </c>
      <c r="V11" s="16">
        <f t="shared" si="2"/>
        <v>195</v>
      </c>
      <c r="W11" s="16">
        <f t="shared" si="3"/>
        <v>42</v>
      </c>
      <c r="X11" s="16" t="str">
        <f t="shared" si="4"/>
        <v>#N/A</v>
      </c>
      <c r="Y11" s="16">
        <f t="shared" si="5"/>
        <v>237</v>
      </c>
      <c r="Z11" s="16" t="str">
        <f t="shared" si="6"/>
        <v>#N/A</v>
      </c>
      <c r="AA11" s="16">
        <f t="shared" si="7"/>
        <v>237</v>
      </c>
      <c r="AB11" s="16" t="str">
        <f t="shared" si="8"/>
        <v>#N/A</v>
      </c>
      <c r="AC11" s="16">
        <v>10.0</v>
      </c>
      <c r="AD11" s="4"/>
      <c r="AE11" s="4"/>
      <c r="AF11" s="17"/>
      <c r="AG11" s="4">
        <f t="array" ref="AG11">IFERROR(INDEX(Data!$AB$2:$AB$81,MATCH(A11,Data!$B$2:$B$81,0)),1)</f>
        <v>1</v>
      </c>
    </row>
    <row r="12">
      <c r="A12" s="4" t="s">
        <v>103</v>
      </c>
      <c r="B12" s="4" t="s">
        <v>88</v>
      </c>
      <c r="C12" s="6" t="s">
        <v>81</v>
      </c>
      <c r="D12" s="15">
        <v>45189.0</v>
      </c>
      <c r="E12" s="15">
        <v>45224.0</v>
      </c>
      <c r="F12" s="4"/>
      <c r="G12" s="4">
        <v>35.0</v>
      </c>
      <c r="H12" s="4"/>
      <c r="I12" s="4">
        <v>50.0</v>
      </c>
      <c r="J12" s="4">
        <v>260.0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16">
        <f t="shared" si="1"/>
        <v>1</v>
      </c>
      <c r="V12" s="16">
        <f t="shared" si="2"/>
        <v>260</v>
      </c>
      <c r="W12" s="16">
        <f t="shared" si="3"/>
        <v>35</v>
      </c>
      <c r="X12" s="16" t="str">
        <f t="shared" si="4"/>
        <v>#N/A</v>
      </c>
      <c r="Y12" s="16">
        <f t="shared" si="5"/>
        <v>295</v>
      </c>
      <c r="Z12" s="16" t="str">
        <f t="shared" si="6"/>
        <v>#N/A</v>
      </c>
      <c r="AA12" s="16">
        <f t="shared" si="7"/>
        <v>295</v>
      </c>
      <c r="AB12" s="16" t="str">
        <f t="shared" si="8"/>
        <v>#N/A</v>
      </c>
      <c r="AC12" s="16">
        <v>11.0</v>
      </c>
      <c r="AD12" s="4"/>
      <c r="AE12" s="4"/>
      <c r="AF12" s="4"/>
      <c r="AG12" s="4">
        <f t="array" ref="AG12">IFERROR(INDEX(Data!$AB$2:$AB$81,MATCH(A12,Data!$B$2:$B$81,0)),1)</f>
        <v>1</v>
      </c>
    </row>
    <row r="13">
      <c r="A13" s="4" t="s">
        <v>105</v>
      </c>
      <c r="B13" s="4" t="s">
        <v>88</v>
      </c>
      <c r="C13" s="6" t="s">
        <v>67</v>
      </c>
      <c r="D13" s="15">
        <v>45143.0</v>
      </c>
      <c r="E13" s="15">
        <v>45269.0</v>
      </c>
      <c r="F13" s="4"/>
      <c r="G13" s="4">
        <v>126.0</v>
      </c>
      <c r="H13" s="4"/>
      <c r="I13" s="4">
        <v>80.0</v>
      </c>
      <c r="J13" s="4">
        <v>214.0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16">
        <f t="shared" si="1"/>
        <v>1</v>
      </c>
      <c r="V13" s="16">
        <f t="shared" si="2"/>
        <v>214</v>
      </c>
      <c r="W13" s="16">
        <f t="shared" si="3"/>
        <v>126</v>
      </c>
      <c r="X13" s="16" t="str">
        <f t="shared" si="4"/>
        <v>#N/A</v>
      </c>
      <c r="Y13" s="16">
        <f t="shared" si="5"/>
        <v>340</v>
      </c>
      <c r="Z13" s="16" t="str">
        <f t="shared" si="6"/>
        <v>#N/A</v>
      </c>
      <c r="AA13" s="16">
        <f t="shared" si="7"/>
        <v>340</v>
      </c>
      <c r="AB13" s="16" t="str">
        <f t="shared" si="8"/>
        <v>#N/A</v>
      </c>
      <c r="AC13" s="16">
        <v>12.0</v>
      </c>
      <c r="AD13" s="4"/>
      <c r="AE13" s="4"/>
      <c r="AF13" s="4"/>
      <c r="AG13" s="4">
        <f t="array" ref="AG13">IFERROR(INDEX(Data!$AB$2:$AB$81,MATCH(A13,Data!$B$2:$B$81,0)),1)</f>
        <v>1</v>
      </c>
    </row>
    <row r="14">
      <c r="A14" s="4" t="s">
        <v>107</v>
      </c>
      <c r="B14" s="4" t="s">
        <v>66</v>
      </c>
      <c r="C14" s="8" t="s">
        <v>73</v>
      </c>
      <c r="D14" s="15">
        <v>44979.0</v>
      </c>
      <c r="E14" s="15">
        <v>45010.0</v>
      </c>
      <c r="F14" s="4"/>
      <c r="G14" s="4">
        <v>31.0</v>
      </c>
      <c r="H14" s="4"/>
      <c r="I14" s="4">
        <v>25.0</v>
      </c>
      <c r="J14" s="4">
        <v>50.0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16">
        <f t="shared" si="1"/>
        <v>1</v>
      </c>
      <c r="V14" s="16">
        <f t="shared" si="2"/>
        <v>50</v>
      </c>
      <c r="W14" s="16">
        <f t="shared" si="3"/>
        <v>31</v>
      </c>
      <c r="X14" s="16" t="str">
        <f t="shared" si="4"/>
        <v>#N/A</v>
      </c>
      <c r="Y14" s="16">
        <f t="shared" si="5"/>
        <v>81</v>
      </c>
      <c r="Z14" s="16" t="str">
        <f t="shared" si="6"/>
        <v>#N/A</v>
      </c>
      <c r="AA14" s="16">
        <f t="shared" si="7"/>
        <v>81</v>
      </c>
      <c r="AB14" s="16" t="str">
        <f t="shared" si="8"/>
        <v>#N/A</v>
      </c>
      <c r="AC14" s="16">
        <v>13.0</v>
      </c>
      <c r="AD14" s="4"/>
      <c r="AE14" s="4"/>
      <c r="AF14" s="4"/>
      <c r="AG14" s="4">
        <f t="array" ref="AG14">IFERROR(INDEX(Data!$AB$2:$AB$81,MATCH(A14,Data!$B$2:$B$81,0)),1)</f>
        <v>1</v>
      </c>
    </row>
    <row r="15">
      <c r="A15" s="4" t="s">
        <v>109</v>
      </c>
      <c r="B15" s="4" t="s">
        <v>101</v>
      </c>
      <c r="C15" s="6" t="s">
        <v>77</v>
      </c>
      <c r="D15" s="15">
        <v>45099.0</v>
      </c>
      <c r="E15" s="15">
        <v>45199.0</v>
      </c>
      <c r="F15" s="4"/>
      <c r="G15" s="4">
        <v>100.0</v>
      </c>
      <c r="H15" s="4"/>
      <c r="I15" s="4">
        <v>10.0</v>
      </c>
      <c r="J15" s="4">
        <v>170.0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16">
        <f t="shared" si="1"/>
        <v>1</v>
      </c>
      <c r="V15" s="16">
        <f t="shared" si="2"/>
        <v>170</v>
      </c>
      <c r="W15" s="16">
        <f t="shared" si="3"/>
        <v>100</v>
      </c>
      <c r="X15" s="16" t="str">
        <f t="shared" si="4"/>
        <v>#N/A</v>
      </c>
      <c r="Y15" s="16">
        <f t="shared" si="5"/>
        <v>270</v>
      </c>
      <c r="Z15" s="16" t="str">
        <f t="shared" si="6"/>
        <v>#N/A</v>
      </c>
      <c r="AA15" s="16">
        <f t="shared" si="7"/>
        <v>270</v>
      </c>
      <c r="AB15" s="16" t="str">
        <f t="shared" si="8"/>
        <v>#N/A</v>
      </c>
      <c r="AC15" s="16">
        <v>14.0</v>
      </c>
      <c r="AD15" s="4"/>
      <c r="AE15" s="4"/>
      <c r="AF15" s="4"/>
      <c r="AG15" s="4">
        <f t="array" ref="AG15">IFERROR(INDEX(Data!$AB$2:$AB$81,MATCH(A15,Data!$B$2:$B$81,0)),1)</f>
        <v>1</v>
      </c>
    </row>
    <row r="16">
      <c r="A16" s="4" t="s">
        <v>111</v>
      </c>
      <c r="B16" s="4" t="s">
        <v>88</v>
      </c>
      <c r="C16" s="8" t="s">
        <v>73</v>
      </c>
      <c r="D16" s="15">
        <v>45234.0</v>
      </c>
      <c r="E16" s="15">
        <v>45367.0</v>
      </c>
      <c r="F16" s="4"/>
      <c r="G16" s="4">
        <v>133.0</v>
      </c>
      <c r="H16" s="4"/>
      <c r="I16" s="4">
        <v>25.0</v>
      </c>
      <c r="J16" s="4">
        <v>305.0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16">
        <f t="shared" si="1"/>
        <v>1</v>
      </c>
      <c r="V16" s="16">
        <f t="shared" si="2"/>
        <v>305</v>
      </c>
      <c r="W16" s="16">
        <f t="shared" si="3"/>
        <v>133</v>
      </c>
      <c r="X16" s="16" t="str">
        <f t="shared" si="4"/>
        <v>#N/A</v>
      </c>
      <c r="Y16" s="16">
        <f t="shared" si="5"/>
        <v>438</v>
      </c>
      <c r="Z16" s="16" t="str">
        <f t="shared" si="6"/>
        <v>#N/A</v>
      </c>
      <c r="AA16" s="16">
        <f t="shared" si="7"/>
        <v>438</v>
      </c>
      <c r="AB16" s="16" t="str">
        <f t="shared" si="8"/>
        <v>#N/A</v>
      </c>
      <c r="AC16" s="16">
        <v>15.0</v>
      </c>
      <c r="AD16" s="4"/>
      <c r="AE16" s="4"/>
      <c r="AF16" s="4"/>
      <c r="AG16" s="4">
        <f t="array" ref="AG16">IFERROR(INDEX(Data!$AB$2:$AB$81,MATCH(A16,Data!$B$2:$B$81,0)),1)</f>
        <v>1</v>
      </c>
    </row>
    <row r="17">
      <c r="A17" s="4" t="s">
        <v>113</v>
      </c>
      <c r="B17" s="4" t="s">
        <v>101</v>
      </c>
      <c r="C17" s="6" t="s">
        <v>67</v>
      </c>
      <c r="D17" s="15">
        <v>45125.0</v>
      </c>
      <c r="E17" s="15">
        <v>45164.0</v>
      </c>
      <c r="F17" s="4"/>
      <c r="G17" s="4">
        <v>39.0</v>
      </c>
      <c r="H17" s="4"/>
      <c r="I17" s="4">
        <v>80.0</v>
      </c>
      <c r="J17" s="4">
        <v>196.0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16">
        <f t="shared" si="1"/>
        <v>1</v>
      </c>
      <c r="V17" s="16">
        <f t="shared" si="2"/>
        <v>196</v>
      </c>
      <c r="W17" s="16">
        <f t="shared" si="3"/>
        <v>39</v>
      </c>
      <c r="X17" s="16" t="str">
        <f t="shared" si="4"/>
        <v>#N/A</v>
      </c>
      <c r="Y17" s="16">
        <f t="shared" si="5"/>
        <v>235</v>
      </c>
      <c r="Z17" s="16" t="str">
        <f t="shared" si="6"/>
        <v>#N/A</v>
      </c>
      <c r="AA17" s="16">
        <f t="shared" si="7"/>
        <v>235</v>
      </c>
      <c r="AB17" s="16" t="str">
        <f t="shared" si="8"/>
        <v>#N/A</v>
      </c>
      <c r="AC17" s="16">
        <v>16.0</v>
      </c>
      <c r="AD17" s="4"/>
      <c r="AE17" s="4"/>
      <c r="AF17" s="4"/>
      <c r="AG17" s="4">
        <f t="array" ref="AG17">IFERROR(INDEX(Data!$AB$2:$AB$81,MATCH(A17,Data!$B$2:$B$81,0)),1)</f>
        <v>1</v>
      </c>
    </row>
    <row r="18">
      <c r="A18" s="4" t="s">
        <v>115</v>
      </c>
      <c r="B18" s="4" t="s">
        <v>88</v>
      </c>
      <c r="C18" s="8" t="s">
        <v>73</v>
      </c>
      <c r="D18" s="15">
        <v>45186.0</v>
      </c>
      <c r="E18" s="15">
        <v>45292.0</v>
      </c>
      <c r="F18" s="4"/>
      <c r="G18" s="4">
        <v>106.0</v>
      </c>
      <c r="H18" s="4"/>
      <c r="I18" s="4">
        <v>25.0</v>
      </c>
      <c r="J18" s="4">
        <v>257.0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16">
        <f t="shared" si="1"/>
        <v>1</v>
      </c>
      <c r="V18" s="16">
        <f t="shared" si="2"/>
        <v>257</v>
      </c>
      <c r="W18" s="16">
        <f t="shared" si="3"/>
        <v>106</v>
      </c>
      <c r="X18" s="16" t="str">
        <f t="shared" si="4"/>
        <v>#N/A</v>
      </c>
      <c r="Y18" s="16">
        <f t="shared" si="5"/>
        <v>363</v>
      </c>
      <c r="Z18" s="16" t="str">
        <f t="shared" si="6"/>
        <v>#N/A</v>
      </c>
      <c r="AA18" s="16">
        <f t="shared" si="7"/>
        <v>363</v>
      </c>
      <c r="AB18" s="16" t="str">
        <f t="shared" si="8"/>
        <v>#N/A</v>
      </c>
      <c r="AC18" s="16">
        <v>17.0</v>
      </c>
      <c r="AD18" s="4"/>
      <c r="AE18" s="4"/>
      <c r="AF18" s="4"/>
      <c r="AG18" s="4">
        <f t="array" ref="AG18">IFERROR(INDEX(Data!$AB$2:$AB$81,MATCH(A18,Data!$B$2:$B$81,0)),1)</f>
        <v>1</v>
      </c>
    </row>
    <row r="19">
      <c r="A19" s="4" t="s">
        <v>117</v>
      </c>
      <c r="B19" s="4" t="s">
        <v>72</v>
      </c>
      <c r="C19" s="9" t="s">
        <v>92</v>
      </c>
      <c r="D19" s="15">
        <v>45213.0</v>
      </c>
      <c r="E19" s="15">
        <v>45289.0</v>
      </c>
      <c r="F19" s="15">
        <v>45315.0</v>
      </c>
      <c r="G19" s="4">
        <v>76.0</v>
      </c>
      <c r="H19" s="4">
        <v>102.0</v>
      </c>
      <c r="I19" s="4">
        <v>100.0</v>
      </c>
      <c r="J19" s="4">
        <v>284.0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16">
        <f t="shared" si="1"/>
        <v>1</v>
      </c>
      <c r="V19" s="16">
        <f t="shared" si="2"/>
        <v>284</v>
      </c>
      <c r="W19" s="16">
        <f t="shared" si="3"/>
        <v>76</v>
      </c>
      <c r="X19" s="16">
        <f t="shared" si="4"/>
        <v>102</v>
      </c>
      <c r="Y19" s="16">
        <f t="shared" si="5"/>
        <v>360</v>
      </c>
      <c r="Z19" s="16">
        <f t="shared" si="6"/>
        <v>386</v>
      </c>
      <c r="AA19" s="16">
        <f t="shared" si="7"/>
        <v>360</v>
      </c>
      <c r="AB19" s="16">
        <f t="shared" si="8"/>
        <v>386</v>
      </c>
      <c r="AC19" s="16">
        <v>18.0</v>
      </c>
      <c r="AD19" s="4"/>
      <c r="AE19" s="4"/>
      <c r="AF19" s="4"/>
      <c r="AG19" s="4">
        <f t="array" ref="AG19">IFERROR(INDEX(Data!$AB$2:$AB$81,MATCH(A19,Data!$B$2:$B$81,0)),1)</f>
        <v>1</v>
      </c>
    </row>
    <row r="20">
      <c r="A20" s="4" t="s">
        <v>119</v>
      </c>
      <c r="B20" s="4" t="s">
        <v>101</v>
      </c>
      <c r="C20" s="6" t="s">
        <v>67</v>
      </c>
      <c r="D20" s="15">
        <v>45077.0</v>
      </c>
      <c r="E20" s="15">
        <v>45225.0</v>
      </c>
      <c r="F20" s="4"/>
      <c r="G20" s="4">
        <v>148.0</v>
      </c>
      <c r="H20" s="4"/>
      <c r="I20" s="4">
        <v>80.0</v>
      </c>
      <c r="J20" s="4">
        <v>148.0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16">
        <f t="shared" si="1"/>
        <v>1</v>
      </c>
      <c r="V20" s="16">
        <f t="shared" si="2"/>
        <v>148</v>
      </c>
      <c r="W20" s="16">
        <f t="shared" si="3"/>
        <v>148</v>
      </c>
      <c r="X20" s="16" t="str">
        <f t="shared" si="4"/>
        <v>#N/A</v>
      </c>
      <c r="Y20" s="16">
        <f t="shared" si="5"/>
        <v>296</v>
      </c>
      <c r="Z20" s="16" t="str">
        <f t="shared" si="6"/>
        <v>#N/A</v>
      </c>
      <c r="AA20" s="16">
        <f t="shared" si="7"/>
        <v>296</v>
      </c>
      <c r="AB20" s="16" t="str">
        <f t="shared" si="8"/>
        <v>#N/A</v>
      </c>
      <c r="AC20" s="16">
        <v>19.0</v>
      </c>
      <c r="AD20" s="4"/>
      <c r="AE20" s="4"/>
      <c r="AF20" s="4"/>
      <c r="AG20" s="4">
        <f t="array" ref="AG20">IFERROR(INDEX(Data!$AB$2:$AB$81,MATCH(A20,Data!$B$2:$B$81,0)),1)</f>
        <v>1</v>
      </c>
    </row>
    <row r="21" ht="15.75" customHeight="1">
      <c r="A21" s="4" t="s">
        <v>121</v>
      </c>
      <c r="B21" s="4" t="s">
        <v>85</v>
      </c>
      <c r="C21" s="6" t="s">
        <v>81</v>
      </c>
      <c r="D21" s="15">
        <v>45198.0</v>
      </c>
      <c r="E21" s="15">
        <v>45304.0</v>
      </c>
      <c r="F21" s="4"/>
      <c r="G21" s="4">
        <v>106.0</v>
      </c>
      <c r="H21" s="4"/>
      <c r="I21" s="4">
        <v>50.0</v>
      </c>
      <c r="J21" s="4">
        <v>269.0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16">
        <f t="shared" si="1"/>
        <v>1</v>
      </c>
      <c r="V21" s="16">
        <f t="shared" si="2"/>
        <v>269</v>
      </c>
      <c r="W21" s="16">
        <f t="shared" si="3"/>
        <v>106</v>
      </c>
      <c r="X21" s="16" t="str">
        <f t="shared" si="4"/>
        <v>#N/A</v>
      </c>
      <c r="Y21" s="16">
        <f t="shared" si="5"/>
        <v>375</v>
      </c>
      <c r="Z21" s="16" t="str">
        <f t="shared" si="6"/>
        <v>#N/A</v>
      </c>
      <c r="AA21" s="16">
        <f t="shared" si="7"/>
        <v>375</v>
      </c>
      <c r="AB21" s="16" t="str">
        <f t="shared" si="8"/>
        <v>#N/A</v>
      </c>
      <c r="AC21" s="16">
        <v>20.0</v>
      </c>
      <c r="AD21" s="4"/>
      <c r="AE21" s="4"/>
      <c r="AF21" s="4"/>
      <c r="AG21" s="4">
        <f t="array" ref="AG21">IFERROR(INDEX(Data!$AB$2:$AB$81,MATCH(A21,Data!$B$2:$B$81,0)),1)</f>
        <v>1</v>
      </c>
    </row>
    <row r="22" ht="15.75" customHeight="1">
      <c r="A22" s="4" t="s">
        <v>123</v>
      </c>
      <c r="B22" s="4" t="s">
        <v>101</v>
      </c>
      <c r="C22" s="9" t="s">
        <v>92</v>
      </c>
      <c r="D22" s="15">
        <v>45088.0</v>
      </c>
      <c r="E22" s="15">
        <v>45164.0</v>
      </c>
      <c r="F22" s="15">
        <v>45200.0</v>
      </c>
      <c r="G22" s="4">
        <v>76.0</v>
      </c>
      <c r="H22" s="4">
        <v>112.0</v>
      </c>
      <c r="I22" s="4">
        <v>100.0</v>
      </c>
      <c r="J22" s="4">
        <v>159.0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16">
        <f t="shared" si="1"/>
        <v>1</v>
      </c>
      <c r="V22" s="16">
        <f t="shared" si="2"/>
        <v>159</v>
      </c>
      <c r="W22" s="16">
        <f t="shared" si="3"/>
        <v>76</v>
      </c>
      <c r="X22" s="16">
        <f t="shared" si="4"/>
        <v>112</v>
      </c>
      <c r="Y22" s="16">
        <f t="shared" si="5"/>
        <v>235</v>
      </c>
      <c r="Z22" s="16">
        <f t="shared" si="6"/>
        <v>271</v>
      </c>
      <c r="AA22" s="16">
        <f t="shared" si="7"/>
        <v>235</v>
      </c>
      <c r="AB22" s="16">
        <f t="shared" si="8"/>
        <v>271</v>
      </c>
      <c r="AC22" s="16">
        <v>21.0</v>
      </c>
      <c r="AD22" s="4"/>
      <c r="AE22" s="4"/>
      <c r="AF22" s="4"/>
      <c r="AG22" s="4">
        <f t="array" ref="AG22">IFERROR(INDEX(Data!$AB$2:$AB$81,MATCH(A22,Data!$B$2:$B$81,0)),1)</f>
        <v>1</v>
      </c>
    </row>
    <row r="23" ht="15.75" customHeight="1">
      <c r="A23" s="4" t="s">
        <v>126</v>
      </c>
      <c r="B23" s="4" t="s">
        <v>101</v>
      </c>
      <c r="C23" s="6" t="s">
        <v>81</v>
      </c>
      <c r="D23" s="15">
        <v>45008.0</v>
      </c>
      <c r="E23" s="15">
        <v>45163.0</v>
      </c>
      <c r="F23" s="4"/>
      <c r="G23" s="4">
        <v>155.0</v>
      </c>
      <c r="H23" s="4"/>
      <c r="I23" s="4">
        <v>50.0</v>
      </c>
      <c r="J23" s="4">
        <v>79.0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16">
        <f t="shared" si="1"/>
        <v>1</v>
      </c>
      <c r="V23" s="16">
        <f t="shared" si="2"/>
        <v>79</v>
      </c>
      <c r="W23" s="16">
        <f t="shared" si="3"/>
        <v>155</v>
      </c>
      <c r="X23" s="16" t="str">
        <f t="shared" si="4"/>
        <v>#N/A</v>
      </c>
      <c r="Y23" s="16">
        <f t="shared" si="5"/>
        <v>234</v>
      </c>
      <c r="Z23" s="16" t="str">
        <f t="shared" si="6"/>
        <v>#N/A</v>
      </c>
      <c r="AA23" s="16">
        <f t="shared" si="7"/>
        <v>234</v>
      </c>
      <c r="AB23" s="16" t="str">
        <f t="shared" si="8"/>
        <v>#N/A</v>
      </c>
      <c r="AC23" s="16">
        <v>22.0</v>
      </c>
      <c r="AD23" s="4"/>
      <c r="AE23" s="4"/>
      <c r="AF23" s="4"/>
      <c r="AG23" s="4">
        <f t="array" ref="AG23">IFERROR(INDEX(Data!$AB$2:$AB$81,MATCH(A23,Data!$B$2:$B$81,0)),1)</f>
        <v>1</v>
      </c>
    </row>
    <row r="24" ht="15.75" customHeight="1">
      <c r="A24" s="4" t="s">
        <v>128</v>
      </c>
      <c r="B24" s="4" t="s">
        <v>85</v>
      </c>
      <c r="C24" s="9" t="s">
        <v>92</v>
      </c>
      <c r="D24" s="15">
        <v>44929.0</v>
      </c>
      <c r="E24" s="15">
        <v>44968.0</v>
      </c>
      <c r="F24" s="15">
        <v>44968.0</v>
      </c>
      <c r="G24" s="4">
        <v>39.0</v>
      </c>
      <c r="H24" s="4">
        <v>39.0</v>
      </c>
      <c r="I24" s="4">
        <v>100.0</v>
      </c>
      <c r="J24" s="4">
        <v>0.0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16">
        <f t="shared" si="1"/>
        <v>1</v>
      </c>
      <c r="V24" s="16">
        <f t="shared" si="2"/>
        <v>0</v>
      </c>
      <c r="W24" s="16">
        <f t="shared" si="3"/>
        <v>39</v>
      </c>
      <c r="X24" s="16">
        <f t="shared" si="4"/>
        <v>39</v>
      </c>
      <c r="Y24" s="16">
        <f t="shared" si="5"/>
        <v>39</v>
      </c>
      <c r="Z24" s="16">
        <f t="shared" si="6"/>
        <v>39</v>
      </c>
      <c r="AA24" s="16">
        <f t="shared" si="7"/>
        <v>39</v>
      </c>
      <c r="AB24" s="16">
        <f t="shared" si="8"/>
        <v>39</v>
      </c>
      <c r="AC24" s="16">
        <v>23.0</v>
      </c>
      <c r="AD24" s="4"/>
      <c r="AE24" s="4"/>
      <c r="AF24" s="4"/>
      <c r="AG24" s="4">
        <f t="array" ref="AG24">IFERROR(INDEX(Data!$AB$2:$AB$81,MATCH(A24,Data!$B$2:$B$81,0)),1)</f>
        <v>1</v>
      </c>
    </row>
    <row r="25" ht="15.75" customHeight="1">
      <c r="A25" s="4" t="s">
        <v>130</v>
      </c>
      <c r="B25" s="4" t="s">
        <v>72</v>
      </c>
      <c r="C25" s="6" t="s">
        <v>81</v>
      </c>
      <c r="D25" s="15">
        <v>45086.0</v>
      </c>
      <c r="E25" s="15">
        <v>45149.0</v>
      </c>
      <c r="F25" s="4"/>
      <c r="G25" s="4">
        <v>63.0</v>
      </c>
      <c r="H25" s="4"/>
      <c r="I25" s="4">
        <v>50.0</v>
      </c>
      <c r="J25" s="4">
        <v>157.0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16">
        <f t="shared" si="1"/>
        <v>1</v>
      </c>
      <c r="V25" s="16">
        <f t="shared" si="2"/>
        <v>157</v>
      </c>
      <c r="W25" s="16">
        <f t="shared" si="3"/>
        <v>63</v>
      </c>
      <c r="X25" s="16" t="str">
        <f t="shared" si="4"/>
        <v>#N/A</v>
      </c>
      <c r="Y25" s="16">
        <f t="shared" si="5"/>
        <v>220</v>
      </c>
      <c r="Z25" s="16" t="str">
        <f t="shared" si="6"/>
        <v>#N/A</v>
      </c>
      <c r="AA25" s="16">
        <f t="shared" si="7"/>
        <v>220</v>
      </c>
      <c r="AB25" s="16" t="str">
        <f t="shared" si="8"/>
        <v>#N/A</v>
      </c>
      <c r="AC25" s="16">
        <v>24.0</v>
      </c>
      <c r="AD25" s="4"/>
      <c r="AE25" s="4"/>
      <c r="AF25" s="4"/>
      <c r="AG25" s="4">
        <f t="array" ref="AG25">IFERROR(INDEX(Data!$AB$2:$AB$81,MATCH(A25,Data!$B$2:$B$81,0)),1)</f>
        <v>1</v>
      </c>
    </row>
    <row r="26" ht="15.75" customHeight="1">
      <c r="A26" s="4" t="s">
        <v>132</v>
      </c>
      <c r="B26" s="4" t="s">
        <v>72</v>
      </c>
      <c r="C26" s="6" t="s">
        <v>77</v>
      </c>
      <c r="D26" s="15">
        <v>45160.0</v>
      </c>
      <c r="E26" s="15">
        <v>45323.0</v>
      </c>
      <c r="F26" s="4"/>
      <c r="G26" s="4">
        <v>163.0</v>
      </c>
      <c r="H26" s="4"/>
      <c r="I26" s="4">
        <v>10.0</v>
      </c>
      <c r="J26" s="4">
        <v>231.0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16">
        <f t="shared" si="1"/>
        <v>1</v>
      </c>
      <c r="V26" s="16">
        <f t="shared" si="2"/>
        <v>231</v>
      </c>
      <c r="W26" s="16">
        <f t="shared" si="3"/>
        <v>163</v>
      </c>
      <c r="X26" s="16" t="str">
        <f t="shared" si="4"/>
        <v>#N/A</v>
      </c>
      <c r="Y26" s="16">
        <f t="shared" si="5"/>
        <v>394</v>
      </c>
      <c r="Z26" s="16" t="str">
        <f t="shared" si="6"/>
        <v>#N/A</v>
      </c>
      <c r="AA26" s="16">
        <f t="shared" si="7"/>
        <v>394</v>
      </c>
      <c r="AB26" s="16" t="str">
        <f t="shared" si="8"/>
        <v>#N/A</v>
      </c>
      <c r="AC26" s="16">
        <v>25.0</v>
      </c>
      <c r="AD26" s="4"/>
      <c r="AE26" s="4"/>
      <c r="AF26" s="4"/>
      <c r="AG26" s="4">
        <f t="array" ref="AG26">IFERROR(INDEX(Data!$AB$2:$AB$81,MATCH(A26,Data!$B$2:$B$81,0)),1)</f>
        <v>1</v>
      </c>
    </row>
    <row r="27" ht="15.75" customHeight="1">
      <c r="A27" s="4" t="s">
        <v>134</v>
      </c>
      <c r="B27" s="4" t="s">
        <v>85</v>
      </c>
      <c r="C27" s="6" t="s">
        <v>67</v>
      </c>
      <c r="D27" s="15">
        <v>45133.0</v>
      </c>
      <c r="E27" s="15">
        <v>45167.0</v>
      </c>
      <c r="F27" s="4"/>
      <c r="G27" s="4">
        <v>34.0</v>
      </c>
      <c r="H27" s="4"/>
      <c r="I27" s="4">
        <v>80.0</v>
      </c>
      <c r="J27" s="4">
        <v>204.0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16">
        <f t="shared" si="1"/>
        <v>1</v>
      </c>
      <c r="V27" s="16">
        <f t="shared" si="2"/>
        <v>204</v>
      </c>
      <c r="W27" s="16">
        <f t="shared" si="3"/>
        <v>34</v>
      </c>
      <c r="X27" s="16" t="str">
        <f t="shared" si="4"/>
        <v>#N/A</v>
      </c>
      <c r="Y27" s="16">
        <f t="shared" si="5"/>
        <v>238</v>
      </c>
      <c r="Z27" s="16" t="str">
        <f t="shared" si="6"/>
        <v>#N/A</v>
      </c>
      <c r="AA27" s="16">
        <f t="shared" si="7"/>
        <v>238</v>
      </c>
      <c r="AB27" s="16" t="str">
        <f t="shared" si="8"/>
        <v>#N/A</v>
      </c>
      <c r="AC27" s="16">
        <v>26.0</v>
      </c>
      <c r="AD27" s="4"/>
      <c r="AE27" s="4"/>
      <c r="AF27" s="4"/>
      <c r="AG27" s="4">
        <f t="array" ref="AG27">IFERROR(INDEX(Data!$AB$2:$AB$81,MATCH(A27,Data!$B$2:$B$81,0)),1)</f>
        <v>1</v>
      </c>
    </row>
    <row r="28" ht="15.75" customHeight="1">
      <c r="A28" s="4" t="s">
        <v>136</v>
      </c>
      <c r="B28" s="4" t="s">
        <v>66</v>
      </c>
      <c r="C28" s="8" t="s">
        <v>73</v>
      </c>
      <c r="D28" s="15">
        <v>45114.0</v>
      </c>
      <c r="E28" s="15">
        <v>45153.0</v>
      </c>
      <c r="F28" s="4"/>
      <c r="G28" s="4">
        <v>39.0</v>
      </c>
      <c r="H28" s="4"/>
      <c r="I28" s="4">
        <v>25.0</v>
      </c>
      <c r="J28" s="4">
        <v>185.0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16">
        <f t="shared" si="1"/>
        <v>1</v>
      </c>
      <c r="V28" s="16">
        <f t="shared" si="2"/>
        <v>185</v>
      </c>
      <c r="W28" s="16">
        <f t="shared" si="3"/>
        <v>39</v>
      </c>
      <c r="X28" s="16" t="str">
        <f t="shared" si="4"/>
        <v>#N/A</v>
      </c>
      <c r="Y28" s="16">
        <f t="shared" si="5"/>
        <v>224</v>
      </c>
      <c r="Z28" s="16" t="str">
        <f t="shared" si="6"/>
        <v>#N/A</v>
      </c>
      <c r="AA28" s="16">
        <f t="shared" si="7"/>
        <v>224</v>
      </c>
      <c r="AB28" s="16" t="str">
        <f t="shared" si="8"/>
        <v>#N/A</v>
      </c>
      <c r="AC28" s="16">
        <v>27.0</v>
      </c>
      <c r="AD28" s="4"/>
      <c r="AE28" s="4"/>
      <c r="AF28" s="4"/>
      <c r="AG28" s="4">
        <f t="array" ref="AG28">IFERROR(INDEX(Data!$AB$2:$AB$81,MATCH(A28,Data!$B$2:$B$81,0)),1)</f>
        <v>1</v>
      </c>
    </row>
    <row r="29" ht="15.75" customHeight="1">
      <c r="A29" s="4" t="s">
        <v>138</v>
      </c>
      <c r="B29" s="4" t="s">
        <v>66</v>
      </c>
      <c r="C29" s="6" t="s">
        <v>77</v>
      </c>
      <c r="D29" s="15">
        <v>44951.0</v>
      </c>
      <c r="E29" s="15">
        <v>45010.0</v>
      </c>
      <c r="F29" s="4"/>
      <c r="G29" s="4">
        <v>59.0</v>
      </c>
      <c r="H29" s="4"/>
      <c r="I29" s="4">
        <v>10.0</v>
      </c>
      <c r="J29" s="4">
        <v>22.0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16">
        <f t="shared" si="1"/>
        <v>1</v>
      </c>
      <c r="V29" s="16">
        <f t="shared" si="2"/>
        <v>22</v>
      </c>
      <c r="W29" s="16">
        <f t="shared" si="3"/>
        <v>59</v>
      </c>
      <c r="X29" s="16" t="str">
        <f t="shared" si="4"/>
        <v>#N/A</v>
      </c>
      <c r="Y29" s="16">
        <f t="shared" si="5"/>
        <v>81</v>
      </c>
      <c r="Z29" s="16" t="str">
        <f t="shared" si="6"/>
        <v>#N/A</v>
      </c>
      <c r="AA29" s="16">
        <f t="shared" si="7"/>
        <v>81</v>
      </c>
      <c r="AB29" s="16" t="str">
        <f t="shared" si="8"/>
        <v>#N/A</v>
      </c>
      <c r="AC29" s="16">
        <v>28.0</v>
      </c>
      <c r="AD29" s="4"/>
      <c r="AE29" s="4"/>
      <c r="AF29" s="4"/>
      <c r="AG29" s="4">
        <f t="array" ref="AG29">IFERROR(INDEX(Data!$AB$2:$AB$81,MATCH(A29,Data!$B$2:$B$81,0)),1)</f>
        <v>1</v>
      </c>
    </row>
    <row r="30" ht="15.75" customHeight="1">
      <c r="A30" s="4" t="s">
        <v>140</v>
      </c>
      <c r="B30" s="4" t="s">
        <v>85</v>
      </c>
      <c r="C30" s="6" t="s">
        <v>81</v>
      </c>
      <c r="D30" s="15">
        <v>45081.0</v>
      </c>
      <c r="E30" s="15">
        <v>45218.0</v>
      </c>
      <c r="F30" s="4"/>
      <c r="G30" s="4">
        <v>137.0</v>
      </c>
      <c r="H30" s="4"/>
      <c r="I30" s="4">
        <v>50.0</v>
      </c>
      <c r="J30" s="4">
        <v>152.0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16">
        <f t="shared" si="1"/>
        <v>1</v>
      </c>
      <c r="V30" s="16">
        <f t="shared" si="2"/>
        <v>152</v>
      </c>
      <c r="W30" s="16">
        <f t="shared" si="3"/>
        <v>137</v>
      </c>
      <c r="X30" s="16" t="str">
        <f t="shared" si="4"/>
        <v>#N/A</v>
      </c>
      <c r="Y30" s="16">
        <f t="shared" si="5"/>
        <v>289</v>
      </c>
      <c r="Z30" s="16" t="str">
        <f t="shared" si="6"/>
        <v>#N/A</v>
      </c>
      <c r="AA30" s="16">
        <f t="shared" si="7"/>
        <v>289</v>
      </c>
      <c r="AB30" s="16" t="str">
        <f t="shared" si="8"/>
        <v>#N/A</v>
      </c>
      <c r="AC30" s="16">
        <v>29.0</v>
      </c>
      <c r="AD30" s="4"/>
      <c r="AE30" s="4"/>
      <c r="AF30" s="4"/>
      <c r="AG30" s="4">
        <f t="array" ref="AG30">IFERROR(INDEX(Data!$AB$2:$AB$81,MATCH(A30,Data!$B$2:$B$81,0)),1)</f>
        <v>1</v>
      </c>
    </row>
    <row r="31" ht="15.75" customHeight="1">
      <c r="A31" s="4" t="s">
        <v>142</v>
      </c>
      <c r="B31" s="4" t="s">
        <v>85</v>
      </c>
      <c r="C31" s="6" t="s">
        <v>77</v>
      </c>
      <c r="D31" s="15">
        <v>44985.0</v>
      </c>
      <c r="E31" s="15">
        <v>45042.0</v>
      </c>
      <c r="F31" s="4"/>
      <c r="G31" s="4">
        <v>57.0</v>
      </c>
      <c r="H31" s="4"/>
      <c r="I31" s="4">
        <v>10.0</v>
      </c>
      <c r="J31" s="4">
        <v>56.0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16">
        <f t="shared" si="1"/>
        <v>1</v>
      </c>
      <c r="V31" s="16">
        <f t="shared" si="2"/>
        <v>56</v>
      </c>
      <c r="W31" s="16">
        <f t="shared" si="3"/>
        <v>57</v>
      </c>
      <c r="X31" s="16" t="str">
        <f t="shared" si="4"/>
        <v>#N/A</v>
      </c>
      <c r="Y31" s="16">
        <f t="shared" si="5"/>
        <v>113</v>
      </c>
      <c r="Z31" s="16" t="str">
        <f t="shared" si="6"/>
        <v>#N/A</v>
      </c>
      <c r="AA31" s="16">
        <f t="shared" si="7"/>
        <v>113</v>
      </c>
      <c r="AB31" s="16" t="str">
        <f t="shared" si="8"/>
        <v>#N/A</v>
      </c>
      <c r="AC31" s="16">
        <v>30.0</v>
      </c>
      <c r="AD31" s="4"/>
      <c r="AE31" s="4"/>
      <c r="AF31" s="4"/>
      <c r="AG31" s="4">
        <f t="array" ref="AG31">IFERROR(INDEX(Data!$AB$2:$AB$81,MATCH(A31,Data!$B$2:$B$81,0)),1)</f>
        <v>1</v>
      </c>
    </row>
    <row r="32" ht="15.75" customHeight="1">
      <c r="A32" s="4" t="s">
        <v>144</v>
      </c>
      <c r="B32" s="4" t="s">
        <v>101</v>
      </c>
      <c r="C32" s="9" t="s">
        <v>92</v>
      </c>
      <c r="D32" s="15">
        <v>44947.0</v>
      </c>
      <c r="E32" s="15">
        <v>45117.0</v>
      </c>
      <c r="F32" s="15">
        <v>45115.0</v>
      </c>
      <c r="G32" s="4">
        <v>170.0</v>
      </c>
      <c r="H32" s="4">
        <v>168.0</v>
      </c>
      <c r="I32" s="4">
        <v>100.0</v>
      </c>
      <c r="J32" s="4">
        <v>18.0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16">
        <f t="shared" si="1"/>
        <v>1</v>
      </c>
      <c r="V32" s="16">
        <f t="shared" si="2"/>
        <v>18</v>
      </c>
      <c r="W32" s="16">
        <f t="shared" si="3"/>
        <v>170</v>
      </c>
      <c r="X32" s="16">
        <f t="shared" si="4"/>
        <v>168</v>
      </c>
      <c r="Y32" s="16">
        <f t="shared" si="5"/>
        <v>188</v>
      </c>
      <c r="Z32" s="16">
        <f t="shared" si="6"/>
        <v>186</v>
      </c>
      <c r="AA32" s="16">
        <f t="shared" si="7"/>
        <v>188</v>
      </c>
      <c r="AB32" s="16">
        <f t="shared" si="8"/>
        <v>186</v>
      </c>
      <c r="AC32" s="16">
        <v>31.0</v>
      </c>
      <c r="AD32" s="4"/>
      <c r="AE32" s="4"/>
      <c r="AF32" s="4"/>
      <c r="AG32" s="4">
        <f t="array" ref="AG32">IFERROR(INDEX(Data!$AB$2:$AB$81,MATCH(A32,Data!$B$2:$B$81,0)),1)</f>
        <v>1</v>
      </c>
    </row>
    <row r="33" ht="15.75" customHeight="1">
      <c r="A33" s="4" t="s">
        <v>146</v>
      </c>
      <c r="B33" s="4" t="s">
        <v>66</v>
      </c>
      <c r="C33" s="9" t="s">
        <v>92</v>
      </c>
      <c r="D33" s="15">
        <v>45188.0</v>
      </c>
      <c r="E33" s="15">
        <v>45237.0</v>
      </c>
      <c r="F33" s="15">
        <v>45248.0</v>
      </c>
      <c r="G33" s="4">
        <v>49.0</v>
      </c>
      <c r="H33" s="4">
        <v>60.0</v>
      </c>
      <c r="I33" s="4">
        <v>100.0</v>
      </c>
      <c r="J33" s="4">
        <v>259.0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16">
        <f t="shared" si="1"/>
        <v>1</v>
      </c>
      <c r="V33" s="16">
        <f t="shared" si="2"/>
        <v>259</v>
      </c>
      <c r="W33" s="16">
        <f t="shared" si="3"/>
        <v>49</v>
      </c>
      <c r="X33" s="16">
        <f t="shared" si="4"/>
        <v>60</v>
      </c>
      <c r="Y33" s="16">
        <f t="shared" si="5"/>
        <v>308</v>
      </c>
      <c r="Z33" s="16">
        <f t="shared" si="6"/>
        <v>319</v>
      </c>
      <c r="AA33" s="16">
        <f t="shared" si="7"/>
        <v>308</v>
      </c>
      <c r="AB33" s="16">
        <f t="shared" si="8"/>
        <v>319</v>
      </c>
      <c r="AC33" s="16">
        <v>32.0</v>
      </c>
      <c r="AD33" s="4"/>
      <c r="AE33" s="4"/>
      <c r="AF33" s="4"/>
      <c r="AG33" s="4">
        <f t="array" ref="AG33">IFERROR(INDEX(Data!$AB$2:$AB$81,MATCH(A33,Data!$B$2:$B$81,0)),1)</f>
        <v>1</v>
      </c>
    </row>
    <row r="34" ht="15.75" customHeight="1">
      <c r="A34" s="4" t="s">
        <v>148</v>
      </c>
      <c r="B34" s="4" t="s">
        <v>72</v>
      </c>
      <c r="C34" s="6" t="s">
        <v>81</v>
      </c>
      <c r="D34" s="15">
        <v>45111.0</v>
      </c>
      <c r="E34" s="15">
        <v>45221.0</v>
      </c>
      <c r="F34" s="4"/>
      <c r="G34" s="4">
        <v>110.0</v>
      </c>
      <c r="H34" s="4"/>
      <c r="I34" s="4">
        <v>50.0</v>
      </c>
      <c r="J34" s="4">
        <v>182.0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16">
        <f t="shared" si="1"/>
        <v>1</v>
      </c>
      <c r="V34" s="16">
        <f t="shared" si="2"/>
        <v>182</v>
      </c>
      <c r="W34" s="16">
        <f t="shared" si="3"/>
        <v>110</v>
      </c>
      <c r="X34" s="16" t="str">
        <f t="shared" si="4"/>
        <v>#N/A</v>
      </c>
      <c r="Y34" s="16">
        <f t="shared" si="5"/>
        <v>292</v>
      </c>
      <c r="Z34" s="16" t="str">
        <f t="shared" si="6"/>
        <v>#N/A</v>
      </c>
      <c r="AA34" s="16">
        <f t="shared" si="7"/>
        <v>292</v>
      </c>
      <c r="AB34" s="16" t="str">
        <f t="shared" si="8"/>
        <v>#N/A</v>
      </c>
      <c r="AC34" s="16">
        <v>33.0</v>
      </c>
      <c r="AD34" s="4"/>
      <c r="AE34" s="4"/>
      <c r="AF34" s="4"/>
      <c r="AG34" s="4">
        <f t="array" ref="AG34">IFERROR(INDEX(Data!$AB$2:$AB$81,MATCH(A34,Data!$B$2:$B$81,0)),1)</f>
        <v>1</v>
      </c>
    </row>
    <row r="35" ht="15.75" customHeight="1">
      <c r="A35" s="4" t="s">
        <v>150</v>
      </c>
      <c r="B35" s="4" t="s">
        <v>88</v>
      </c>
      <c r="C35" s="6" t="s">
        <v>81</v>
      </c>
      <c r="D35" s="15">
        <v>45151.0</v>
      </c>
      <c r="E35" s="15">
        <v>45249.0</v>
      </c>
      <c r="F35" s="4"/>
      <c r="G35" s="4">
        <v>98.0</v>
      </c>
      <c r="H35" s="4"/>
      <c r="I35" s="4">
        <v>50.0</v>
      </c>
      <c r="J35" s="4">
        <v>222.0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16">
        <f t="shared" si="1"/>
        <v>1</v>
      </c>
      <c r="V35" s="16">
        <f t="shared" si="2"/>
        <v>222</v>
      </c>
      <c r="W35" s="16">
        <f t="shared" si="3"/>
        <v>98</v>
      </c>
      <c r="X35" s="16" t="str">
        <f t="shared" si="4"/>
        <v>#N/A</v>
      </c>
      <c r="Y35" s="16">
        <f t="shared" si="5"/>
        <v>320</v>
      </c>
      <c r="Z35" s="16" t="str">
        <f t="shared" si="6"/>
        <v>#N/A</v>
      </c>
      <c r="AA35" s="16">
        <f t="shared" si="7"/>
        <v>320</v>
      </c>
      <c r="AB35" s="16" t="str">
        <f t="shared" si="8"/>
        <v>#N/A</v>
      </c>
      <c r="AC35" s="16">
        <v>34.0</v>
      </c>
      <c r="AD35" s="4"/>
      <c r="AE35" s="4"/>
      <c r="AF35" s="4"/>
      <c r="AG35" s="4">
        <f t="array" ref="AG35">IFERROR(INDEX(Data!$AB$2:$AB$81,MATCH(A35,Data!$B$2:$B$81,0)),1)</f>
        <v>1</v>
      </c>
    </row>
    <row r="36" ht="15.75" customHeight="1">
      <c r="A36" s="4" t="s">
        <v>152</v>
      </c>
      <c r="B36" s="4" t="s">
        <v>85</v>
      </c>
      <c r="C36" s="9" t="s">
        <v>92</v>
      </c>
      <c r="D36" s="15">
        <v>45124.0</v>
      </c>
      <c r="E36" s="15">
        <v>45276.0</v>
      </c>
      <c r="F36" s="15">
        <v>45322.0</v>
      </c>
      <c r="G36" s="4">
        <v>152.0</v>
      </c>
      <c r="H36" s="4">
        <v>198.0</v>
      </c>
      <c r="I36" s="4">
        <v>100.0</v>
      </c>
      <c r="J36" s="4">
        <v>195.0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16">
        <f t="shared" si="1"/>
        <v>1</v>
      </c>
      <c r="V36" s="16">
        <f t="shared" si="2"/>
        <v>195</v>
      </c>
      <c r="W36" s="16">
        <f t="shared" si="3"/>
        <v>152</v>
      </c>
      <c r="X36" s="16">
        <f t="shared" si="4"/>
        <v>198</v>
      </c>
      <c r="Y36" s="16">
        <f t="shared" si="5"/>
        <v>347</v>
      </c>
      <c r="Z36" s="16">
        <f t="shared" si="6"/>
        <v>393</v>
      </c>
      <c r="AA36" s="16">
        <f t="shared" si="7"/>
        <v>347</v>
      </c>
      <c r="AB36" s="16">
        <f t="shared" si="8"/>
        <v>393</v>
      </c>
      <c r="AC36" s="16">
        <v>35.0</v>
      </c>
      <c r="AD36" s="4"/>
      <c r="AE36" s="4"/>
      <c r="AF36" s="4"/>
      <c r="AG36" s="4">
        <f t="array" ref="AG36">IFERROR(INDEX(Data!$AB$2:$AB$81,MATCH(A36,Data!$B$2:$B$81,0)),1)</f>
        <v>1</v>
      </c>
    </row>
    <row r="37" ht="15.75" customHeight="1">
      <c r="A37" s="4" t="s">
        <v>154</v>
      </c>
      <c r="B37" s="4" t="s">
        <v>66</v>
      </c>
      <c r="C37" s="9" t="s">
        <v>92</v>
      </c>
      <c r="D37" s="15">
        <v>45239.0</v>
      </c>
      <c r="E37" s="15">
        <v>45366.0</v>
      </c>
      <c r="F37" s="15">
        <v>45410.0</v>
      </c>
      <c r="G37" s="4">
        <v>127.0</v>
      </c>
      <c r="H37" s="4">
        <v>171.0</v>
      </c>
      <c r="I37" s="4">
        <v>100.0</v>
      </c>
      <c r="J37" s="4">
        <v>310.0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16">
        <f t="shared" si="1"/>
        <v>1</v>
      </c>
      <c r="V37" s="16">
        <f t="shared" si="2"/>
        <v>310</v>
      </c>
      <c r="W37" s="16">
        <f t="shared" si="3"/>
        <v>127</v>
      </c>
      <c r="X37" s="16">
        <f t="shared" si="4"/>
        <v>171</v>
      </c>
      <c r="Y37" s="16">
        <f t="shared" si="5"/>
        <v>437</v>
      </c>
      <c r="Z37" s="16">
        <f t="shared" si="6"/>
        <v>481</v>
      </c>
      <c r="AA37" s="16">
        <f t="shared" si="7"/>
        <v>437</v>
      </c>
      <c r="AB37" s="16">
        <f t="shared" si="8"/>
        <v>481</v>
      </c>
      <c r="AC37" s="16">
        <v>36.0</v>
      </c>
      <c r="AD37" s="4"/>
      <c r="AE37" s="4"/>
      <c r="AF37" s="4"/>
      <c r="AG37" s="4">
        <f t="array" ref="AG37">IFERROR(INDEX(Data!$AB$2:$AB$81,MATCH(A37,Data!$B$2:$B$81,0)),1)</f>
        <v>1</v>
      </c>
    </row>
    <row r="38" ht="15.75" customHeight="1">
      <c r="A38" s="4" t="s">
        <v>156</v>
      </c>
      <c r="B38" s="4" t="s">
        <v>72</v>
      </c>
      <c r="C38" s="9" t="s">
        <v>92</v>
      </c>
      <c r="D38" s="15">
        <v>44959.0</v>
      </c>
      <c r="E38" s="15">
        <v>45055.0</v>
      </c>
      <c r="F38" s="15">
        <v>45050.0</v>
      </c>
      <c r="G38" s="4">
        <v>96.0</v>
      </c>
      <c r="H38" s="4">
        <v>91.0</v>
      </c>
      <c r="I38" s="4">
        <v>100.0</v>
      </c>
      <c r="J38" s="4">
        <v>30.0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16">
        <f t="shared" si="1"/>
        <v>1</v>
      </c>
      <c r="V38" s="16">
        <f t="shared" si="2"/>
        <v>30</v>
      </c>
      <c r="W38" s="16">
        <f t="shared" si="3"/>
        <v>96</v>
      </c>
      <c r="X38" s="16">
        <f t="shared" si="4"/>
        <v>91</v>
      </c>
      <c r="Y38" s="16">
        <f t="shared" si="5"/>
        <v>126</v>
      </c>
      <c r="Z38" s="16">
        <f t="shared" si="6"/>
        <v>121</v>
      </c>
      <c r="AA38" s="16">
        <f t="shared" si="7"/>
        <v>126</v>
      </c>
      <c r="AB38" s="16">
        <f t="shared" si="8"/>
        <v>121</v>
      </c>
      <c r="AC38" s="16">
        <v>37.0</v>
      </c>
      <c r="AD38" s="4"/>
      <c r="AE38" s="4"/>
      <c r="AF38" s="4"/>
      <c r="AG38" s="4">
        <f t="array" ref="AG38">IFERROR(INDEX(Data!$AB$2:$AB$81,MATCH(A38,Data!$B$2:$B$81,0)),1)</f>
        <v>1</v>
      </c>
    </row>
    <row r="39" ht="15.75" customHeight="1">
      <c r="A39" s="4" t="s">
        <v>158</v>
      </c>
      <c r="B39" s="4" t="s">
        <v>101</v>
      </c>
      <c r="C39" s="8" t="s">
        <v>73</v>
      </c>
      <c r="D39" s="15">
        <v>45265.0</v>
      </c>
      <c r="E39" s="15">
        <v>45358.0</v>
      </c>
      <c r="F39" s="4"/>
      <c r="G39" s="4">
        <v>93.0</v>
      </c>
      <c r="H39" s="4"/>
      <c r="I39" s="4">
        <v>25.0</v>
      </c>
      <c r="J39" s="4">
        <v>336.0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16">
        <f t="shared" si="1"/>
        <v>1</v>
      </c>
      <c r="V39" s="16">
        <f t="shared" si="2"/>
        <v>336</v>
      </c>
      <c r="W39" s="16">
        <f t="shared" si="3"/>
        <v>93</v>
      </c>
      <c r="X39" s="16" t="str">
        <f t="shared" si="4"/>
        <v>#N/A</v>
      </c>
      <c r="Y39" s="16">
        <f t="shared" si="5"/>
        <v>429</v>
      </c>
      <c r="Z39" s="16" t="str">
        <f t="shared" si="6"/>
        <v>#N/A</v>
      </c>
      <c r="AA39" s="16">
        <f t="shared" si="7"/>
        <v>429</v>
      </c>
      <c r="AB39" s="16" t="str">
        <f t="shared" si="8"/>
        <v>#N/A</v>
      </c>
      <c r="AC39" s="16">
        <v>38.0</v>
      </c>
      <c r="AD39" s="4"/>
      <c r="AE39" s="4"/>
      <c r="AF39" s="4"/>
      <c r="AG39" s="4">
        <f t="array" ref="AG39">IFERROR(INDEX(Data!$AB$2:$AB$81,MATCH(A39,Data!$B$2:$B$81,0)),1)</f>
        <v>1</v>
      </c>
    </row>
    <row r="40" ht="15.75" customHeight="1">
      <c r="A40" s="4" t="s">
        <v>160</v>
      </c>
      <c r="B40" s="4" t="s">
        <v>66</v>
      </c>
      <c r="C40" s="8" t="s">
        <v>73</v>
      </c>
      <c r="D40" s="15">
        <v>45256.0</v>
      </c>
      <c r="E40" s="15">
        <v>45326.0</v>
      </c>
      <c r="F40" s="4"/>
      <c r="G40" s="4">
        <v>70.0</v>
      </c>
      <c r="H40" s="4"/>
      <c r="I40" s="4">
        <v>25.0</v>
      </c>
      <c r="J40" s="4">
        <v>327.0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16">
        <f t="shared" si="1"/>
        <v>1</v>
      </c>
      <c r="V40" s="16">
        <f t="shared" si="2"/>
        <v>327</v>
      </c>
      <c r="W40" s="16">
        <f t="shared" si="3"/>
        <v>70</v>
      </c>
      <c r="X40" s="16" t="str">
        <f t="shared" si="4"/>
        <v>#N/A</v>
      </c>
      <c r="Y40" s="16">
        <f t="shared" si="5"/>
        <v>397</v>
      </c>
      <c r="Z40" s="16" t="str">
        <f t="shared" si="6"/>
        <v>#N/A</v>
      </c>
      <c r="AA40" s="16">
        <f t="shared" si="7"/>
        <v>397</v>
      </c>
      <c r="AB40" s="16" t="str">
        <f t="shared" si="8"/>
        <v>#N/A</v>
      </c>
      <c r="AC40" s="16">
        <v>39.0</v>
      </c>
      <c r="AD40" s="4"/>
      <c r="AE40" s="4"/>
      <c r="AF40" s="4"/>
      <c r="AG40" s="4">
        <f t="array" ref="AG40">IFERROR(INDEX(Data!$AB$2:$AB$81,MATCH(A40,Data!$B$2:$B$81,0)),1)</f>
        <v>1</v>
      </c>
    </row>
    <row r="41" ht="15.75" customHeight="1">
      <c r="A41" s="4" t="s">
        <v>162</v>
      </c>
      <c r="B41" s="4" t="s">
        <v>85</v>
      </c>
      <c r="C41" s="6" t="s">
        <v>67</v>
      </c>
      <c r="D41" s="15">
        <v>45069.0</v>
      </c>
      <c r="E41" s="15">
        <v>45111.0</v>
      </c>
      <c r="F41" s="4"/>
      <c r="G41" s="4">
        <v>42.0</v>
      </c>
      <c r="H41" s="4"/>
      <c r="I41" s="4">
        <v>80.0</v>
      </c>
      <c r="J41" s="4">
        <v>140.0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16">
        <f t="shared" si="1"/>
        <v>1</v>
      </c>
      <c r="V41" s="16">
        <f t="shared" si="2"/>
        <v>140</v>
      </c>
      <c r="W41" s="16">
        <f t="shared" si="3"/>
        <v>42</v>
      </c>
      <c r="X41" s="16" t="str">
        <f t="shared" si="4"/>
        <v>#N/A</v>
      </c>
      <c r="Y41" s="16">
        <f t="shared" si="5"/>
        <v>182</v>
      </c>
      <c r="Z41" s="16" t="str">
        <f t="shared" si="6"/>
        <v>#N/A</v>
      </c>
      <c r="AA41" s="16">
        <f t="shared" si="7"/>
        <v>182</v>
      </c>
      <c r="AB41" s="16" t="str">
        <f t="shared" si="8"/>
        <v>#N/A</v>
      </c>
      <c r="AC41" s="16">
        <v>40.0</v>
      </c>
      <c r="AD41" s="4"/>
      <c r="AE41" s="4"/>
      <c r="AF41" s="4"/>
      <c r="AG41" s="4">
        <f t="array" ref="AG41">IFERROR(INDEX(Data!$AB$2:$AB$81,MATCH(A41,Data!$B$2:$B$81,0)),1)</f>
        <v>1</v>
      </c>
    </row>
    <row r="42" ht="15.75" customHeight="1">
      <c r="A42" s="4" t="s">
        <v>164</v>
      </c>
      <c r="B42" s="4" t="s">
        <v>88</v>
      </c>
      <c r="C42" s="6" t="s">
        <v>77</v>
      </c>
      <c r="D42" s="15">
        <v>45220.0</v>
      </c>
      <c r="E42" s="15">
        <v>45364.0</v>
      </c>
      <c r="F42" s="4"/>
      <c r="G42" s="4">
        <v>144.0</v>
      </c>
      <c r="H42" s="4"/>
      <c r="I42" s="4">
        <v>10.0</v>
      </c>
      <c r="J42" s="4">
        <v>291.0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16">
        <f t="shared" si="1"/>
        <v>1</v>
      </c>
      <c r="V42" s="16">
        <f t="shared" si="2"/>
        <v>291</v>
      </c>
      <c r="W42" s="16">
        <f t="shared" si="3"/>
        <v>144</v>
      </c>
      <c r="X42" s="16" t="str">
        <f t="shared" si="4"/>
        <v>#N/A</v>
      </c>
      <c r="Y42" s="16">
        <f t="shared" si="5"/>
        <v>435</v>
      </c>
      <c r="Z42" s="16" t="str">
        <f t="shared" si="6"/>
        <v>#N/A</v>
      </c>
      <c r="AA42" s="16">
        <f t="shared" si="7"/>
        <v>435</v>
      </c>
      <c r="AB42" s="16" t="str">
        <f t="shared" si="8"/>
        <v>#N/A</v>
      </c>
      <c r="AC42" s="16">
        <v>41.0</v>
      </c>
      <c r="AD42" s="4"/>
      <c r="AE42" s="4"/>
      <c r="AF42" s="4"/>
      <c r="AG42" s="4">
        <f t="array" ref="AG42">IFERROR(INDEX(Data!$AB$2:$AB$81,MATCH(A42,Data!$B$2:$B$81,0)),1)</f>
        <v>1</v>
      </c>
    </row>
    <row r="43" ht="15.75" customHeight="1">
      <c r="A43" s="4" t="s">
        <v>166</v>
      </c>
      <c r="B43" s="4" t="s">
        <v>85</v>
      </c>
      <c r="C43" s="6" t="s">
        <v>77</v>
      </c>
      <c r="D43" s="15">
        <v>45138.0</v>
      </c>
      <c r="E43" s="15">
        <v>45177.0</v>
      </c>
      <c r="F43" s="4"/>
      <c r="G43" s="4">
        <v>39.0</v>
      </c>
      <c r="H43" s="4"/>
      <c r="I43" s="4">
        <v>10.0</v>
      </c>
      <c r="J43" s="4">
        <v>209.0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16">
        <f t="shared" si="1"/>
        <v>1</v>
      </c>
      <c r="V43" s="16">
        <f t="shared" si="2"/>
        <v>209</v>
      </c>
      <c r="W43" s="16">
        <f t="shared" si="3"/>
        <v>39</v>
      </c>
      <c r="X43" s="16" t="str">
        <f t="shared" si="4"/>
        <v>#N/A</v>
      </c>
      <c r="Y43" s="16">
        <f t="shared" si="5"/>
        <v>248</v>
      </c>
      <c r="Z43" s="16" t="str">
        <f t="shared" si="6"/>
        <v>#N/A</v>
      </c>
      <c r="AA43" s="16">
        <f t="shared" si="7"/>
        <v>248</v>
      </c>
      <c r="AB43" s="16" t="str">
        <f t="shared" si="8"/>
        <v>#N/A</v>
      </c>
      <c r="AC43" s="16">
        <v>42.0</v>
      </c>
      <c r="AD43" s="4"/>
      <c r="AE43" s="4"/>
      <c r="AF43" s="4"/>
      <c r="AG43" s="4">
        <f t="array" ref="AG43">IFERROR(INDEX(Data!$AB$2:$AB$81,MATCH(A43,Data!$B$2:$B$81,0)),1)</f>
        <v>1</v>
      </c>
    </row>
    <row r="44" ht="15.75" customHeight="1">
      <c r="A44" s="4" t="s">
        <v>168</v>
      </c>
      <c r="B44" s="4" t="s">
        <v>66</v>
      </c>
      <c r="C44" s="8" t="s">
        <v>73</v>
      </c>
      <c r="D44" s="15">
        <v>45101.0</v>
      </c>
      <c r="E44" s="15">
        <v>45224.0</v>
      </c>
      <c r="F44" s="4"/>
      <c r="G44" s="4">
        <v>123.0</v>
      </c>
      <c r="H44" s="4"/>
      <c r="I44" s="4">
        <v>25.0</v>
      </c>
      <c r="J44" s="4">
        <v>172.0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16">
        <f t="shared" si="1"/>
        <v>1</v>
      </c>
      <c r="V44" s="16">
        <f t="shared" si="2"/>
        <v>172</v>
      </c>
      <c r="W44" s="16">
        <f t="shared" si="3"/>
        <v>123</v>
      </c>
      <c r="X44" s="16" t="str">
        <f t="shared" si="4"/>
        <v>#N/A</v>
      </c>
      <c r="Y44" s="16">
        <f t="shared" si="5"/>
        <v>295</v>
      </c>
      <c r="Z44" s="16" t="str">
        <f t="shared" si="6"/>
        <v>#N/A</v>
      </c>
      <c r="AA44" s="16">
        <f t="shared" si="7"/>
        <v>295</v>
      </c>
      <c r="AB44" s="16" t="str">
        <f t="shared" si="8"/>
        <v>#N/A</v>
      </c>
      <c r="AC44" s="16">
        <v>43.0</v>
      </c>
      <c r="AD44" s="4"/>
      <c r="AE44" s="4"/>
      <c r="AF44" s="4"/>
      <c r="AG44" s="4">
        <f t="array" ref="AG44">IFERROR(INDEX(Data!$AB$2:$AB$81,MATCH(A44,Data!$B$2:$B$81,0)),1)</f>
        <v>1</v>
      </c>
    </row>
    <row r="45" ht="15.75" customHeight="1">
      <c r="A45" s="4" t="s">
        <v>170</v>
      </c>
      <c r="B45" s="4" t="s">
        <v>101</v>
      </c>
      <c r="C45" s="9" t="s">
        <v>92</v>
      </c>
      <c r="D45" s="15">
        <v>45264.0</v>
      </c>
      <c r="E45" s="15">
        <v>45350.0</v>
      </c>
      <c r="F45" s="15">
        <v>45350.0</v>
      </c>
      <c r="G45" s="4">
        <v>86.0</v>
      </c>
      <c r="H45" s="4">
        <v>86.0</v>
      </c>
      <c r="I45" s="4">
        <v>100.0</v>
      </c>
      <c r="J45" s="4">
        <v>335.0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16">
        <f t="shared" si="1"/>
        <v>1</v>
      </c>
      <c r="V45" s="16">
        <f t="shared" si="2"/>
        <v>335</v>
      </c>
      <c r="W45" s="16">
        <f t="shared" si="3"/>
        <v>86</v>
      </c>
      <c r="X45" s="16">
        <f t="shared" si="4"/>
        <v>86</v>
      </c>
      <c r="Y45" s="16">
        <f t="shared" si="5"/>
        <v>421</v>
      </c>
      <c r="Z45" s="16">
        <f t="shared" si="6"/>
        <v>421</v>
      </c>
      <c r="AA45" s="16">
        <f t="shared" si="7"/>
        <v>421</v>
      </c>
      <c r="AB45" s="16">
        <f t="shared" si="8"/>
        <v>421</v>
      </c>
      <c r="AC45" s="16">
        <v>44.0</v>
      </c>
      <c r="AD45" s="4"/>
      <c r="AE45" s="4"/>
      <c r="AF45" s="4"/>
      <c r="AG45" s="4">
        <f t="array" ref="AG45">IFERROR(INDEX(Data!$AB$2:$AB$81,MATCH(A45,Data!$B$2:$B$81,0)),1)</f>
        <v>1</v>
      </c>
    </row>
    <row r="46" ht="15.75" customHeight="1">
      <c r="A46" s="4" t="s">
        <v>172</v>
      </c>
      <c r="B46" s="4" t="s">
        <v>85</v>
      </c>
      <c r="C46" s="6" t="s">
        <v>81</v>
      </c>
      <c r="D46" s="15">
        <v>45057.0</v>
      </c>
      <c r="E46" s="15">
        <v>45137.0</v>
      </c>
      <c r="F46" s="4"/>
      <c r="G46" s="4">
        <v>80.0</v>
      </c>
      <c r="H46" s="4"/>
      <c r="I46" s="4">
        <v>50.0</v>
      </c>
      <c r="J46" s="4">
        <v>128.0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16">
        <f t="shared" si="1"/>
        <v>1</v>
      </c>
      <c r="V46" s="16">
        <f t="shared" si="2"/>
        <v>128</v>
      </c>
      <c r="W46" s="16">
        <f t="shared" si="3"/>
        <v>80</v>
      </c>
      <c r="X46" s="16" t="str">
        <f t="shared" si="4"/>
        <v>#N/A</v>
      </c>
      <c r="Y46" s="16">
        <f t="shared" si="5"/>
        <v>208</v>
      </c>
      <c r="Z46" s="16" t="str">
        <f t="shared" si="6"/>
        <v>#N/A</v>
      </c>
      <c r="AA46" s="16">
        <f t="shared" si="7"/>
        <v>208</v>
      </c>
      <c r="AB46" s="16" t="str">
        <f t="shared" si="8"/>
        <v>#N/A</v>
      </c>
      <c r="AC46" s="16">
        <v>45.0</v>
      </c>
      <c r="AD46" s="4"/>
      <c r="AE46" s="4"/>
      <c r="AF46" s="4"/>
      <c r="AG46" s="4">
        <f t="array" ref="AG46">IFERROR(INDEX(Data!$AB$2:$AB$81,MATCH(A46,Data!$B$2:$B$81,0)),1)</f>
        <v>1</v>
      </c>
    </row>
    <row r="47" ht="15.75" customHeight="1">
      <c r="A47" s="4" t="s">
        <v>174</v>
      </c>
      <c r="B47" s="4" t="s">
        <v>88</v>
      </c>
      <c r="C47" s="6" t="s">
        <v>67</v>
      </c>
      <c r="D47" s="15">
        <v>44950.0</v>
      </c>
      <c r="E47" s="15">
        <v>45130.0</v>
      </c>
      <c r="F47" s="4"/>
      <c r="G47" s="4">
        <v>180.0</v>
      </c>
      <c r="H47" s="4"/>
      <c r="I47" s="4">
        <v>80.0</v>
      </c>
      <c r="J47" s="4">
        <v>21.0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16">
        <f t="shared" si="1"/>
        <v>1</v>
      </c>
      <c r="V47" s="16">
        <f t="shared" si="2"/>
        <v>21</v>
      </c>
      <c r="W47" s="16">
        <f t="shared" si="3"/>
        <v>180</v>
      </c>
      <c r="X47" s="16" t="str">
        <f t="shared" si="4"/>
        <v>#N/A</v>
      </c>
      <c r="Y47" s="16">
        <f t="shared" si="5"/>
        <v>201</v>
      </c>
      <c r="Z47" s="16" t="str">
        <f t="shared" si="6"/>
        <v>#N/A</v>
      </c>
      <c r="AA47" s="16">
        <f t="shared" si="7"/>
        <v>201</v>
      </c>
      <c r="AB47" s="16" t="str">
        <f t="shared" si="8"/>
        <v>#N/A</v>
      </c>
      <c r="AC47" s="16">
        <v>46.0</v>
      </c>
      <c r="AD47" s="4"/>
      <c r="AE47" s="4"/>
      <c r="AF47" s="4"/>
      <c r="AG47" s="4">
        <f t="array" ref="AG47">IFERROR(INDEX(Data!$AB$2:$AB$81,MATCH(A47,Data!$B$2:$B$81,0)),1)</f>
        <v>1</v>
      </c>
    </row>
    <row r="48" ht="15.75" customHeight="1">
      <c r="A48" s="4" t="s">
        <v>176</v>
      </c>
      <c r="B48" s="4" t="s">
        <v>85</v>
      </c>
      <c r="C48" s="6" t="s">
        <v>77</v>
      </c>
      <c r="D48" s="15">
        <v>45148.0</v>
      </c>
      <c r="E48" s="15">
        <v>45327.0</v>
      </c>
      <c r="F48" s="4"/>
      <c r="G48" s="4">
        <v>179.0</v>
      </c>
      <c r="H48" s="4"/>
      <c r="I48" s="4">
        <v>10.0</v>
      </c>
      <c r="J48" s="4">
        <v>219.0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16">
        <f t="shared" si="1"/>
        <v>1</v>
      </c>
      <c r="V48" s="16">
        <f t="shared" si="2"/>
        <v>219</v>
      </c>
      <c r="W48" s="16">
        <f t="shared" si="3"/>
        <v>179</v>
      </c>
      <c r="X48" s="16" t="str">
        <f t="shared" si="4"/>
        <v>#N/A</v>
      </c>
      <c r="Y48" s="16">
        <f t="shared" si="5"/>
        <v>398</v>
      </c>
      <c r="Z48" s="16" t="str">
        <f t="shared" si="6"/>
        <v>#N/A</v>
      </c>
      <c r="AA48" s="16">
        <f t="shared" si="7"/>
        <v>398</v>
      </c>
      <c r="AB48" s="16" t="str">
        <f t="shared" si="8"/>
        <v>#N/A</v>
      </c>
      <c r="AC48" s="16">
        <v>47.0</v>
      </c>
      <c r="AD48" s="4"/>
      <c r="AE48" s="4"/>
      <c r="AF48" s="4"/>
      <c r="AG48" s="4">
        <f t="array" ref="AG48">IFERROR(INDEX(Data!$AB$2:$AB$81,MATCH(A48,Data!$B$2:$B$81,0)),1)</f>
        <v>1</v>
      </c>
    </row>
    <row r="49" ht="15.75" customHeight="1">
      <c r="A49" s="4" t="s">
        <v>178</v>
      </c>
      <c r="B49" s="4" t="s">
        <v>88</v>
      </c>
      <c r="C49" s="6" t="s">
        <v>77</v>
      </c>
      <c r="D49" s="15">
        <v>45237.0</v>
      </c>
      <c r="E49" s="15">
        <v>45349.0</v>
      </c>
      <c r="F49" s="4"/>
      <c r="G49" s="4">
        <v>112.0</v>
      </c>
      <c r="H49" s="4"/>
      <c r="I49" s="4">
        <v>10.0</v>
      </c>
      <c r="J49" s="4">
        <v>308.0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16">
        <f t="shared" si="1"/>
        <v>1</v>
      </c>
      <c r="V49" s="16">
        <f t="shared" si="2"/>
        <v>308</v>
      </c>
      <c r="W49" s="16">
        <f t="shared" si="3"/>
        <v>112</v>
      </c>
      <c r="X49" s="16" t="str">
        <f t="shared" si="4"/>
        <v>#N/A</v>
      </c>
      <c r="Y49" s="16">
        <f t="shared" si="5"/>
        <v>420</v>
      </c>
      <c r="Z49" s="16" t="str">
        <f t="shared" si="6"/>
        <v>#N/A</v>
      </c>
      <c r="AA49" s="16">
        <f t="shared" si="7"/>
        <v>420</v>
      </c>
      <c r="AB49" s="16" t="str">
        <f t="shared" si="8"/>
        <v>#N/A</v>
      </c>
      <c r="AC49" s="16">
        <v>48.0</v>
      </c>
      <c r="AD49" s="4"/>
      <c r="AE49" s="4"/>
      <c r="AF49" s="4"/>
      <c r="AG49" s="4">
        <f t="array" ref="AG49">IFERROR(INDEX(Data!$AB$2:$AB$81,MATCH(A49,Data!$B$2:$B$81,0)),1)</f>
        <v>1</v>
      </c>
    </row>
    <row r="50" ht="15.75" customHeight="1">
      <c r="A50" s="4" t="s">
        <v>180</v>
      </c>
      <c r="B50" s="4" t="s">
        <v>101</v>
      </c>
      <c r="C50" s="9" t="s">
        <v>92</v>
      </c>
      <c r="D50" s="15">
        <v>45158.0</v>
      </c>
      <c r="E50" s="15">
        <v>45222.0</v>
      </c>
      <c r="F50" s="15">
        <v>45226.0</v>
      </c>
      <c r="G50" s="4">
        <v>64.0</v>
      </c>
      <c r="H50" s="4">
        <v>68.0</v>
      </c>
      <c r="I50" s="4">
        <v>100.0</v>
      </c>
      <c r="J50" s="4">
        <v>229.0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16">
        <f t="shared" si="1"/>
        <v>1</v>
      </c>
      <c r="V50" s="16">
        <f t="shared" si="2"/>
        <v>229</v>
      </c>
      <c r="W50" s="16">
        <f t="shared" si="3"/>
        <v>64</v>
      </c>
      <c r="X50" s="16">
        <f t="shared" si="4"/>
        <v>68</v>
      </c>
      <c r="Y50" s="16">
        <f t="shared" si="5"/>
        <v>293</v>
      </c>
      <c r="Z50" s="16">
        <f t="shared" si="6"/>
        <v>297</v>
      </c>
      <c r="AA50" s="16">
        <f t="shared" si="7"/>
        <v>293</v>
      </c>
      <c r="AB50" s="16">
        <f t="shared" si="8"/>
        <v>297</v>
      </c>
      <c r="AC50" s="16">
        <v>49.0</v>
      </c>
      <c r="AD50" s="4"/>
      <c r="AE50" s="4"/>
      <c r="AF50" s="4"/>
      <c r="AG50" s="4">
        <f t="array" ref="AG50">IFERROR(INDEX(Data!$AB$2:$AB$81,MATCH(A50,Data!$B$2:$B$81,0)),1)</f>
        <v>1</v>
      </c>
    </row>
    <row r="51" ht="15.75" customHeight="1">
      <c r="A51" s="4" t="s">
        <v>182</v>
      </c>
      <c r="B51" s="4" t="s">
        <v>66</v>
      </c>
      <c r="C51" s="6" t="s">
        <v>81</v>
      </c>
      <c r="D51" s="15">
        <v>45246.0</v>
      </c>
      <c r="E51" s="15">
        <v>45350.0</v>
      </c>
      <c r="F51" s="4"/>
      <c r="G51" s="4">
        <v>104.0</v>
      </c>
      <c r="H51" s="4"/>
      <c r="I51" s="4">
        <v>50.0</v>
      </c>
      <c r="J51" s="4">
        <v>317.0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16">
        <f t="shared" si="1"/>
        <v>1</v>
      </c>
      <c r="V51" s="16">
        <f t="shared" si="2"/>
        <v>317</v>
      </c>
      <c r="W51" s="16">
        <f t="shared" si="3"/>
        <v>104</v>
      </c>
      <c r="X51" s="16" t="str">
        <f t="shared" si="4"/>
        <v>#N/A</v>
      </c>
      <c r="Y51" s="16">
        <f t="shared" si="5"/>
        <v>421</v>
      </c>
      <c r="Z51" s="16" t="str">
        <f t="shared" si="6"/>
        <v>#N/A</v>
      </c>
      <c r="AA51" s="16">
        <f t="shared" si="7"/>
        <v>421</v>
      </c>
      <c r="AB51" s="16" t="str">
        <f t="shared" si="8"/>
        <v>#N/A</v>
      </c>
      <c r="AC51" s="16">
        <v>50.0</v>
      </c>
      <c r="AD51" s="4"/>
      <c r="AE51" s="4"/>
      <c r="AF51" s="4"/>
      <c r="AG51" s="4">
        <f t="array" ref="AG51">IFERROR(INDEX(Data!$AB$2:$AB$81,MATCH(A51,Data!$B$2:$B$81,0)),1)</f>
        <v>1</v>
      </c>
    </row>
    <row r="52" ht="15.75" customHeight="1">
      <c r="A52" s="4" t="s">
        <v>184</v>
      </c>
      <c r="B52" s="4" t="s">
        <v>72</v>
      </c>
      <c r="C52" s="6" t="s">
        <v>67</v>
      </c>
      <c r="D52" s="15">
        <v>45219.0</v>
      </c>
      <c r="E52" s="15">
        <v>45355.0</v>
      </c>
      <c r="F52" s="4"/>
      <c r="G52" s="4">
        <v>136.0</v>
      </c>
      <c r="H52" s="4"/>
      <c r="I52" s="4">
        <v>80.0</v>
      </c>
      <c r="J52" s="4">
        <v>290.0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16">
        <f t="shared" si="1"/>
        <v>1</v>
      </c>
      <c r="V52" s="16">
        <f t="shared" si="2"/>
        <v>290</v>
      </c>
      <c r="W52" s="16">
        <f t="shared" si="3"/>
        <v>136</v>
      </c>
      <c r="X52" s="16" t="str">
        <f t="shared" si="4"/>
        <v>#N/A</v>
      </c>
      <c r="Y52" s="16">
        <f t="shared" si="5"/>
        <v>426</v>
      </c>
      <c r="Z52" s="16" t="str">
        <f t="shared" si="6"/>
        <v>#N/A</v>
      </c>
      <c r="AA52" s="16">
        <f t="shared" si="7"/>
        <v>426</v>
      </c>
      <c r="AB52" s="16" t="str">
        <f t="shared" si="8"/>
        <v>#N/A</v>
      </c>
      <c r="AC52" s="16">
        <v>51.0</v>
      </c>
      <c r="AD52" s="4"/>
      <c r="AE52" s="4"/>
      <c r="AF52" s="4"/>
      <c r="AG52" s="4">
        <f t="array" ref="AG52">IFERROR(INDEX(Data!$AB$2:$AB$81,MATCH(A52,Data!$B$2:$B$81,0)),1)</f>
        <v>1</v>
      </c>
    </row>
    <row r="53" ht="15.75" customHeight="1">
      <c r="A53" s="4" t="s">
        <v>186</v>
      </c>
      <c r="B53" s="4" t="s">
        <v>72</v>
      </c>
      <c r="C53" s="9" t="s">
        <v>92</v>
      </c>
      <c r="D53" s="15">
        <v>45270.0</v>
      </c>
      <c r="E53" s="15">
        <v>45314.0</v>
      </c>
      <c r="F53" s="15">
        <v>45311.0</v>
      </c>
      <c r="G53" s="4">
        <v>44.0</v>
      </c>
      <c r="H53" s="4">
        <v>41.0</v>
      </c>
      <c r="I53" s="4">
        <v>100.0</v>
      </c>
      <c r="J53" s="4">
        <v>341.0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16">
        <f t="shared" si="1"/>
        <v>1</v>
      </c>
      <c r="V53" s="16">
        <f t="shared" si="2"/>
        <v>341</v>
      </c>
      <c r="W53" s="16">
        <f t="shared" si="3"/>
        <v>44</v>
      </c>
      <c r="X53" s="16">
        <f t="shared" si="4"/>
        <v>41</v>
      </c>
      <c r="Y53" s="16">
        <f t="shared" si="5"/>
        <v>385</v>
      </c>
      <c r="Z53" s="16">
        <f t="shared" si="6"/>
        <v>382</v>
      </c>
      <c r="AA53" s="16">
        <f t="shared" si="7"/>
        <v>385</v>
      </c>
      <c r="AB53" s="16">
        <f t="shared" si="8"/>
        <v>382</v>
      </c>
      <c r="AC53" s="16">
        <v>52.0</v>
      </c>
      <c r="AD53" s="4"/>
      <c r="AE53" s="4"/>
      <c r="AF53" s="4"/>
      <c r="AG53" s="4">
        <f t="array" ref="AG53">IFERROR(INDEX(Data!$AB$2:$AB$81,MATCH(A53,Data!$B$2:$B$81,0)),1)</f>
        <v>1</v>
      </c>
    </row>
    <row r="54" ht="15.75" customHeight="1">
      <c r="A54" s="4" t="s">
        <v>188</v>
      </c>
      <c r="B54" s="4" t="s">
        <v>66</v>
      </c>
      <c r="C54" s="6" t="s">
        <v>77</v>
      </c>
      <c r="D54" s="15">
        <v>44979.0</v>
      </c>
      <c r="E54" s="15">
        <v>45152.0</v>
      </c>
      <c r="F54" s="4"/>
      <c r="G54" s="4">
        <v>173.0</v>
      </c>
      <c r="H54" s="4"/>
      <c r="I54" s="4">
        <v>10.0</v>
      </c>
      <c r="J54" s="4">
        <v>50.0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16">
        <f t="shared" si="1"/>
        <v>1</v>
      </c>
      <c r="V54" s="16">
        <f t="shared" si="2"/>
        <v>50</v>
      </c>
      <c r="W54" s="16">
        <f t="shared" si="3"/>
        <v>173</v>
      </c>
      <c r="X54" s="16" t="str">
        <f t="shared" si="4"/>
        <v>#N/A</v>
      </c>
      <c r="Y54" s="16">
        <f t="shared" si="5"/>
        <v>223</v>
      </c>
      <c r="Z54" s="16" t="str">
        <f t="shared" si="6"/>
        <v>#N/A</v>
      </c>
      <c r="AA54" s="16">
        <f t="shared" si="7"/>
        <v>223</v>
      </c>
      <c r="AB54" s="16" t="str">
        <f t="shared" si="8"/>
        <v>#N/A</v>
      </c>
      <c r="AC54" s="16">
        <v>53.0</v>
      </c>
      <c r="AD54" s="4"/>
      <c r="AE54" s="4"/>
      <c r="AF54" s="4"/>
      <c r="AG54" s="4">
        <f t="array" ref="AG54">IFERROR(INDEX(Data!$AB$2:$AB$81,MATCH(A54,Data!$B$2:$B$81,0)),1)</f>
        <v>1</v>
      </c>
    </row>
    <row r="55" ht="15.75" customHeight="1">
      <c r="A55" s="4" t="s">
        <v>190</v>
      </c>
      <c r="B55" s="4" t="s">
        <v>66</v>
      </c>
      <c r="C55" s="6" t="s">
        <v>67</v>
      </c>
      <c r="D55" s="15">
        <v>45125.0</v>
      </c>
      <c r="E55" s="15">
        <v>45261.0</v>
      </c>
      <c r="F55" s="4"/>
      <c r="G55" s="4">
        <v>136.0</v>
      </c>
      <c r="H55" s="4"/>
      <c r="I55" s="4">
        <v>80.0</v>
      </c>
      <c r="J55" s="4">
        <v>196.0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16">
        <f t="shared" si="1"/>
        <v>1</v>
      </c>
      <c r="V55" s="16">
        <f t="shared" si="2"/>
        <v>196</v>
      </c>
      <c r="W55" s="16">
        <f t="shared" si="3"/>
        <v>136</v>
      </c>
      <c r="X55" s="16" t="str">
        <f t="shared" si="4"/>
        <v>#N/A</v>
      </c>
      <c r="Y55" s="16">
        <f t="shared" si="5"/>
        <v>332</v>
      </c>
      <c r="Z55" s="16" t="str">
        <f t="shared" si="6"/>
        <v>#N/A</v>
      </c>
      <c r="AA55" s="16">
        <f t="shared" si="7"/>
        <v>332</v>
      </c>
      <c r="AB55" s="16" t="str">
        <f t="shared" si="8"/>
        <v>#N/A</v>
      </c>
      <c r="AC55" s="16">
        <v>54.0</v>
      </c>
      <c r="AD55" s="4"/>
      <c r="AE55" s="4"/>
      <c r="AF55" s="4"/>
      <c r="AG55" s="4">
        <f t="array" ref="AG55">IFERROR(INDEX(Data!$AB$2:$AB$81,MATCH(A55,Data!$B$2:$B$81,0)),1)</f>
        <v>1</v>
      </c>
    </row>
    <row r="56" ht="15.75" customHeight="1">
      <c r="A56" s="4" t="s">
        <v>192</v>
      </c>
      <c r="B56" s="4" t="s">
        <v>88</v>
      </c>
      <c r="C56" s="8" t="s">
        <v>73</v>
      </c>
      <c r="D56" s="15">
        <v>45251.0</v>
      </c>
      <c r="E56" s="15">
        <v>45375.0</v>
      </c>
      <c r="F56" s="4"/>
      <c r="G56" s="4">
        <v>124.0</v>
      </c>
      <c r="H56" s="4"/>
      <c r="I56" s="4">
        <v>25.0</v>
      </c>
      <c r="J56" s="4">
        <v>322.0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16">
        <f t="shared" si="1"/>
        <v>1</v>
      </c>
      <c r="V56" s="16">
        <f t="shared" si="2"/>
        <v>322</v>
      </c>
      <c r="W56" s="16">
        <f t="shared" si="3"/>
        <v>124</v>
      </c>
      <c r="X56" s="16" t="str">
        <f t="shared" si="4"/>
        <v>#N/A</v>
      </c>
      <c r="Y56" s="16">
        <f t="shared" si="5"/>
        <v>446</v>
      </c>
      <c r="Z56" s="16" t="str">
        <f t="shared" si="6"/>
        <v>#N/A</v>
      </c>
      <c r="AA56" s="16">
        <f t="shared" si="7"/>
        <v>446</v>
      </c>
      <c r="AB56" s="16" t="str">
        <f t="shared" si="8"/>
        <v>#N/A</v>
      </c>
      <c r="AC56" s="16">
        <v>55.0</v>
      </c>
      <c r="AD56" s="4"/>
      <c r="AE56" s="4"/>
      <c r="AF56" s="4"/>
      <c r="AG56" s="4">
        <f t="array" ref="AG56">IFERROR(INDEX(Data!$AB$2:$AB$81,MATCH(A56,Data!$B$2:$B$81,0)),1)</f>
        <v>1</v>
      </c>
    </row>
    <row r="57" ht="15.75" customHeight="1">
      <c r="A57" s="4" t="s">
        <v>194</v>
      </c>
      <c r="B57" s="4" t="s">
        <v>101</v>
      </c>
      <c r="C57" s="9" t="s">
        <v>92</v>
      </c>
      <c r="D57" s="15">
        <v>45022.0</v>
      </c>
      <c r="E57" s="15">
        <v>45096.0</v>
      </c>
      <c r="F57" s="15">
        <v>45108.0</v>
      </c>
      <c r="G57" s="4">
        <v>74.0</v>
      </c>
      <c r="H57" s="4">
        <v>86.0</v>
      </c>
      <c r="I57" s="4">
        <v>100.0</v>
      </c>
      <c r="J57" s="4">
        <v>93.0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16">
        <f t="shared" si="1"/>
        <v>1</v>
      </c>
      <c r="V57" s="16">
        <f t="shared" si="2"/>
        <v>93</v>
      </c>
      <c r="W57" s="16">
        <f t="shared" si="3"/>
        <v>74</v>
      </c>
      <c r="X57" s="16">
        <f t="shared" si="4"/>
        <v>86</v>
      </c>
      <c r="Y57" s="16">
        <f t="shared" si="5"/>
        <v>167</v>
      </c>
      <c r="Z57" s="16">
        <f t="shared" si="6"/>
        <v>179</v>
      </c>
      <c r="AA57" s="16">
        <f t="shared" si="7"/>
        <v>167</v>
      </c>
      <c r="AB57" s="16">
        <f t="shared" si="8"/>
        <v>179</v>
      </c>
      <c r="AC57" s="16">
        <v>56.0</v>
      </c>
      <c r="AD57" s="4"/>
      <c r="AE57" s="4"/>
      <c r="AF57" s="4"/>
      <c r="AG57" s="4">
        <f t="array" ref="AG57">IFERROR(INDEX(Data!$AB$2:$AB$81,MATCH(A57,Data!$B$2:$B$81,0)),1)</f>
        <v>1</v>
      </c>
    </row>
    <row r="58" ht="15.75" customHeight="1">
      <c r="A58" s="4" t="s">
        <v>196</v>
      </c>
      <c r="B58" s="4" t="s">
        <v>66</v>
      </c>
      <c r="C58" s="6" t="s">
        <v>67</v>
      </c>
      <c r="D58" s="15">
        <v>45165.0</v>
      </c>
      <c r="E58" s="15">
        <v>45234.0</v>
      </c>
      <c r="F58" s="4"/>
      <c r="G58" s="4">
        <v>69.0</v>
      </c>
      <c r="H58" s="4"/>
      <c r="I58" s="4">
        <v>80.0</v>
      </c>
      <c r="J58" s="4">
        <v>236.0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16">
        <f t="shared" si="1"/>
        <v>1</v>
      </c>
      <c r="V58" s="16">
        <f t="shared" si="2"/>
        <v>236</v>
      </c>
      <c r="W58" s="16">
        <f t="shared" si="3"/>
        <v>69</v>
      </c>
      <c r="X58" s="16" t="str">
        <f t="shared" si="4"/>
        <v>#N/A</v>
      </c>
      <c r="Y58" s="16">
        <f t="shared" si="5"/>
        <v>305</v>
      </c>
      <c r="Z58" s="16" t="str">
        <f t="shared" si="6"/>
        <v>#N/A</v>
      </c>
      <c r="AA58" s="16">
        <f t="shared" si="7"/>
        <v>305</v>
      </c>
      <c r="AB58" s="16" t="str">
        <f t="shared" si="8"/>
        <v>#N/A</v>
      </c>
      <c r="AC58" s="16">
        <v>57.0</v>
      </c>
      <c r="AD58" s="4"/>
      <c r="AE58" s="4"/>
      <c r="AF58" s="4"/>
      <c r="AG58" s="4">
        <f t="array" ref="AG58">IFERROR(INDEX(Data!$AB$2:$AB$81,MATCH(A58,Data!$B$2:$B$81,0)),1)</f>
        <v>1</v>
      </c>
    </row>
    <row r="59" ht="15.75" customHeight="1">
      <c r="A59" s="4" t="s">
        <v>198</v>
      </c>
      <c r="B59" s="4" t="s">
        <v>66</v>
      </c>
      <c r="C59" s="6" t="s">
        <v>67</v>
      </c>
      <c r="D59" s="15">
        <v>45208.0</v>
      </c>
      <c r="E59" s="15">
        <v>45329.0</v>
      </c>
      <c r="F59" s="4"/>
      <c r="G59" s="4">
        <v>121.0</v>
      </c>
      <c r="H59" s="4"/>
      <c r="I59" s="4">
        <v>80.0</v>
      </c>
      <c r="J59" s="4">
        <v>279.0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16">
        <f t="shared" si="1"/>
        <v>1</v>
      </c>
      <c r="V59" s="16">
        <f t="shared" si="2"/>
        <v>279</v>
      </c>
      <c r="W59" s="16">
        <f t="shared" si="3"/>
        <v>121</v>
      </c>
      <c r="X59" s="16" t="str">
        <f t="shared" si="4"/>
        <v>#N/A</v>
      </c>
      <c r="Y59" s="16">
        <f t="shared" si="5"/>
        <v>400</v>
      </c>
      <c r="Z59" s="16" t="str">
        <f t="shared" si="6"/>
        <v>#N/A</v>
      </c>
      <c r="AA59" s="16">
        <f t="shared" si="7"/>
        <v>400</v>
      </c>
      <c r="AB59" s="16" t="str">
        <f t="shared" si="8"/>
        <v>#N/A</v>
      </c>
      <c r="AC59" s="16">
        <v>58.0</v>
      </c>
      <c r="AD59" s="4"/>
      <c r="AE59" s="4"/>
      <c r="AF59" s="4"/>
      <c r="AG59" s="4">
        <f t="array" ref="AG59">IFERROR(INDEX(Data!$AB$2:$AB$81,MATCH(A59,Data!$B$2:$B$81,0)),1)</f>
        <v>1</v>
      </c>
    </row>
    <row r="60" ht="15.75" customHeight="1">
      <c r="A60" s="4" t="s">
        <v>200</v>
      </c>
      <c r="B60" s="4" t="s">
        <v>88</v>
      </c>
      <c r="C60" s="8" t="s">
        <v>73</v>
      </c>
      <c r="D60" s="15">
        <v>45008.0</v>
      </c>
      <c r="E60" s="15">
        <v>45144.0</v>
      </c>
      <c r="F60" s="4"/>
      <c r="G60" s="4">
        <v>136.0</v>
      </c>
      <c r="H60" s="4"/>
      <c r="I60" s="4">
        <v>25.0</v>
      </c>
      <c r="J60" s="4">
        <v>79.0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16">
        <f t="shared" si="1"/>
        <v>1</v>
      </c>
      <c r="V60" s="16">
        <f t="shared" si="2"/>
        <v>79</v>
      </c>
      <c r="W60" s="16">
        <f t="shared" si="3"/>
        <v>136</v>
      </c>
      <c r="X60" s="16" t="str">
        <f t="shared" si="4"/>
        <v>#N/A</v>
      </c>
      <c r="Y60" s="16">
        <f t="shared" si="5"/>
        <v>215</v>
      </c>
      <c r="Z60" s="16" t="str">
        <f t="shared" si="6"/>
        <v>#N/A</v>
      </c>
      <c r="AA60" s="16">
        <f t="shared" si="7"/>
        <v>215</v>
      </c>
      <c r="AB60" s="16" t="str">
        <f t="shared" si="8"/>
        <v>#N/A</v>
      </c>
      <c r="AC60" s="16">
        <v>59.0</v>
      </c>
      <c r="AD60" s="4"/>
      <c r="AE60" s="4"/>
      <c r="AF60" s="4"/>
      <c r="AG60" s="4">
        <f t="array" ref="AG60">IFERROR(INDEX(Data!$AB$2:$AB$81,MATCH(A60,Data!$B$2:$B$81,0)),1)</f>
        <v>1</v>
      </c>
    </row>
    <row r="61" ht="15.75" customHeight="1">
      <c r="A61" s="4" t="s">
        <v>202</v>
      </c>
      <c r="B61" s="4" t="s">
        <v>88</v>
      </c>
      <c r="C61" s="6" t="s">
        <v>67</v>
      </c>
      <c r="D61" s="15">
        <v>45077.0</v>
      </c>
      <c r="E61" s="15">
        <v>45162.0</v>
      </c>
      <c r="F61" s="4"/>
      <c r="G61" s="4">
        <v>85.0</v>
      </c>
      <c r="H61" s="4"/>
      <c r="I61" s="4">
        <v>80.0</v>
      </c>
      <c r="J61" s="4">
        <v>148.0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16">
        <f t="shared" si="1"/>
        <v>1</v>
      </c>
      <c r="V61" s="16">
        <f t="shared" si="2"/>
        <v>148</v>
      </c>
      <c r="W61" s="16">
        <f t="shared" si="3"/>
        <v>85</v>
      </c>
      <c r="X61" s="16" t="str">
        <f t="shared" si="4"/>
        <v>#N/A</v>
      </c>
      <c r="Y61" s="16">
        <f t="shared" si="5"/>
        <v>233</v>
      </c>
      <c r="Z61" s="16" t="str">
        <f t="shared" si="6"/>
        <v>#N/A</v>
      </c>
      <c r="AA61" s="16">
        <f t="shared" si="7"/>
        <v>233</v>
      </c>
      <c r="AB61" s="16" t="str">
        <f t="shared" si="8"/>
        <v>#N/A</v>
      </c>
      <c r="AC61" s="16">
        <v>60.0</v>
      </c>
      <c r="AD61" s="4"/>
      <c r="AE61" s="4"/>
      <c r="AF61" s="4"/>
      <c r="AG61" s="4">
        <f t="array" ref="AG61">IFERROR(INDEX(Data!$AB$2:$AB$81,MATCH(A61,Data!$B$2:$B$81,0)),1)</f>
        <v>1</v>
      </c>
    </row>
    <row r="62" ht="15.75" customHeight="1">
      <c r="A62" s="4" t="s">
        <v>204</v>
      </c>
      <c r="B62" s="4" t="s">
        <v>101</v>
      </c>
      <c r="C62" s="9" t="s">
        <v>92</v>
      </c>
      <c r="D62" s="15">
        <v>45245.0</v>
      </c>
      <c r="E62" s="15">
        <v>45337.0</v>
      </c>
      <c r="F62" s="15">
        <v>45385.0</v>
      </c>
      <c r="G62" s="4">
        <v>92.0</v>
      </c>
      <c r="H62" s="4">
        <v>140.0</v>
      </c>
      <c r="I62" s="4">
        <v>100.0</v>
      </c>
      <c r="J62" s="4">
        <v>316.0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16">
        <f t="shared" si="1"/>
        <v>1</v>
      </c>
      <c r="V62" s="16">
        <f t="shared" si="2"/>
        <v>316</v>
      </c>
      <c r="W62" s="16">
        <f t="shared" si="3"/>
        <v>92</v>
      </c>
      <c r="X62" s="16">
        <f t="shared" si="4"/>
        <v>140</v>
      </c>
      <c r="Y62" s="16">
        <f t="shared" si="5"/>
        <v>408</v>
      </c>
      <c r="Z62" s="16">
        <f t="shared" si="6"/>
        <v>456</v>
      </c>
      <c r="AA62" s="16">
        <f t="shared" si="7"/>
        <v>408</v>
      </c>
      <c r="AB62" s="16">
        <f t="shared" si="8"/>
        <v>456</v>
      </c>
      <c r="AC62" s="16">
        <v>61.0</v>
      </c>
      <c r="AD62" s="4"/>
      <c r="AE62" s="4"/>
      <c r="AF62" s="4"/>
      <c r="AG62" s="4">
        <f t="array" ref="AG62">IFERROR(INDEX(Data!$AB$2:$AB$81,MATCH(A62,Data!$B$2:$B$81,0)),1)</f>
        <v>1</v>
      </c>
    </row>
    <row r="63" ht="15.75" customHeight="1">
      <c r="A63" s="4" t="s">
        <v>206</v>
      </c>
      <c r="B63" s="4" t="s">
        <v>101</v>
      </c>
      <c r="C63" s="6" t="s">
        <v>77</v>
      </c>
      <c r="D63" s="15">
        <v>45187.0</v>
      </c>
      <c r="E63" s="15">
        <v>45331.0</v>
      </c>
      <c r="F63" s="4"/>
      <c r="G63" s="4">
        <v>144.0</v>
      </c>
      <c r="H63" s="4"/>
      <c r="I63" s="4">
        <v>10.0</v>
      </c>
      <c r="J63" s="4">
        <v>258.0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16">
        <f t="shared" si="1"/>
        <v>1</v>
      </c>
      <c r="V63" s="16">
        <f t="shared" si="2"/>
        <v>258</v>
      </c>
      <c r="W63" s="16">
        <f t="shared" si="3"/>
        <v>144</v>
      </c>
      <c r="X63" s="16" t="str">
        <f t="shared" si="4"/>
        <v>#N/A</v>
      </c>
      <c r="Y63" s="16">
        <f t="shared" si="5"/>
        <v>402</v>
      </c>
      <c r="Z63" s="16" t="str">
        <f t="shared" si="6"/>
        <v>#N/A</v>
      </c>
      <c r="AA63" s="16">
        <f t="shared" si="7"/>
        <v>402</v>
      </c>
      <c r="AB63" s="16" t="str">
        <f t="shared" si="8"/>
        <v>#N/A</v>
      </c>
      <c r="AC63" s="16">
        <v>62.0</v>
      </c>
      <c r="AD63" s="4"/>
      <c r="AE63" s="4"/>
      <c r="AF63" s="4"/>
      <c r="AG63" s="4">
        <f t="array" ref="AG63">IFERROR(INDEX(Data!$AB$2:$AB$81,MATCH(A63,Data!$B$2:$B$81,0)),1)</f>
        <v>1</v>
      </c>
    </row>
    <row r="64" ht="15.75" customHeight="1">
      <c r="A64" s="4" t="s">
        <v>208</v>
      </c>
      <c r="B64" s="4" t="s">
        <v>66</v>
      </c>
      <c r="C64" s="6" t="s">
        <v>77</v>
      </c>
      <c r="D64" s="15">
        <v>45202.0</v>
      </c>
      <c r="E64" s="15">
        <v>45368.0</v>
      </c>
      <c r="F64" s="4"/>
      <c r="G64" s="4">
        <v>166.0</v>
      </c>
      <c r="H64" s="4"/>
      <c r="I64" s="4">
        <v>10.0</v>
      </c>
      <c r="J64" s="4">
        <v>273.0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16">
        <f t="shared" si="1"/>
        <v>1</v>
      </c>
      <c r="V64" s="16">
        <f t="shared" si="2"/>
        <v>273</v>
      </c>
      <c r="W64" s="16">
        <f t="shared" si="3"/>
        <v>166</v>
      </c>
      <c r="X64" s="16" t="str">
        <f t="shared" si="4"/>
        <v>#N/A</v>
      </c>
      <c r="Y64" s="16">
        <f t="shared" si="5"/>
        <v>439</v>
      </c>
      <c r="Z64" s="16" t="str">
        <f t="shared" si="6"/>
        <v>#N/A</v>
      </c>
      <c r="AA64" s="16">
        <f t="shared" si="7"/>
        <v>439</v>
      </c>
      <c r="AB64" s="16" t="str">
        <f t="shared" si="8"/>
        <v>#N/A</v>
      </c>
      <c r="AC64" s="16">
        <v>63.0</v>
      </c>
      <c r="AD64" s="4"/>
      <c r="AE64" s="4"/>
      <c r="AF64" s="4"/>
      <c r="AG64" s="4">
        <f t="array" ref="AG64">IFERROR(INDEX(Data!$AB$2:$AB$81,MATCH(A64,Data!$B$2:$B$81,0)),1)</f>
        <v>1</v>
      </c>
    </row>
    <row r="65" ht="15.75" customHeight="1">
      <c r="A65" s="4" t="s">
        <v>210</v>
      </c>
      <c r="B65" s="4" t="s">
        <v>85</v>
      </c>
      <c r="C65" s="6" t="s">
        <v>77</v>
      </c>
      <c r="D65" s="15">
        <v>45286.0</v>
      </c>
      <c r="E65" s="15">
        <v>45427.0</v>
      </c>
      <c r="F65" s="4"/>
      <c r="G65" s="4">
        <v>141.0</v>
      </c>
      <c r="H65" s="4"/>
      <c r="I65" s="4">
        <v>10.0</v>
      </c>
      <c r="J65" s="4">
        <v>357.0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16">
        <f t="shared" si="1"/>
        <v>1</v>
      </c>
      <c r="V65" s="16">
        <f t="shared" si="2"/>
        <v>357</v>
      </c>
      <c r="W65" s="16">
        <f t="shared" si="3"/>
        <v>141</v>
      </c>
      <c r="X65" s="16" t="str">
        <f t="shared" si="4"/>
        <v>#N/A</v>
      </c>
      <c r="Y65" s="16">
        <f t="shared" si="5"/>
        <v>498</v>
      </c>
      <c r="Z65" s="16" t="str">
        <f t="shared" si="6"/>
        <v>#N/A</v>
      </c>
      <c r="AA65" s="16">
        <f t="shared" si="7"/>
        <v>498</v>
      </c>
      <c r="AB65" s="16" t="str">
        <f t="shared" si="8"/>
        <v>#N/A</v>
      </c>
      <c r="AC65" s="16">
        <v>64.0</v>
      </c>
      <c r="AD65" s="4"/>
      <c r="AE65" s="4"/>
      <c r="AF65" s="4"/>
      <c r="AG65" s="4">
        <f t="array" ref="AG65">IFERROR(INDEX(Data!$AB$2:$AB$81,MATCH(A65,Data!$B$2:$B$81,0)),1)</f>
        <v>1</v>
      </c>
    </row>
    <row r="66" ht="15.75" customHeight="1">
      <c r="A66" s="4" t="s">
        <v>212</v>
      </c>
      <c r="B66" s="4" t="s">
        <v>101</v>
      </c>
      <c r="C66" s="6" t="s">
        <v>77</v>
      </c>
      <c r="D66" s="15">
        <v>44954.0</v>
      </c>
      <c r="E66" s="15">
        <v>45029.0</v>
      </c>
      <c r="F66" s="4"/>
      <c r="G66" s="4">
        <v>75.0</v>
      </c>
      <c r="H66" s="4"/>
      <c r="I66" s="4">
        <v>10.0</v>
      </c>
      <c r="J66" s="4">
        <v>25.0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16">
        <f t="shared" si="1"/>
        <v>1</v>
      </c>
      <c r="V66" s="16">
        <f t="shared" si="2"/>
        <v>25</v>
      </c>
      <c r="W66" s="16">
        <f t="shared" si="3"/>
        <v>75</v>
      </c>
      <c r="X66" s="16" t="str">
        <f t="shared" si="4"/>
        <v>#N/A</v>
      </c>
      <c r="Y66" s="16">
        <f t="shared" si="5"/>
        <v>100</v>
      </c>
      <c r="Z66" s="16" t="str">
        <f t="shared" si="6"/>
        <v>#N/A</v>
      </c>
      <c r="AA66" s="16">
        <f t="shared" si="7"/>
        <v>100</v>
      </c>
      <c r="AB66" s="16" t="str">
        <f t="shared" si="8"/>
        <v>#N/A</v>
      </c>
      <c r="AC66" s="16">
        <v>65.0</v>
      </c>
      <c r="AD66" s="4"/>
      <c r="AE66" s="4"/>
      <c r="AF66" s="4"/>
      <c r="AG66" s="4">
        <f t="array" ref="AG66">IFERROR(INDEX(Data!$AB$2:$AB$81,MATCH(A66,Data!$B$2:$B$81,0)),1)</f>
        <v>1</v>
      </c>
    </row>
    <row r="67" ht="15.75" customHeight="1">
      <c r="A67" s="4" t="s">
        <v>214</v>
      </c>
      <c r="B67" s="4" t="s">
        <v>85</v>
      </c>
      <c r="C67" s="9" t="s">
        <v>92</v>
      </c>
      <c r="D67" s="15">
        <v>45148.0</v>
      </c>
      <c r="E67" s="15">
        <v>45258.0</v>
      </c>
      <c r="F67" s="15">
        <v>45263.0</v>
      </c>
      <c r="G67" s="4">
        <v>110.0</v>
      </c>
      <c r="H67" s="4">
        <v>115.0</v>
      </c>
      <c r="I67" s="4">
        <v>100.0</v>
      </c>
      <c r="J67" s="4">
        <v>219.0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16">
        <f t="shared" si="1"/>
        <v>1</v>
      </c>
      <c r="V67" s="16">
        <f t="shared" si="2"/>
        <v>219</v>
      </c>
      <c r="W67" s="16">
        <f t="shared" si="3"/>
        <v>110</v>
      </c>
      <c r="X67" s="16">
        <f t="shared" si="4"/>
        <v>115</v>
      </c>
      <c r="Y67" s="16">
        <f t="shared" si="5"/>
        <v>329</v>
      </c>
      <c r="Z67" s="16">
        <f t="shared" si="6"/>
        <v>334</v>
      </c>
      <c r="AA67" s="16">
        <f t="shared" si="7"/>
        <v>329</v>
      </c>
      <c r="AB67" s="16">
        <f t="shared" si="8"/>
        <v>334</v>
      </c>
      <c r="AC67" s="16">
        <v>66.0</v>
      </c>
      <c r="AD67" s="4"/>
      <c r="AE67" s="4"/>
      <c r="AF67" s="4"/>
      <c r="AG67" s="4">
        <f t="array" ref="AG67">IFERROR(INDEX(Data!$AB$2:$AB$81,MATCH(A67,Data!$B$2:$B$81,0)),1)</f>
        <v>1</v>
      </c>
    </row>
    <row r="68" ht="15.75" customHeight="1">
      <c r="A68" s="4" t="s">
        <v>216</v>
      </c>
      <c r="B68" s="4" t="s">
        <v>66</v>
      </c>
      <c r="C68" s="6" t="s">
        <v>77</v>
      </c>
      <c r="D68" s="15">
        <v>45184.0</v>
      </c>
      <c r="E68" s="15">
        <v>45241.0</v>
      </c>
      <c r="F68" s="4"/>
      <c r="G68" s="4">
        <v>57.0</v>
      </c>
      <c r="H68" s="4"/>
      <c r="I68" s="4">
        <v>10.0</v>
      </c>
      <c r="J68" s="4">
        <v>255.0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16">
        <f t="shared" si="1"/>
        <v>1</v>
      </c>
      <c r="V68" s="16">
        <f t="shared" si="2"/>
        <v>255</v>
      </c>
      <c r="W68" s="16">
        <f t="shared" si="3"/>
        <v>57</v>
      </c>
      <c r="X68" s="16" t="str">
        <f t="shared" si="4"/>
        <v>#N/A</v>
      </c>
      <c r="Y68" s="16">
        <f t="shared" si="5"/>
        <v>312</v>
      </c>
      <c r="Z68" s="16" t="str">
        <f t="shared" si="6"/>
        <v>#N/A</v>
      </c>
      <c r="AA68" s="16">
        <f t="shared" si="7"/>
        <v>312</v>
      </c>
      <c r="AB68" s="16" t="str">
        <f t="shared" si="8"/>
        <v>#N/A</v>
      </c>
      <c r="AC68" s="16">
        <v>67.0</v>
      </c>
      <c r="AD68" s="4"/>
      <c r="AE68" s="4"/>
      <c r="AF68" s="4"/>
      <c r="AG68" s="4">
        <f t="array" ref="AG68">IFERROR(INDEX(Data!$AB$2:$AB$81,MATCH(A68,Data!$B$2:$B$81,0)),1)</f>
        <v>1</v>
      </c>
    </row>
    <row r="69" ht="15.75" customHeight="1">
      <c r="A69" s="4" t="s">
        <v>218</v>
      </c>
      <c r="B69" s="4" t="s">
        <v>101</v>
      </c>
      <c r="C69" s="9" t="s">
        <v>92</v>
      </c>
      <c r="D69" s="15">
        <v>45265.0</v>
      </c>
      <c r="E69" s="15">
        <v>45302.0</v>
      </c>
      <c r="F69" s="15">
        <v>45305.0</v>
      </c>
      <c r="G69" s="4">
        <v>37.0</v>
      </c>
      <c r="H69" s="4">
        <v>40.0</v>
      </c>
      <c r="I69" s="4">
        <v>100.0</v>
      </c>
      <c r="J69" s="4">
        <v>336.0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16">
        <f t="shared" si="1"/>
        <v>1</v>
      </c>
      <c r="V69" s="16">
        <f t="shared" si="2"/>
        <v>336</v>
      </c>
      <c r="W69" s="16">
        <f t="shared" si="3"/>
        <v>37</v>
      </c>
      <c r="X69" s="16">
        <f t="shared" si="4"/>
        <v>40</v>
      </c>
      <c r="Y69" s="16">
        <f t="shared" si="5"/>
        <v>373</v>
      </c>
      <c r="Z69" s="16">
        <f t="shared" si="6"/>
        <v>376</v>
      </c>
      <c r="AA69" s="16">
        <f t="shared" si="7"/>
        <v>373</v>
      </c>
      <c r="AB69" s="16">
        <f t="shared" si="8"/>
        <v>376</v>
      </c>
      <c r="AC69" s="16">
        <v>68.0</v>
      </c>
      <c r="AD69" s="4"/>
      <c r="AE69" s="4"/>
      <c r="AF69" s="4"/>
      <c r="AG69" s="4">
        <f t="array" ref="AG69">IFERROR(INDEX(Data!$AB$2:$AB$81,MATCH(A69,Data!$B$2:$B$81,0)),1)</f>
        <v>1</v>
      </c>
    </row>
    <row r="70" ht="15.75" customHeight="1">
      <c r="A70" s="4" t="s">
        <v>220</v>
      </c>
      <c r="B70" s="4" t="s">
        <v>88</v>
      </c>
      <c r="C70" s="6" t="s">
        <v>67</v>
      </c>
      <c r="D70" s="15">
        <v>45210.0</v>
      </c>
      <c r="E70" s="15">
        <v>45382.0</v>
      </c>
      <c r="F70" s="4"/>
      <c r="G70" s="4">
        <v>172.0</v>
      </c>
      <c r="H70" s="4"/>
      <c r="I70" s="4">
        <v>80.0</v>
      </c>
      <c r="J70" s="4">
        <v>281.0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16">
        <f t="shared" si="1"/>
        <v>1</v>
      </c>
      <c r="V70" s="16">
        <f t="shared" si="2"/>
        <v>281</v>
      </c>
      <c r="W70" s="16">
        <f t="shared" si="3"/>
        <v>172</v>
      </c>
      <c r="X70" s="16" t="str">
        <f t="shared" si="4"/>
        <v>#N/A</v>
      </c>
      <c r="Y70" s="16">
        <f t="shared" si="5"/>
        <v>453</v>
      </c>
      <c r="Z70" s="16" t="str">
        <f t="shared" si="6"/>
        <v>#N/A</v>
      </c>
      <c r="AA70" s="16">
        <f t="shared" si="7"/>
        <v>453</v>
      </c>
      <c r="AB70" s="16" t="str">
        <f t="shared" si="8"/>
        <v>#N/A</v>
      </c>
      <c r="AC70" s="16">
        <v>69.0</v>
      </c>
      <c r="AD70" s="4"/>
      <c r="AE70" s="4"/>
      <c r="AF70" s="4"/>
      <c r="AG70" s="4">
        <f t="array" ref="AG70">IFERROR(INDEX(Data!$AB$2:$AB$81,MATCH(A70,Data!$B$2:$B$81,0)),1)</f>
        <v>1</v>
      </c>
    </row>
    <row r="71" ht="15.75" customHeight="1">
      <c r="A71" s="4" t="s">
        <v>222</v>
      </c>
      <c r="B71" s="4" t="s">
        <v>66</v>
      </c>
      <c r="C71" s="8" t="s">
        <v>73</v>
      </c>
      <c r="D71" s="15">
        <v>45034.0</v>
      </c>
      <c r="E71" s="15">
        <v>45152.0</v>
      </c>
      <c r="F71" s="4"/>
      <c r="G71" s="4">
        <v>118.0</v>
      </c>
      <c r="H71" s="4"/>
      <c r="I71" s="4">
        <v>25.0</v>
      </c>
      <c r="J71" s="4">
        <v>105.0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16">
        <f t="shared" si="1"/>
        <v>1</v>
      </c>
      <c r="V71" s="16">
        <f t="shared" si="2"/>
        <v>105</v>
      </c>
      <c r="W71" s="16">
        <f t="shared" si="3"/>
        <v>118</v>
      </c>
      <c r="X71" s="16" t="str">
        <f t="shared" si="4"/>
        <v>#N/A</v>
      </c>
      <c r="Y71" s="16">
        <f t="shared" si="5"/>
        <v>223</v>
      </c>
      <c r="Z71" s="16" t="str">
        <f t="shared" si="6"/>
        <v>#N/A</v>
      </c>
      <c r="AA71" s="16">
        <f t="shared" si="7"/>
        <v>223</v>
      </c>
      <c r="AB71" s="16" t="str">
        <f t="shared" si="8"/>
        <v>#N/A</v>
      </c>
      <c r="AC71" s="16">
        <v>70.0</v>
      </c>
      <c r="AD71" s="4"/>
      <c r="AE71" s="4"/>
      <c r="AF71" s="4"/>
      <c r="AG71" s="4">
        <f t="array" ref="AG71">IFERROR(INDEX(Data!$AB$2:$AB$81,MATCH(A71,Data!$B$2:$B$81,0)),1)</f>
        <v>1</v>
      </c>
    </row>
    <row r="72" ht="15.75" customHeight="1">
      <c r="A72" s="4" t="s">
        <v>224</v>
      </c>
      <c r="B72" s="4" t="s">
        <v>88</v>
      </c>
      <c r="C72" s="6" t="s">
        <v>81</v>
      </c>
      <c r="D72" s="15">
        <v>45056.0</v>
      </c>
      <c r="E72" s="15">
        <v>45135.0</v>
      </c>
      <c r="F72" s="4"/>
      <c r="G72" s="4">
        <v>79.0</v>
      </c>
      <c r="H72" s="4"/>
      <c r="I72" s="4">
        <v>50.0</v>
      </c>
      <c r="J72" s="4">
        <v>127.0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16">
        <f t="shared" si="1"/>
        <v>1</v>
      </c>
      <c r="V72" s="16">
        <f t="shared" si="2"/>
        <v>127</v>
      </c>
      <c r="W72" s="16">
        <f t="shared" si="3"/>
        <v>79</v>
      </c>
      <c r="X72" s="16" t="str">
        <f t="shared" si="4"/>
        <v>#N/A</v>
      </c>
      <c r="Y72" s="16">
        <f t="shared" si="5"/>
        <v>206</v>
      </c>
      <c r="Z72" s="16" t="str">
        <f t="shared" si="6"/>
        <v>#N/A</v>
      </c>
      <c r="AA72" s="16">
        <f t="shared" si="7"/>
        <v>206</v>
      </c>
      <c r="AB72" s="16" t="str">
        <f t="shared" si="8"/>
        <v>#N/A</v>
      </c>
      <c r="AC72" s="16">
        <v>71.0</v>
      </c>
      <c r="AD72" s="4"/>
      <c r="AE72" s="4"/>
      <c r="AF72" s="4"/>
      <c r="AG72" s="4">
        <f t="array" ref="AG72">IFERROR(INDEX(Data!$AB$2:$AB$81,MATCH(A72,Data!$B$2:$B$81,0)),1)</f>
        <v>1</v>
      </c>
    </row>
    <row r="73" ht="15.75" customHeight="1">
      <c r="A73" s="4" t="s">
        <v>226</v>
      </c>
      <c r="B73" s="4" t="s">
        <v>66</v>
      </c>
      <c r="C73" s="9" t="s">
        <v>92</v>
      </c>
      <c r="D73" s="15">
        <v>45270.0</v>
      </c>
      <c r="E73" s="15">
        <v>45317.0</v>
      </c>
      <c r="F73" s="15">
        <v>45315.0</v>
      </c>
      <c r="G73" s="4">
        <v>47.0</v>
      </c>
      <c r="H73" s="4">
        <v>45.0</v>
      </c>
      <c r="I73" s="4">
        <v>100.0</v>
      </c>
      <c r="J73" s="4">
        <v>341.0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16">
        <f t="shared" si="1"/>
        <v>1</v>
      </c>
      <c r="V73" s="16">
        <f t="shared" si="2"/>
        <v>341</v>
      </c>
      <c r="W73" s="16">
        <f t="shared" si="3"/>
        <v>47</v>
      </c>
      <c r="X73" s="16">
        <f t="shared" si="4"/>
        <v>45</v>
      </c>
      <c r="Y73" s="16">
        <f t="shared" si="5"/>
        <v>388</v>
      </c>
      <c r="Z73" s="16">
        <f t="shared" si="6"/>
        <v>386</v>
      </c>
      <c r="AA73" s="16">
        <f t="shared" si="7"/>
        <v>388</v>
      </c>
      <c r="AB73" s="16">
        <f t="shared" si="8"/>
        <v>386</v>
      </c>
      <c r="AC73" s="16">
        <v>72.0</v>
      </c>
      <c r="AD73" s="4"/>
      <c r="AE73" s="4"/>
      <c r="AF73" s="4"/>
      <c r="AG73" s="4">
        <f t="array" ref="AG73">IFERROR(INDEX(Data!$AB$2:$AB$81,MATCH(A73,Data!$B$2:$B$81,0)),1)</f>
        <v>1</v>
      </c>
    </row>
    <row r="74" ht="15.75" customHeight="1">
      <c r="A74" s="4" t="s">
        <v>228</v>
      </c>
      <c r="B74" s="4" t="s">
        <v>88</v>
      </c>
      <c r="C74" s="6" t="s">
        <v>77</v>
      </c>
      <c r="D74" s="15">
        <v>44962.0</v>
      </c>
      <c r="E74" s="15">
        <v>45041.0</v>
      </c>
      <c r="F74" s="4"/>
      <c r="G74" s="4">
        <v>79.0</v>
      </c>
      <c r="H74" s="4"/>
      <c r="I74" s="4">
        <v>10.0</v>
      </c>
      <c r="J74" s="4">
        <v>33.0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16">
        <f t="shared" si="1"/>
        <v>1</v>
      </c>
      <c r="V74" s="16">
        <f t="shared" si="2"/>
        <v>33</v>
      </c>
      <c r="W74" s="16">
        <f t="shared" si="3"/>
        <v>79</v>
      </c>
      <c r="X74" s="16" t="str">
        <f t="shared" si="4"/>
        <v>#N/A</v>
      </c>
      <c r="Y74" s="16">
        <f t="shared" si="5"/>
        <v>112</v>
      </c>
      <c r="Z74" s="16" t="str">
        <f t="shared" si="6"/>
        <v>#N/A</v>
      </c>
      <c r="AA74" s="16">
        <f t="shared" si="7"/>
        <v>112</v>
      </c>
      <c r="AB74" s="16" t="str">
        <f t="shared" si="8"/>
        <v>#N/A</v>
      </c>
      <c r="AC74" s="16">
        <v>73.0</v>
      </c>
      <c r="AD74" s="4"/>
      <c r="AE74" s="4"/>
      <c r="AF74" s="4"/>
      <c r="AG74" s="4">
        <f t="array" ref="AG74">IFERROR(INDEX(Data!$AB$2:$AB$81,MATCH(A74,Data!$B$2:$B$81,0)),1)</f>
        <v>1</v>
      </c>
    </row>
    <row r="75" ht="15.75" customHeight="1">
      <c r="A75" s="4" t="s">
        <v>230</v>
      </c>
      <c r="B75" s="4" t="s">
        <v>66</v>
      </c>
      <c r="C75" s="6" t="s">
        <v>81</v>
      </c>
      <c r="D75" s="15">
        <v>45146.0</v>
      </c>
      <c r="E75" s="15">
        <v>45219.0</v>
      </c>
      <c r="F75" s="4"/>
      <c r="G75" s="4">
        <v>73.0</v>
      </c>
      <c r="H75" s="4"/>
      <c r="I75" s="4">
        <v>50.0</v>
      </c>
      <c r="J75" s="4">
        <v>217.0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16">
        <f t="shared" si="1"/>
        <v>1</v>
      </c>
      <c r="V75" s="16">
        <f t="shared" si="2"/>
        <v>217</v>
      </c>
      <c r="W75" s="16">
        <f t="shared" si="3"/>
        <v>73</v>
      </c>
      <c r="X75" s="16" t="str">
        <f t="shared" si="4"/>
        <v>#N/A</v>
      </c>
      <c r="Y75" s="16">
        <f t="shared" si="5"/>
        <v>290</v>
      </c>
      <c r="Z75" s="16" t="str">
        <f t="shared" si="6"/>
        <v>#N/A</v>
      </c>
      <c r="AA75" s="16">
        <f t="shared" si="7"/>
        <v>290</v>
      </c>
      <c r="AB75" s="16" t="str">
        <f t="shared" si="8"/>
        <v>#N/A</v>
      </c>
      <c r="AC75" s="16">
        <v>74.0</v>
      </c>
      <c r="AD75" s="4"/>
      <c r="AE75" s="4"/>
      <c r="AF75" s="4"/>
      <c r="AG75" s="4">
        <f t="array" ref="AG75">IFERROR(INDEX(Data!$AB$2:$AB$81,MATCH(A75,Data!$B$2:$B$81,0)),1)</f>
        <v>1</v>
      </c>
    </row>
    <row r="76" ht="15.75" customHeight="1">
      <c r="A76" s="4" t="s">
        <v>232</v>
      </c>
      <c r="B76" s="4" t="s">
        <v>101</v>
      </c>
      <c r="C76" s="6" t="s">
        <v>67</v>
      </c>
      <c r="D76" s="15">
        <v>45172.0</v>
      </c>
      <c r="E76" s="15">
        <v>45320.0</v>
      </c>
      <c r="F76" s="4"/>
      <c r="G76" s="4">
        <v>148.0</v>
      </c>
      <c r="H76" s="4"/>
      <c r="I76" s="4">
        <v>80.0</v>
      </c>
      <c r="J76" s="4">
        <v>243.0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16">
        <f t="shared" si="1"/>
        <v>1</v>
      </c>
      <c r="V76" s="16">
        <f t="shared" si="2"/>
        <v>243</v>
      </c>
      <c r="W76" s="16">
        <f t="shared" si="3"/>
        <v>148</v>
      </c>
      <c r="X76" s="16" t="str">
        <f t="shared" si="4"/>
        <v>#N/A</v>
      </c>
      <c r="Y76" s="16">
        <f t="shared" si="5"/>
        <v>391</v>
      </c>
      <c r="Z76" s="16" t="str">
        <f t="shared" si="6"/>
        <v>#N/A</v>
      </c>
      <c r="AA76" s="16">
        <f t="shared" si="7"/>
        <v>391</v>
      </c>
      <c r="AB76" s="16" t="str">
        <f t="shared" si="8"/>
        <v>#N/A</v>
      </c>
      <c r="AC76" s="16">
        <v>75.0</v>
      </c>
      <c r="AD76" s="4"/>
      <c r="AE76" s="4"/>
      <c r="AF76" s="4"/>
      <c r="AG76" s="4">
        <f t="array" ref="AG76">IFERROR(INDEX(Data!$AB$2:$AB$81,MATCH(A76,Data!$B$2:$B$81,0)),1)</f>
        <v>1</v>
      </c>
    </row>
    <row r="77" ht="15.75" customHeight="1">
      <c r="A77" s="4" t="s">
        <v>234</v>
      </c>
      <c r="B77" s="4" t="s">
        <v>88</v>
      </c>
      <c r="C77" s="8" t="s">
        <v>73</v>
      </c>
      <c r="D77" s="15">
        <v>44998.0</v>
      </c>
      <c r="E77" s="15">
        <v>45165.0</v>
      </c>
      <c r="F77" s="4"/>
      <c r="G77" s="4">
        <v>167.0</v>
      </c>
      <c r="H77" s="4"/>
      <c r="I77" s="4">
        <v>25.0</v>
      </c>
      <c r="J77" s="4">
        <v>69.0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16">
        <f t="shared" si="1"/>
        <v>1</v>
      </c>
      <c r="V77" s="16">
        <f t="shared" si="2"/>
        <v>69</v>
      </c>
      <c r="W77" s="16">
        <f t="shared" si="3"/>
        <v>167</v>
      </c>
      <c r="X77" s="16" t="str">
        <f t="shared" si="4"/>
        <v>#N/A</v>
      </c>
      <c r="Y77" s="16">
        <f t="shared" si="5"/>
        <v>236</v>
      </c>
      <c r="Z77" s="16" t="str">
        <f t="shared" si="6"/>
        <v>#N/A</v>
      </c>
      <c r="AA77" s="16">
        <f t="shared" si="7"/>
        <v>236</v>
      </c>
      <c r="AB77" s="16" t="str">
        <f t="shared" si="8"/>
        <v>#N/A</v>
      </c>
      <c r="AC77" s="16">
        <v>76.0</v>
      </c>
      <c r="AD77" s="4"/>
      <c r="AE77" s="4"/>
      <c r="AF77" s="4"/>
      <c r="AG77" s="4">
        <f t="array" ref="AG77">IFERROR(INDEX(Data!$AB$2:$AB$81,MATCH(A77,Data!$B$2:$B$81,0)),1)</f>
        <v>1</v>
      </c>
    </row>
    <row r="78" ht="15.75" customHeight="1">
      <c r="A78" s="4" t="s">
        <v>236</v>
      </c>
      <c r="B78" s="4" t="s">
        <v>72</v>
      </c>
      <c r="C78" s="8" t="s">
        <v>73</v>
      </c>
      <c r="D78" s="15">
        <v>45223.0</v>
      </c>
      <c r="E78" s="15">
        <v>45356.0</v>
      </c>
      <c r="F78" s="4"/>
      <c r="G78" s="4">
        <v>133.0</v>
      </c>
      <c r="H78" s="4"/>
      <c r="I78" s="4">
        <v>25.0</v>
      </c>
      <c r="J78" s="4">
        <v>294.0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16">
        <f t="shared" si="1"/>
        <v>1</v>
      </c>
      <c r="V78" s="16">
        <f t="shared" si="2"/>
        <v>294</v>
      </c>
      <c r="W78" s="16">
        <f t="shared" si="3"/>
        <v>133</v>
      </c>
      <c r="X78" s="16" t="str">
        <f t="shared" si="4"/>
        <v>#N/A</v>
      </c>
      <c r="Y78" s="16">
        <f t="shared" si="5"/>
        <v>427</v>
      </c>
      <c r="Z78" s="16" t="str">
        <f t="shared" si="6"/>
        <v>#N/A</v>
      </c>
      <c r="AA78" s="16">
        <f t="shared" si="7"/>
        <v>427</v>
      </c>
      <c r="AB78" s="16" t="str">
        <f t="shared" si="8"/>
        <v>#N/A</v>
      </c>
      <c r="AC78" s="16">
        <v>77.0</v>
      </c>
      <c r="AD78" s="4"/>
      <c r="AE78" s="4"/>
      <c r="AF78" s="4"/>
      <c r="AG78" s="4">
        <f t="array" ref="AG78">IFERROR(INDEX(Data!$AB$2:$AB$81,MATCH(A78,Data!$B$2:$B$81,0)),1)</f>
        <v>1</v>
      </c>
    </row>
    <row r="79" ht="15.75" customHeight="1">
      <c r="A79" s="4" t="s">
        <v>238</v>
      </c>
      <c r="B79" s="4" t="s">
        <v>66</v>
      </c>
      <c r="C79" s="8" t="s">
        <v>73</v>
      </c>
      <c r="D79" s="15">
        <v>45114.0</v>
      </c>
      <c r="E79" s="15">
        <v>45244.0</v>
      </c>
      <c r="F79" s="4"/>
      <c r="G79" s="4">
        <v>130.0</v>
      </c>
      <c r="H79" s="4"/>
      <c r="I79" s="4">
        <v>25.0</v>
      </c>
      <c r="J79" s="4">
        <v>185.0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16">
        <f t="shared" si="1"/>
        <v>1</v>
      </c>
      <c r="V79" s="16">
        <f t="shared" si="2"/>
        <v>185</v>
      </c>
      <c r="W79" s="16">
        <f t="shared" si="3"/>
        <v>130</v>
      </c>
      <c r="X79" s="16" t="str">
        <f t="shared" si="4"/>
        <v>#N/A</v>
      </c>
      <c r="Y79" s="16">
        <f t="shared" si="5"/>
        <v>315</v>
      </c>
      <c r="Z79" s="16" t="str">
        <f t="shared" si="6"/>
        <v>#N/A</v>
      </c>
      <c r="AA79" s="16">
        <f t="shared" si="7"/>
        <v>315</v>
      </c>
      <c r="AB79" s="16" t="str">
        <f t="shared" si="8"/>
        <v>#N/A</v>
      </c>
      <c r="AC79" s="16">
        <v>78.0</v>
      </c>
      <c r="AD79" s="4"/>
      <c r="AE79" s="4"/>
      <c r="AF79" s="4"/>
      <c r="AG79" s="4">
        <f t="array" ref="AG79">IFERROR(INDEX(Data!$AB$2:$AB$81,MATCH(A79,Data!$B$2:$B$81,0)),1)</f>
        <v>1</v>
      </c>
    </row>
    <row r="80" ht="15.75" customHeight="1">
      <c r="A80" s="4" t="s">
        <v>240</v>
      </c>
      <c r="B80" s="4" t="s">
        <v>85</v>
      </c>
      <c r="C80" s="8" t="s">
        <v>73</v>
      </c>
      <c r="D80" s="15">
        <v>45113.0</v>
      </c>
      <c r="E80" s="15">
        <v>45271.0</v>
      </c>
      <c r="F80" s="4"/>
      <c r="G80" s="4">
        <v>158.0</v>
      </c>
      <c r="H80" s="4"/>
      <c r="I80" s="4">
        <v>25.0</v>
      </c>
      <c r="J80" s="4">
        <v>184.0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16">
        <f t="shared" si="1"/>
        <v>1</v>
      </c>
      <c r="V80" s="16">
        <f t="shared" si="2"/>
        <v>184</v>
      </c>
      <c r="W80" s="16">
        <f t="shared" si="3"/>
        <v>158</v>
      </c>
      <c r="X80" s="16" t="str">
        <f t="shared" si="4"/>
        <v>#N/A</v>
      </c>
      <c r="Y80" s="16">
        <f t="shared" si="5"/>
        <v>342</v>
      </c>
      <c r="Z80" s="16" t="str">
        <f t="shared" si="6"/>
        <v>#N/A</v>
      </c>
      <c r="AA80" s="16">
        <f t="shared" si="7"/>
        <v>342</v>
      </c>
      <c r="AB80" s="16" t="str">
        <f t="shared" si="8"/>
        <v>#N/A</v>
      </c>
      <c r="AC80" s="16">
        <v>79.0</v>
      </c>
      <c r="AD80" s="4"/>
      <c r="AE80" s="4"/>
      <c r="AF80" s="4"/>
      <c r="AG80" s="4">
        <f t="array" ref="AG80">IFERROR(INDEX(Data!$AB$2:$AB$81,MATCH(A80,Data!$B$2:$B$81,0)),1)</f>
        <v>1</v>
      </c>
    </row>
    <row r="81" ht="15.75" customHeight="1">
      <c r="A81" s="4" t="s">
        <v>242</v>
      </c>
      <c r="B81" s="4" t="s">
        <v>66</v>
      </c>
      <c r="C81" s="6" t="s">
        <v>81</v>
      </c>
      <c r="D81" s="15">
        <v>45018.0</v>
      </c>
      <c r="E81" s="15">
        <v>45192.0</v>
      </c>
      <c r="F81" s="4"/>
      <c r="G81" s="4">
        <v>174.0</v>
      </c>
      <c r="H81" s="4"/>
      <c r="I81" s="4">
        <v>50.0</v>
      </c>
      <c r="J81" s="4">
        <v>89.0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16">
        <f t="shared" si="1"/>
        <v>1</v>
      </c>
      <c r="V81" s="16">
        <f t="shared" si="2"/>
        <v>89</v>
      </c>
      <c r="W81" s="16">
        <f t="shared" si="3"/>
        <v>174</v>
      </c>
      <c r="X81" s="16" t="str">
        <f t="shared" si="4"/>
        <v>#N/A</v>
      </c>
      <c r="Y81" s="16">
        <f t="shared" si="5"/>
        <v>263</v>
      </c>
      <c r="Z81" s="16" t="str">
        <f t="shared" si="6"/>
        <v>#N/A</v>
      </c>
      <c r="AA81" s="16">
        <f t="shared" si="7"/>
        <v>263</v>
      </c>
      <c r="AB81" s="16" t="str">
        <f t="shared" si="8"/>
        <v>#N/A</v>
      </c>
      <c r="AC81" s="16">
        <v>80.0</v>
      </c>
      <c r="AD81" s="4"/>
      <c r="AE81" s="4"/>
      <c r="AF81" s="4"/>
      <c r="AG81" s="4">
        <f t="array" ref="AG81">IFERROR(INDEX(Data!$AB$2:$AB$81,MATCH(A81,Data!$B$2:$B$81,0)),1)</f>
        <v>1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E282" s="4"/>
      <c r="AF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E283" s="4"/>
      <c r="AF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E284" s="4"/>
      <c r="AF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E285" s="4"/>
      <c r="AF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E286" s="4"/>
      <c r="AF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E287" s="4"/>
      <c r="AF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E288" s="4"/>
      <c r="AF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E289" s="4"/>
      <c r="AF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E290" s="4"/>
      <c r="AF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E291" s="4"/>
      <c r="AF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E292" s="4"/>
      <c r="AF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E293" s="4"/>
      <c r="AF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E294" s="4"/>
      <c r="AF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E295" s="4"/>
      <c r="AF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E296" s="4"/>
      <c r="AF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E297" s="4"/>
      <c r="AF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E298" s="4"/>
      <c r="AF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E299" s="4"/>
      <c r="AF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E300" s="4"/>
      <c r="AF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E301" s="4"/>
      <c r="AF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E302" s="4"/>
      <c r="AF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E303" s="4"/>
      <c r="AF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E304" s="4"/>
      <c r="AF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E305" s="4"/>
      <c r="AF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E306" s="4"/>
      <c r="AF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E307" s="4"/>
      <c r="AF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E308" s="4"/>
      <c r="AF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E309" s="4"/>
      <c r="AF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E310" s="4"/>
      <c r="AF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E311" s="4"/>
      <c r="AF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E312" s="4"/>
      <c r="AF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E313" s="4"/>
      <c r="AF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E314" s="4"/>
      <c r="AF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E315" s="4"/>
      <c r="AF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E316" s="4"/>
      <c r="AF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E317" s="4"/>
      <c r="AF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E318" s="4"/>
      <c r="AF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E319" s="4"/>
      <c r="AF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E320" s="4"/>
      <c r="AF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E321" s="4"/>
      <c r="AF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E322" s="4"/>
      <c r="AF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E323" s="4"/>
      <c r="AF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E324" s="4"/>
      <c r="AF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E325" s="4"/>
      <c r="AF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E326" s="4"/>
      <c r="AF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E327" s="4"/>
      <c r="AF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E328" s="4"/>
      <c r="AF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E329" s="4"/>
      <c r="AF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E330" s="4"/>
      <c r="AF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E331" s="4"/>
      <c r="AF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E332" s="4"/>
      <c r="AF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E333" s="4"/>
      <c r="AF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E334" s="4"/>
      <c r="AF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E335" s="4"/>
      <c r="AF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E336" s="4"/>
      <c r="AF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E337" s="4"/>
      <c r="AF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E338" s="4"/>
      <c r="AF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E339" s="4"/>
      <c r="AF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E340" s="4"/>
      <c r="AF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E341" s="4"/>
      <c r="AF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E342" s="4"/>
      <c r="AF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E343" s="4"/>
      <c r="AF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E344" s="4"/>
      <c r="AF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E345" s="4"/>
      <c r="AF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E346" s="4"/>
      <c r="AF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E347" s="4"/>
      <c r="AF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E348" s="4"/>
      <c r="AF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E349" s="4"/>
      <c r="AF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E350" s="4"/>
      <c r="AF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E351" s="4"/>
      <c r="AF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E352" s="4"/>
      <c r="AF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E353" s="4"/>
      <c r="AF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E354" s="4"/>
      <c r="AF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E355" s="4"/>
      <c r="AF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E356" s="4"/>
      <c r="AF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E357" s="4"/>
      <c r="AF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E358" s="4"/>
      <c r="AF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E359" s="4"/>
      <c r="AF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E360" s="4"/>
      <c r="AF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E361" s="4"/>
      <c r="AF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E362" s="4"/>
      <c r="AF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E363" s="4"/>
      <c r="AF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E364" s="4"/>
      <c r="AF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E365" s="4"/>
      <c r="AF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E366" s="4"/>
      <c r="AF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E367" s="4"/>
      <c r="AF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E368" s="4"/>
      <c r="AF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E369" s="4"/>
      <c r="AF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E370" s="4"/>
      <c r="AF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E371" s="4"/>
      <c r="AF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E372" s="4"/>
      <c r="AF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E373" s="4"/>
      <c r="AF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E374" s="4"/>
      <c r="AF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E375" s="4"/>
      <c r="AF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E376" s="4"/>
      <c r="AF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E377" s="4"/>
      <c r="AF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E378" s="4"/>
      <c r="AF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E379" s="4"/>
      <c r="AF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E380" s="4"/>
      <c r="AF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E381" s="4"/>
      <c r="AF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E382" s="4"/>
      <c r="AF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E383" s="4"/>
      <c r="AF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E384" s="4"/>
      <c r="AF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E385" s="4"/>
      <c r="AF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E386" s="4"/>
      <c r="AF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E387" s="4"/>
      <c r="AF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E388" s="4"/>
      <c r="AF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E389" s="4"/>
      <c r="AF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E390" s="4"/>
      <c r="AF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E391" s="4"/>
      <c r="AF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E392" s="4"/>
      <c r="AF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E393" s="4"/>
      <c r="AF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E394" s="4"/>
      <c r="AF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E395" s="4"/>
      <c r="AF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E396" s="4"/>
      <c r="AF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E397" s="4"/>
      <c r="AF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E398" s="4"/>
      <c r="AF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E399" s="4"/>
      <c r="AF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E400" s="4"/>
      <c r="AF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E401" s="4"/>
      <c r="AF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E402" s="4"/>
      <c r="AF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E403" s="4"/>
      <c r="AF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E404" s="4"/>
      <c r="AF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E405" s="4"/>
      <c r="AF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E406" s="4"/>
      <c r="AF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E407" s="4"/>
      <c r="AF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E408" s="4"/>
      <c r="AF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E409" s="4"/>
      <c r="AF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E410" s="4"/>
      <c r="AF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E411" s="4"/>
      <c r="AF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E412" s="4"/>
      <c r="AF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E413" s="4"/>
      <c r="AF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E414" s="4"/>
      <c r="AF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E415" s="4"/>
      <c r="AF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E416" s="4"/>
      <c r="AF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E417" s="4"/>
      <c r="AF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E418" s="4"/>
      <c r="AF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E419" s="4"/>
      <c r="AF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E420" s="4"/>
      <c r="AF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E421" s="4"/>
      <c r="AF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E422" s="4"/>
      <c r="AF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E423" s="4"/>
      <c r="AF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E424" s="4"/>
      <c r="AF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E425" s="4"/>
      <c r="AF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E426" s="4"/>
      <c r="AF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E427" s="4"/>
      <c r="AF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E428" s="4"/>
      <c r="AF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E429" s="4"/>
      <c r="AF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E430" s="4"/>
      <c r="AF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E431" s="4"/>
      <c r="AF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E432" s="4"/>
      <c r="AF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E433" s="4"/>
      <c r="AF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E434" s="4"/>
      <c r="AF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E435" s="4"/>
      <c r="AF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E436" s="4"/>
      <c r="AF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E437" s="4"/>
      <c r="AF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E438" s="4"/>
      <c r="AF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E439" s="4"/>
      <c r="AF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E440" s="4"/>
      <c r="AF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E441" s="4"/>
      <c r="AF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E442" s="4"/>
      <c r="AF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E443" s="4"/>
      <c r="AF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E444" s="4"/>
      <c r="AF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E445" s="4"/>
      <c r="AF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E446" s="4"/>
      <c r="AF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E447" s="4"/>
      <c r="AF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E448" s="4"/>
      <c r="AF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E449" s="4"/>
      <c r="AF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E450" s="4"/>
      <c r="AF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E451" s="4"/>
      <c r="AF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E452" s="4"/>
      <c r="AF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E453" s="4"/>
      <c r="AF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E454" s="4"/>
      <c r="AF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E455" s="4"/>
      <c r="AF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E456" s="4"/>
      <c r="AF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E457" s="4"/>
      <c r="AF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E458" s="4"/>
      <c r="AF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E459" s="4"/>
      <c r="AF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E460" s="4"/>
      <c r="AF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E461" s="4"/>
      <c r="AF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E462" s="4"/>
      <c r="AF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E463" s="4"/>
      <c r="AF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E464" s="4"/>
      <c r="AF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E465" s="4"/>
      <c r="AF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E466" s="4"/>
      <c r="AF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E467" s="4"/>
      <c r="AF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E468" s="4"/>
      <c r="AF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E469" s="4"/>
      <c r="AF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E470" s="4"/>
      <c r="AF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E471" s="4"/>
      <c r="AF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E472" s="4"/>
      <c r="AF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E473" s="4"/>
      <c r="AF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E474" s="4"/>
      <c r="AF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E475" s="4"/>
      <c r="AF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E476" s="4"/>
      <c r="AF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E477" s="4"/>
      <c r="AF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E478" s="4"/>
      <c r="AF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E479" s="4"/>
      <c r="AF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E480" s="4"/>
      <c r="AF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E481" s="4"/>
      <c r="AF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E482" s="4"/>
      <c r="AF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E483" s="4"/>
      <c r="AF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E484" s="4"/>
      <c r="AF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E485" s="4"/>
      <c r="AF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E486" s="4"/>
      <c r="AF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E487" s="4"/>
      <c r="AF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E488" s="4"/>
      <c r="AF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E489" s="4"/>
      <c r="AF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E490" s="4"/>
      <c r="AF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E491" s="4"/>
      <c r="AF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E492" s="4"/>
      <c r="AF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E493" s="4"/>
      <c r="AF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E494" s="4"/>
      <c r="AF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E495" s="4"/>
      <c r="AF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E496" s="4"/>
      <c r="AF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E497" s="4"/>
      <c r="AF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E498" s="4"/>
      <c r="AF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E499" s="4"/>
      <c r="AF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E500" s="4"/>
      <c r="AF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E501" s="4"/>
      <c r="AF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E502" s="4"/>
      <c r="AF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E503" s="4"/>
      <c r="AF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E504" s="4"/>
      <c r="AF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E505" s="4"/>
      <c r="AF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E506" s="4"/>
      <c r="AF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E507" s="4"/>
      <c r="AF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E508" s="4"/>
      <c r="AF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E509" s="4"/>
      <c r="AF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E510" s="4"/>
      <c r="AF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E511" s="4"/>
      <c r="AF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E512" s="4"/>
      <c r="AF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E513" s="4"/>
      <c r="AF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E514" s="4"/>
      <c r="AF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E515" s="4"/>
      <c r="AF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E516" s="4"/>
      <c r="AF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E517" s="4"/>
      <c r="AF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E518" s="4"/>
      <c r="AF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E519" s="4"/>
      <c r="AF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E520" s="4"/>
      <c r="AF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E521" s="4"/>
      <c r="AF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E522" s="4"/>
      <c r="AF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E523" s="4"/>
      <c r="AF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E524" s="4"/>
      <c r="AF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E525" s="4"/>
      <c r="AF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E526" s="4"/>
      <c r="AF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E527" s="4"/>
      <c r="AF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E528" s="4"/>
      <c r="AF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E529" s="4"/>
      <c r="AF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E530" s="4"/>
      <c r="AF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E531" s="4"/>
      <c r="AF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E532" s="4"/>
      <c r="AF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E533" s="4"/>
      <c r="AF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E534" s="4"/>
      <c r="AF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E535" s="4"/>
      <c r="AF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E536" s="4"/>
      <c r="AF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E537" s="4"/>
      <c r="AF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E538" s="4"/>
      <c r="AF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E539" s="4"/>
      <c r="AF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E540" s="4"/>
      <c r="AF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E541" s="4"/>
      <c r="AF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E542" s="4"/>
      <c r="AF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E543" s="4"/>
      <c r="AF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E544" s="4"/>
      <c r="AF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E545" s="4"/>
      <c r="AF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E546" s="4"/>
      <c r="AF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E547" s="4"/>
      <c r="AF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E548" s="4"/>
      <c r="AF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E549" s="4"/>
      <c r="AF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E550" s="4"/>
      <c r="AF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E551" s="4"/>
      <c r="AF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E552" s="4"/>
      <c r="AF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E553" s="4"/>
      <c r="AF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E554" s="4"/>
      <c r="AF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E555" s="4"/>
      <c r="AF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E556" s="4"/>
      <c r="AF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E557" s="4"/>
      <c r="AF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E558" s="4"/>
      <c r="AF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E559" s="4"/>
      <c r="AF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E560" s="4"/>
      <c r="AF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E561" s="4"/>
      <c r="AF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E562" s="4"/>
      <c r="AF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E563" s="4"/>
      <c r="AF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E564" s="4"/>
      <c r="AF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E565" s="4"/>
      <c r="AF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E566" s="4"/>
      <c r="AF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E567" s="4"/>
      <c r="AF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E568" s="4"/>
      <c r="AF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E569" s="4"/>
      <c r="AF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E570" s="4"/>
      <c r="AF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E571" s="4"/>
      <c r="AF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E572" s="4"/>
      <c r="AF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E573" s="4"/>
      <c r="AF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E574" s="4"/>
      <c r="AF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E575" s="4"/>
      <c r="AF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E576" s="4"/>
      <c r="AF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E577" s="4"/>
      <c r="AF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E578" s="4"/>
      <c r="AF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E579" s="4"/>
      <c r="AF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E580" s="4"/>
      <c r="AF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E581" s="4"/>
      <c r="AF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E582" s="4"/>
      <c r="AF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E583" s="4"/>
      <c r="AF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E584" s="4"/>
      <c r="AF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E585" s="4"/>
      <c r="AF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E586" s="4"/>
      <c r="AF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E587" s="4"/>
      <c r="AF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E588" s="4"/>
      <c r="AF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E589" s="4"/>
      <c r="AF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E590" s="4"/>
      <c r="AF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E591" s="4"/>
      <c r="AF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E592" s="4"/>
      <c r="AF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E593" s="4"/>
      <c r="AF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E594" s="4"/>
      <c r="AF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E595" s="4"/>
      <c r="AF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E596" s="4"/>
      <c r="AF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E597" s="4"/>
      <c r="AF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E598" s="4"/>
      <c r="AF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E599" s="4"/>
      <c r="AF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E600" s="4"/>
      <c r="AF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E601" s="4"/>
      <c r="AF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E602" s="4"/>
      <c r="AF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E603" s="4"/>
      <c r="AF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E604" s="4"/>
      <c r="AF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E605" s="4"/>
      <c r="AF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E606" s="4"/>
      <c r="AF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E607" s="4"/>
      <c r="AF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E608" s="4"/>
      <c r="AF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E609" s="4"/>
      <c r="AF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E610" s="4"/>
      <c r="AF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E611" s="4"/>
      <c r="AF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E612" s="4"/>
      <c r="AF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E613" s="4"/>
      <c r="AF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E614" s="4"/>
      <c r="AF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E615" s="4"/>
      <c r="AF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E616" s="4"/>
      <c r="AF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E617" s="4"/>
      <c r="AF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E618" s="4"/>
      <c r="AF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E619" s="4"/>
      <c r="AF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E620" s="4"/>
      <c r="AF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E621" s="4"/>
      <c r="AF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E622" s="4"/>
      <c r="AF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E623" s="4"/>
      <c r="AF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E624" s="4"/>
      <c r="AF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E625" s="4"/>
      <c r="AF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E626" s="4"/>
      <c r="AF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E627" s="4"/>
      <c r="AF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E628" s="4"/>
      <c r="AF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E629" s="4"/>
      <c r="AF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E630" s="4"/>
      <c r="AF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E631" s="4"/>
      <c r="AF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E632" s="4"/>
      <c r="AF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E633" s="4"/>
      <c r="AF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E634" s="4"/>
      <c r="AF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E635" s="4"/>
      <c r="AF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E636" s="4"/>
      <c r="AF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E637" s="4"/>
      <c r="AF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E638" s="4"/>
      <c r="AF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E639" s="4"/>
      <c r="AF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E640" s="4"/>
      <c r="AF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E641" s="4"/>
      <c r="AF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E642" s="4"/>
      <c r="AF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E643" s="4"/>
      <c r="AF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E644" s="4"/>
      <c r="AF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E645" s="4"/>
      <c r="AF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E646" s="4"/>
      <c r="AF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E647" s="4"/>
      <c r="AF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E648" s="4"/>
      <c r="AF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E649" s="4"/>
      <c r="AF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E650" s="4"/>
      <c r="AF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E651" s="4"/>
      <c r="AF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E652" s="4"/>
      <c r="AF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E653" s="4"/>
      <c r="AF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E654" s="4"/>
      <c r="AF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E655" s="4"/>
      <c r="AF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E656" s="4"/>
      <c r="AF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E657" s="4"/>
      <c r="AF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E658" s="4"/>
      <c r="AF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E659" s="4"/>
      <c r="AF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E660" s="4"/>
      <c r="AF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E661" s="4"/>
      <c r="AF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E662" s="4"/>
      <c r="AF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E663" s="4"/>
      <c r="AF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E664" s="4"/>
      <c r="AF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E665" s="4"/>
      <c r="AF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E666" s="4"/>
      <c r="AF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E667" s="4"/>
      <c r="AF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E668" s="4"/>
      <c r="AF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E669" s="4"/>
      <c r="AF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E670" s="4"/>
      <c r="AF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E671" s="4"/>
      <c r="AF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E672" s="4"/>
      <c r="AF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E673" s="4"/>
      <c r="AF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E674" s="4"/>
      <c r="AF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E675" s="4"/>
      <c r="AF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E676" s="4"/>
      <c r="AF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E677" s="4"/>
      <c r="AF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E678" s="4"/>
      <c r="AF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E679" s="4"/>
      <c r="AF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E680" s="4"/>
      <c r="AF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E681" s="4"/>
      <c r="AF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E682" s="4"/>
      <c r="AF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E683" s="4"/>
      <c r="AF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E684" s="4"/>
      <c r="AF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E685" s="4"/>
      <c r="AF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E686" s="4"/>
      <c r="AF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E687" s="4"/>
      <c r="AF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E688" s="4"/>
      <c r="AF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E689" s="4"/>
      <c r="AF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E690" s="4"/>
      <c r="AF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E691" s="4"/>
      <c r="AF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E692" s="4"/>
      <c r="AF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E693" s="4"/>
      <c r="AF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E694" s="4"/>
      <c r="AF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E695" s="4"/>
      <c r="AF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E696" s="4"/>
      <c r="AF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E697" s="4"/>
      <c r="AF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E698" s="4"/>
      <c r="AF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E699" s="4"/>
      <c r="AF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E700" s="4"/>
      <c r="AF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E701" s="4"/>
      <c r="AF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E702" s="4"/>
      <c r="AF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E703" s="4"/>
      <c r="AF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E704" s="4"/>
      <c r="AF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E705" s="4"/>
      <c r="AF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E706" s="4"/>
      <c r="AF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E707" s="4"/>
      <c r="AF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E708" s="4"/>
      <c r="AF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E709" s="4"/>
      <c r="AF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E710" s="4"/>
      <c r="AF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E711" s="4"/>
      <c r="AF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E712" s="4"/>
      <c r="AF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E713" s="4"/>
      <c r="AF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E714" s="4"/>
      <c r="AF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E715" s="4"/>
      <c r="AF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E716" s="4"/>
      <c r="AF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E717" s="4"/>
      <c r="AF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E718" s="4"/>
      <c r="AF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E719" s="4"/>
      <c r="AF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E720" s="4"/>
      <c r="AF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E721" s="4"/>
      <c r="AF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E722" s="4"/>
      <c r="AF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E723" s="4"/>
      <c r="AF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E724" s="4"/>
      <c r="AF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E725" s="4"/>
      <c r="AF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E726" s="4"/>
      <c r="AF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E727" s="4"/>
      <c r="AF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E728" s="4"/>
      <c r="AF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E729" s="4"/>
      <c r="AF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E730" s="4"/>
      <c r="AF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E731" s="4"/>
      <c r="AF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E732" s="4"/>
      <c r="AF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E733" s="4"/>
      <c r="AF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E734" s="4"/>
      <c r="AF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E735" s="4"/>
      <c r="AF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E736" s="4"/>
      <c r="AF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E737" s="4"/>
      <c r="AF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E738" s="4"/>
      <c r="AF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E739" s="4"/>
      <c r="AF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E740" s="4"/>
      <c r="AF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E741" s="4"/>
      <c r="AF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E742" s="4"/>
      <c r="AF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E743" s="4"/>
      <c r="AF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E744" s="4"/>
      <c r="AF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E745" s="4"/>
      <c r="AF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E746" s="4"/>
      <c r="AF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E747" s="4"/>
      <c r="AF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E748" s="4"/>
      <c r="AF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E749" s="4"/>
      <c r="AF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E750" s="4"/>
      <c r="AF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E751" s="4"/>
      <c r="AF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E752" s="4"/>
      <c r="AF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E753" s="4"/>
      <c r="AF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E754" s="4"/>
      <c r="AF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E755" s="4"/>
      <c r="AF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E756" s="4"/>
      <c r="AF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E757" s="4"/>
      <c r="AF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E758" s="4"/>
      <c r="AF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E759" s="4"/>
      <c r="AF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E760" s="4"/>
      <c r="AF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E761" s="4"/>
      <c r="AF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E762" s="4"/>
      <c r="AF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E763" s="4"/>
      <c r="AF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E764" s="4"/>
      <c r="AF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E765" s="4"/>
      <c r="AF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E766" s="4"/>
      <c r="AF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E767" s="4"/>
      <c r="AF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E768" s="4"/>
      <c r="AF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E769" s="4"/>
      <c r="AF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E770" s="4"/>
      <c r="AF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E771" s="4"/>
      <c r="AF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E772" s="4"/>
      <c r="AF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E773" s="4"/>
      <c r="AF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E774" s="4"/>
      <c r="AF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E775" s="4"/>
      <c r="AF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E776" s="4"/>
      <c r="AF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E777" s="4"/>
      <c r="AF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E778" s="4"/>
      <c r="AF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E779" s="4"/>
      <c r="AF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E780" s="4"/>
      <c r="AF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E781" s="4"/>
      <c r="AF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E782" s="4"/>
      <c r="AF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E783" s="4"/>
      <c r="AF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E784" s="4"/>
      <c r="AF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E785" s="4"/>
      <c r="AF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E786" s="4"/>
      <c r="AF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E787" s="4"/>
      <c r="AF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E788" s="4"/>
      <c r="AF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E789" s="4"/>
      <c r="AF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E790" s="4"/>
      <c r="AF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E791" s="4"/>
      <c r="AF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E792" s="4"/>
      <c r="AF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E793" s="4"/>
      <c r="AF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E794" s="4"/>
      <c r="AF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E795" s="4"/>
      <c r="AF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E796" s="4"/>
      <c r="AF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E797" s="4"/>
      <c r="AF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E798" s="4"/>
      <c r="AF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E799" s="4"/>
      <c r="AF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E800" s="4"/>
      <c r="AF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E801" s="4"/>
      <c r="AF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E802" s="4"/>
      <c r="AF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E803" s="4"/>
      <c r="AF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E804" s="4"/>
      <c r="AF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E805" s="4"/>
      <c r="AF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E806" s="4"/>
      <c r="AF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E807" s="4"/>
      <c r="AF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E808" s="4"/>
      <c r="AF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E809" s="4"/>
      <c r="AF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E810" s="4"/>
      <c r="AF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E811" s="4"/>
      <c r="AF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E812" s="4"/>
      <c r="AF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E813" s="4"/>
      <c r="AF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E814" s="4"/>
      <c r="AF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E815" s="4"/>
      <c r="AF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E816" s="4"/>
      <c r="AF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E817" s="4"/>
      <c r="AF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E818" s="4"/>
      <c r="AF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E819" s="4"/>
      <c r="AF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E820" s="4"/>
      <c r="AF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E821" s="4"/>
      <c r="AF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E822" s="4"/>
      <c r="AF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E823" s="4"/>
      <c r="AF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E824" s="4"/>
      <c r="AF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E825" s="4"/>
      <c r="AF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E826" s="4"/>
      <c r="AF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E827" s="4"/>
      <c r="AF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E828" s="4"/>
      <c r="AF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E829" s="4"/>
      <c r="AF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E830" s="4"/>
      <c r="AF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E831" s="4"/>
      <c r="AF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E832" s="4"/>
      <c r="AF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E833" s="4"/>
      <c r="AF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E834" s="4"/>
      <c r="AF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E835" s="4"/>
      <c r="AF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E836" s="4"/>
      <c r="AF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E837" s="4"/>
      <c r="AF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E838" s="4"/>
      <c r="AF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E839" s="4"/>
      <c r="AF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E840" s="4"/>
      <c r="AF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E841" s="4"/>
      <c r="AF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E842" s="4"/>
      <c r="AF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E843" s="4"/>
      <c r="AF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E844" s="4"/>
      <c r="AF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E845" s="4"/>
      <c r="AF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E846" s="4"/>
      <c r="AF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E847" s="4"/>
      <c r="AF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E848" s="4"/>
      <c r="AF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E849" s="4"/>
      <c r="AF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E850" s="4"/>
      <c r="AF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E851" s="4"/>
      <c r="AF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E852" s="4"/>
      <c r="AF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E853" s="4"/>
      <c r="AF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E854" s="4"/>
      <c r="AF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E855" s="4"/>
      <c r="AF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E856" s="4"/>
      <c r="AF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E857" s="4"/>
      <c r="AF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E858" s="4"/>
      <c r="AF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E859" s="4"/>
      <c r="AF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E860" s="4"/>
      <c r="AF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E861" s="4"/>
      <c r="AF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E862" s="4"/>
      <c r="AF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E863" s="4"/>
      <c r="AF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E864" s="4"/>
      <c r="AF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E865" s="4"/>
      <c r="AF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E866" s="4"/>
      <c r="AF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E867" s="4"/>
      <c r="AF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E868" s="4"/>
      <c r="AF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E869" s="4"/>
      <c r="AF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E870" s="4"/>
      <c r="AF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E871" s="4"/>
      <c r="AF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E872" s="4"/>
      <c r="AF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E873" s="4"/>
      <c r="AF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E874" s="4"/>
      <c r="AF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E875" s="4"/>
      <c r="AF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E876" s="4"/>
      <c r="AF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E877" s="4"/>
      <c r="AF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E878" s="4"/>
      <c r="AF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E879" s="4"/>
      <c r="AF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E880" s="4"/>
      <c r="AF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E881" s="4"/>
      <c r="AF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E882" s="4"/>
      <c r="AF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E883" s="4"/>
      <c r="AF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E884" s="4"/>
      <c r="AF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E885" s="4"/>
      <c r="AF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E886" s="4"/>
      <c r="AF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E887" s="4"/>
      <c r="AF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E888" s="4"/>
      <c r="AF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E889" s="4"/>
      <c r="AF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E890" s="4"/>
      <c r="AF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E891" s="4"/>
      <c r="AF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E892" s="4"/>
      <c r="AF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E893" s="4"/>
      <c r="AF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E894" s="4"/>
      <c r="AF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E895" s="4"/>
      <c r="AF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E896" s="4"/>
      <c r="AF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E897" s="4"/>
      <c r="AF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E898" s="4"/>
      <c r="AF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E899" s="4"/>
      <c r="AF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E900" s="4"/>
      <c r="AF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E901" s="4"/>
      <c r="AF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E902" s="4"/>
      <c r="AF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E903" s="4"/>
      <c r="AF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E904" s="4"/>
      <c r="AF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E905" s="4"/>
      <c r="AF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E906" s="4"/>
      <c r="AF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E907" s="4"/>
      <c r="AF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E908" s="4"/>
      <c r="AF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E909" s="4"/>
      <c r="AF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E910" s="4"/>
      <c r="AF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E911" s="4"/>
      <c r="AF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E912" s="4"/>
      <c r="AF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E913" s="4"/>
      <c r="AF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E914" s="4"/>
      <c r="AF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E915" s="4"/>
      <c r="AF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E916" s="4"/>
      <c r="AF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E917" s="4"/>
      <c r="AF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E918" s="4"/>
      <c r="AF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E919" s="4"/>
      <c r="AF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E920" s="4"/>
      <c r="AF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E921" s="4"/>
      <c r="AF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E922" s="4"/>
      <c r="AF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E923" s="4"/>
      <c r="AF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E924" s="4"/>
      <c r="AF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E925" s="4"/>
      <c r="AF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E926" s="4"/>
      <c r="AF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E927" s="4"/>
      <c r="AF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E928" s="4"/>
      <c r="AF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E929" s="4"/>
      <c r="AF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E930" s="4"/>
      <c r="AF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E931" s="4"/>
      <c r="AF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E932" s="4"/>
      <c r="AF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E933" s="4"/>
      <c r="AF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E934" s="4"/>
      <c r="AF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E935" s="4"/>
      <c r="AF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E936" s="4"/>
      <c r="AF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E937" s="4"/>
      <c r="AF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E938" s="4"/>
      <c r="AF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E939" s="4"/>
      <c r="AF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E940" s="4"/>
      <c r="AF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E941" s="4"/>
      <c r="AF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E942" s="4"/>
      <c r="AF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E943" s="4"/>
      <c r="AF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E944" s="4"/>
      <c r="AF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E945" s="4"/>
      <c r="AF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E946" s="4"/>
      <c r="AF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E947" s="4"/>
      <c r="AF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E948" s="4"/>
      <c r="AF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E949" s="4"/>
      <c r="AF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E950" s="4"/>
      <c r="AF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E951" s="4"/>
      <c r="AF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E952" s="4"/>
      <c r="AF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E953" s="4"/>
      <c r="AF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E954" s="4"/>
      <c r="AF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E955" s="4"/>
      <c r="AF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E956" s="4"/>
      <c r="AF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E957" s="4"/>
      <c r="AF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E958" s="4"/>
      <c r="AF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E959" s="4"/>
      <c r="AF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E960" s="4"/>
      <c r="AF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E961" s="4"/>
      <c r="AF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E962" s="4"/>
      <c r="AF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E963" s="4"/>
      <c r="AF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E964" s="4"/>
      <c r="AF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E965" s="4"/>
      <c r="AF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E966" s="4"/>
      <c r="AF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E967" s="4"/>
      <c r="AF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E968" s="4"/>
      <c r="AF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E969" s="4"/>
      <c r="AF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E970" s="4"/>
      <c r="AF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E971" s="4"/>
      <c r="AF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E972" s="4"/>
      <c r="AF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E973" s="4"/>
      <c r="AF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E974" s="4"/>
      <c r="AF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E975" s="4"/>
      <c r="AF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E976" s="4"/>
      <c r="AF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E977" s="4"/>
      <c r="AF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E978" s="4"/>
      <c r="AF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E979" s="4"/>
      <c r="AF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E980" s="4"/>
      <c r="AF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E981" s="4"/>
      <c r="AF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E982" s="4"/>
      <c r="AF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E983" s="4"/>
      <c r="AF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E984" s="4"/>
      <c r="AF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E985" s="4"/>
      <c r="AF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E986" s="4"/>
      <c r="AF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E987" s="4"/>
      <c r="AF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E988" s="4"/>
      <c r="AF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E989" s="4"/>
      <c r="AF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E990" s="4"/>
      <c r="AF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E991" s="4"/>
      <c r="AF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E992" s="4"/>
      <c r="AF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E993" s="4"/>
      <c r="AF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E994" s="4"/>
      <c r="AF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E995" s="4"/>
      <c r="AF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E996" s="4"/>
      <c r="AF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E997" s="4"/>
      <c r="AF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E998" s="4"/>
      <c r="AF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E999" s="4"/>
      <c r="AF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E1000" s="4"/>
      <c r="AF1000" s="4"/>
    </row>
  </sheetData>
  <autoFilter ref="$A$1:$K$8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5.57"/>
    <col customWidth="1" min="3" max="5" width="18.0"/>
    <col customWidth="1" min="6" max="6" width="16.0"/>
    <col customWidth="1" min="7" max="8" width="14.43"/>
  </cols>
  <sheetData>
    <row r="1">
      <c r="A1" s="10" t="s">
        <v>38</v>
      </c>
      <c r="B1" s="10" t="s">
        <v>39</v>
      </c>
      <c r="C1" s="10" t="s">
        <v>40</v>
      </c>
      <c r="D1" s="10" t="s">
        <v>46</v>
      </c>
      <c r="E1" s="10" t="s">
        <v>47</v>
      </c>
      <c r="F1" s="10" t="s">
        <v>286</v>
      </c>
      <c r="G1" s="10" t="s">
        <v>287</v>
      </c>
      <c r="H1" s="4" t="s">
        <v>283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64</v>
      </c>
      <c r="B2" s="4" t="s">
        <v>65</v>
      </c>
      <c r="C2" s="4" t="s">
        <v>66</v>
      </c>
      <c r="D2" s="14">
        <v>1000000.0</v>
      </c>
      <c r="E2" s="14">
        <v>617883.0</v>
      </c>
      <c r="F2" s="19">
        <f t="shared" ref="F2:F80" si="1">D2-E2</f>
        <v>382117</v>
      </c>
      <c r="G2" s="20">
        <f t="shared" ref="G2:G80" si="2">IFERROR(F2/D2,0)</f>
        <v>0.382117</v>
      </c>
      <c r="H2" s="4">
        <f t="array" ref="H2">IFERROR(INDEX(Data!$AB$2:$AB$81,MATCH(A2,Data!$A$2:$A$81,0)),1)</f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70</v>
      </c>
      <c r="B3" s="4" t="s">
        <v>71</v>
      </c>
      <c r="C3" s="4" t="s">
        <v>72</v>
      </c>
      <c r="D3" s="14">
        <v>100000.0</v>
      </c>
      <c r="E3" s="14">
        <v>75327.0</v>
      </c>
      <c r="F3" s="19">
        <f t="shared" si="1"/>
        <v>24673</v>
      </c>
      <c r="G3" s="20">
        <f t="shared" si="2"/>
        <v>0.24673</v>
      </c>
      <c r="H3" s="4">
        <f t="array" ref="H3">IFERROR(INDEX(Data!$AB$2:$AB$81,MATCH(A3,Data!$A$2:$A$81,0)),1)</f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75</v>
      </c>
      <c r="B4" s="4" t="s">
        <v>76</v>
      </c>
      <c r="C4" s="4" t="s">
        <v>66</v>
      </c>
      <c r="D4" s="14">
        <v>250000.0</v>
      </c>
      <c r="E4" s="14">
        <v>151608.0</v>
      </c>
      <c r="F4" s="19">
        <f t="shared" si="1"/>
        <v>98392</v>
      </c>
      <c r="G4" s="20">
        <f t="shared" si="2"/>
        <v>0.393568</v>
      </c>
      <c r="H4" s="4">
        <f t="array" ref="H4">IFERROR(INDEX(Data!$AB$2:$AB$81,MATCH(A4,Data!$A$2:$A$81,0)),1)</f>
        <v>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79</v>
      </c>
      <c r="B5" s="4" t="s">
        <v>80</v>
      </c>
      <c r="C5" s="4" t="s">
        <v>72</v>
      </c>
      <c r="D5" s="14">
        <v>50000.0</v>
      </c>
      <c r="E5" s="14">
        <v>30831.0</v>
      </c>
      <c r="F5" s="19">
        <f t="shared" si="1"/>
        <v>19169</v>
      </c>
      <c r="G5" s="20">
        <f t="shared" si="2"/>
        <v>0.38338</v>
      </c>
      <c r="H5" s="4">
        <f t="array" ref="H5">IFERROR(INDEX(Data!$AB$2:$AB$81,MATCH(A5,Data!$A$2:$A$81,0)),1)</f>
        <v>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83</v>
      </c>
      <c r="B6" s="4" t="s">
        <v>84</v>
      </c>
      <c r="C6" s="4" t="s">
        <v>85</v>
      </c>
      <c r="D6" s="14">
        <v>250000.0</v>
      </c>
      <c r="E6" s="14">
        <v>131069.0</v>
      </c>
      <c r="F6" s="19">
        <f t="shared" si="1"/>
        <v>118931</v>
      </c>
      <c r="G6" s="20">
        <f t="shared" si="2"/>
        <v>0.475724</v>
      </c>
      <c r="H6" s="4">
        <f t="array" ref="H6">IFERROR(INDEX(Data!$AB$2:$AB$81,MATCH(A6,Data!$A$2:$A$81,0)),1)</f>
        <v>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86</v>
      </c>
      <c r="B7" s="4" t="s">
        <v>87</v>
      </c>
      <c r="C7" s="4" t="s">
        <v>88</v>
      </c>
      <c r="D7" s="14">
        <v>1000000.0</v>
      </c>
      <c r="E7" s="14">
        <v>816443.0</v>
      </c>
      <c r="F7" s="19">
        <f t="shared" si="1"/>
        <v>183557</v>
      </c>
      <c r="G7" s="20">
        <f t="shared" si="2"/>
        <v>0.183557</v>
      </c>
      <c r="H7" s="4">
        <f t="array" ref="H7">IFERROR(INDEX(Data!$AB$2:$AB$81,MATCH(A7,Data!$A$2:$A$81,0)),1)</f>
        <v>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90</v>
      </c>
      <c r="B8" s="4" t="s">
        <v>91</v>
      </c>
      <c r="C8" s="4" t="s">
        <v>85</v>
      </c>
      <c r="D8" s="14">
        <v>500000.0</v>
      </c>
      <c r="E8" s="14">
        <v>204259.0</v>
      </c>
      <c r="F8" s="19">
        <f t="shared" si="1"/>
        <v>295741</v>
      </c>
      <c r="G8" s="20">
        <f t="shared" si="2"/>
        <v>0.591482</v>
      </c>
      <c r="H8" s="4">
        <f t="array" ref="H8">IFERROR(INDEX(Data!$AB$2:$AB$81,MATCH(A8,Data!$A$2:$A$81,0)),1)</f>
        <v>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93</v>
      </c>
      <c r="B9" s="4" t="s">
        <v>94</v>
      </c>
      <c r="C9" s="4" t="s">
        <v>88</v>
      </c>
      <c r="D9" s="14">
        <v>250000.0</v>
      </c>
      <c r="E9" s="14">
        <v>215926.0</v>
      </c>
      <c r="F9" s="19">
        <f t="shared" si="1"/>
        <v>34074</v>
      </c>
      <c r="G9" s="20">
        <f t="shared" si="2"/>
        <v>0.136296</v>
      </c>
      <c r="H9" s="4">
        <f t="array" ref="H9">IFERROR(INDEX(Data!$AB$2:$AB$81,MATCH(A9,Data!$A$2:$A$81,0)),1)</f>
        <v>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96</v>
      </c>
      <c r="B10" s="4" t="s">
        <v>97</v>
      </c>
      <c r="C10" s="4" t="s">
        <v>66</v>
      </c>
      <c r="D10" s="14">
        <v>100000.0</v>
      </c>
      <c r="E10" s="14">
        <v>106841.0</v>
      </c>
      <c r="F10" s="19">
        <f t="shared" si="1"/>
        <v>-6841</v>
      </c>
      <c r="G10" s="20">
        <f t="shared" si="2"/>
        <v>-0.06841</v>
      </c>
      <c r="H10" s="4">
        <f t="array" ref="H10">IFERROR(INDEX(Data!$AB$2:$AB$81,MATCH(A10,Data!$A$2:$A$81,0)),1)</f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99</v>
      </c>
      <c r="B11" s="4" t="s">
        <v>100</v>
      </c>
      <c r="C11" s="4" t="s">
        <v>101</v>
      </c>
      <c r="D11" s="14">
        <v>100000.0</v>
      </c>
      <c r="E11" s="14">
        <v>98305.0</v>
      </c>
      <c r="F11" s="19">
        <f t="shared" si="1"/>
        <v>1695</v>
      </c>
      <c r="G11" s="20">
        <f t="shared" si="2"/>
        <v>0.01695</v>
      </c>
      <c r="H11" s="4">
        <f t="array" ref="H11">IFERROR(INDEX(Data!$AB$2:$AB$81,MATCH(A11,Data!$A$2:$A$81,0)),1)</f>
        <v>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102</v>
      </c>
      <c r="B12" s="4" t="s">
        <v>103</v>
      </c>
      <c r="C12" s="4" t="s">
        <v>88</v>
      </c>
      <c r="D12" s="14">
        <v>50000.0</v>
      </c>
      <c r="E12" s="14">
        <v>33963.0</v>
      </c>
      <c r="F12" s="19">
        <f t="shared" si="1"/>
        <v>16037</v>
      </c>
      <c r="G12" s="20">
        <f t="shared" si="2"/>
        <v>0.32074</v>
      </c>
      <c r="H12" s="4">
        <f t="array" ref="H12">IFERROR(INDEX(Data!$AB$2:$AB$81,MATCH(A12,Data!$A$2:$A$81,0)),1)</f>
        <v>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104</v>
      </c>
      <c r="B13" s="4" t="s">
        <v>105</v>
      </c>
      <c r="C13" s="4" t="s">
        <v>88</v>
      </c>
      <c r="D13" s="14">
        <v>250000.0</v>
      </c>
      <c r="E13" s="14">
        <v>166799.0</v>
      </c>
      <c r="F13" s="19">
        <f t="shared" si="1"/>
        <v>83201</v>
      </c>
      <c r="G13" s="20">
        <f t="shared" si="2"/>
        <v>0.332804</v>
      </c>
      <c r="H13" s="4">
        <f t="array" ref="H13">IFERROR(INDEX(Data!$AB$2:$AB$81,MATCH(A13,Data!$A$2:$A$81,0)),1)</f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107</v>
      </c>
      <c r="C14" s="4" t="s">
        <v>66</v>
      </c>
      <c r="D14" s="14">
        <v>1000000.0</v>
      </c>
      <c r="E14" s="14">
        <v>1099543.0</v>
      </c>
      <c r="F14" s="19">
        <f t="shared" si="1"/>
        <v>-99543</v>
      </c>
      <c r="G14" s="20">
        <f t="shared" si="2"/>
        <v>-0.099543</v>
      </c>
      <c r="H14" s="4">
        <f t="array" ref="H14">IFERROR(INDEX(Data!$AB$2:$AB$81,MATCH(A14,Data!$A$2:$A$81,0)),1)</f>
        <v>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108</v>
      </c>
      <c r="B15" s="4" t="s">
        <v>109</v>
      </c>
      <c r="C15" s="4" t="s">
        <v>101</v>
      </c>
      <c r="D15" s="14">
        <v>250000.0</v>
      </c>
      <c r="E15" s="14">
        <v>247298.0</v>
      </c>
      <c r="F15" s="19">
        <f t="shared" si="1"/>
        <v>2702</v>
      </c>
      <c r="G15" s="20">
        <f t="shared" si="2"/>
        <v>0.010808</v>
      </c>
      <c r="H15" s="4">
        <f t="array" ref="H15">IFERROR(INDEX(Data!$AB$2:$AB$81,MATCH(A15,Data!$A$2:$A$81,0)),1)</f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110</v>
      </c>
      <c r="B16" s="4" t="s">
        <v>111</v>
      </c>
      <c r="C16" s="4" t="s">
        <v>88</v>
      </c>
      <c r="D16" s="14">
        <v>250000.0</v>
      </c>
      <c r="E16" s="14">
        <v>211151.0</v>
      </c>
      <c r="F16" s="19">
        <f t="shared" si="1"/>
        <v>38849</v>
      </c>
      <c r="G16" s="20">
        <f t="shared" si="2"/>
        <v>0.155396</v>
      </c>
      <c r="H16" s="4">
        <f t="array" ref="H16">IFERROR(INDEX(Data!$AB$2:$AB$81,MATCH(A16,Data!$A$2:$A$81,0)),1)</f>
        <v>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112</v>
      </c>
      <c r="B17" s="4" t="s">
        <v>113</v>
      </c>
      <c r="C17" s="4" t="s">
        <v>101</v>
      </c>
      <c r="D17" s="14">
        <v>1000000.0</v>
      </c>
      <c r="E17" s="14">
        <v>866455.0</v>
      </c>
      <c r="F17" s="19">
        <f t="shared" si="1"/>
        <v>133545</v>
      </c>
      <c r="G17" s="20">
        <f t="shared" si="2"/>
        <v>0.133545</v>
      </c>
      <c r="H17" s="4">
        <f t="array" ref="H17">IFERROR(INDEX(Data!$AB$2:$AB$81,MATCH(A17,Data!$A$2:$A$81,0)),1)</f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114</v>
      </c>
      <c r="B18" s="4" t="s">
        <v>115</v>
      </c>
      <c r="C18" s="4" t="s">
        <v>88</v>
      </c>
      <c r="D18" s="14">
        <v>100000.0</v>
      </c>
      <c r="E18" s="14">
        <v>97251.0</v>
      </c>
      <c r="F18" s="19">
        <f t="shared" si="1"/>
        <v>2749</v>
      </c>
      <c r="G18" s="20">
        <f t="shared" si="2"/>
        <v>0.02749</v>
      </c>
      <c r="H18" s="4">
        <f t="array" ref="H18">IFERROR(INDEX(Data!$AB$2:$AB$81,MATCH(A18,Data!$A$2:$A$81,0)),1)</f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116</v>
      </c>
      <c r="B19" s="4" t="s">
        <v>117</v>
      </c>
      <c r="C19" s="4" t="s">
        <v>72</v>
      </c>
      <c r="D19" s="14">
        <v>50000.0</v>
      </c>
      <c r="E19" s="14">
        <v>23890.0</v>
      </c>
      <c r="F19" s="19">
        <f t="shared" si="1"/>
        <v>26110</v>
      </c>
      <c r="G19" s="20">
        <f t="shared" si="2"/>
        <v>0.5222</v>
      </c>
      <c r="H19" s="4">
        <f t="array" ref="H19">IFERROR(INDEX(Data!$AB$2:$AB$81,MATCH(A19,Data!$A$2:$A$81,0)),1)</f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118</v>
      </c>
      <c r="B20" s="4" t="s">
        <v>119</v>
      </c>
      <c r="C20" s="4" t="s">
        <v>101</v>
      </c>
      <c r="D20" s="14">
        <v>50000.0</v>
      </c>
      <c r="E20" s="14">
        <v>33821.0</v>
      </c>
      <c r="F20" s="19">
        <f t="shared" si="1"/>
        <v>16179</v>
      </c>
      <c r="G20" s="20">
        <f t="shared" si="2"/>
        <v>0.32358</v>
      </c>
      <c r="H20" s="4">
        <f t="array" ref="H20">IFERROR(INDEX(Data!$AB$2:$AB$81,MATCH(A20,Data!$A$2:$A$81,0)),1)</f>
        <v>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120</v>
      </c>
      <c r="B21" s="4" t="s">
        <v>121</v>
      </c>
      <c r="C21" s="4" t="s">
        <v>85</v>
      </c>
      <c r="D21" s="14">
        <v>500000.0</v>
      </c>
      <c r="E21" s="14">
        <v>171624.0</v>
      </c>
      <c r="F21" s="19">
        <f t="shared" si="1"/>
        <v>328376</v>
      </c>
      <c r="G21" s="20">
        <f t="shared" si="2"/>
        <v>0.656752</v>
      </c>
      <c r="H21" s="4">
        <f t="array" ref="H21">IFERROR(INDEX(Data!$AB$2:$AB$81,MATCH(A21,Data!$A$2:$A$81,0)),1)</f>
        <v>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122</v>
      </c>
      <c r="B22" s="4" t="s">
        <v>123</v>
      </c>
      <c r="C22" s="4" t="s">
        <v>101</v>
      </c>
      <c r="D22" s="14">
        <v>250000.0</v>
      </c>
      <c r="E22" s="14">
        <v>201206.0</v>
      </c>
      <c r="F22" s="19">
        <f t="shared" si="1"/>
        <v>48794</v>
      </c>
      <c r="G22" s="20">
        <f t="shared" si="2"/>
        <v>0.195176</v>
      </c>
      <c r="H22" s="4">
        <f t="array" ref="H22">IFERROR(INDEX(Data!$AB$2:$AB$81,MATCH(A22,Data!$A$2:$A$81,0)),1)</f>
        <v>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125</v>
      </c>
      <c r="B23" s="4" t="s">
        <v>126</v>
      </c>
      <c r="C23" s="4" t="s">
        <v>101</v>
      </c>
      <c r="D23" s="14">
        <v>50000.0</v>
      </c>
      <c r="E23" s="14">
        <v>20176.0</v>
      </c>
      <c r="F23" s="19">
        <f t="shared" si="1"/>
        <v>29824</v>
      </c>
      <c r="G23" s="20">
        <f t="shared" si="2"/>
        <v>0.59648</v>
      </c>
      <c r="H23" s="4">
        <f t="array" ref="H23">IFERROR(INDEX(Data!$AB$2:$AB$81,MATCH(A23,Data!$A$2:$A$81,0)),1)</f>
        <v>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127</v>
      </c>
      <c r="B24" s="4" t="s">
        <v>128</v>
      </c>
      <c r="C24" s="4" t="s">
        <v>85</v>
      </c>
      <c r="D24" s="14">
        <v>50000.0</v>
      </c>
      <c r="E24" s="14">
        <v>50680.0</v>
      </c>
      <c r="F24" s="19">
        <f t="shared" si="1"/>
        <v>-680</v>
      </c>
      <c r="G24" s="20">
        <f t="shared" si="2"/>
        <v>-0.0136</v>
      </c>
      <c r="H24" s="4">
        <f t="array" ref="H24">IFERROR(INDEX(Data!$AB$2:$AB$81,MATCH(A24,Data!$A$2:$A$81,0)),1)</f>
        <v>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129</v>
      </c>
      <c r="B25" s="4" t="s">
        <v>130</v>
      </c>
      <c r="C25" s="4" t="s">
        <v>72</v>
      </c>
      <c r="D25" s="14">
        <v>50000.0</v>
      </c>
      <c r="E25" s="14">
        <v>30342.0</v>
      </c>
      <c r="F25" s="19">
        <f t="shared" si="1"/>
        <v>19658</v>
      </c>
      <c r="G25" s="20">
        <f t="shared" si="2"/>
        <v>0.39316</v>
      </c>
      <c r="H25" s="4">
        <f t="array" ref="H25">IFERROR(INDEX(Data!$AB$2:$AB$81,MATCH(A25,Data!$A$2:$A$81,0)),1)</f>
        <v>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131</v>
      </c>
      <c r="B26" s="4" t="s">
        <v>132</v>
      </c>
      <c r="C26" s="4" t="s">
        <v>72</v>
      </c>
      <c r="D26" s="14">
        <v>1000000.0</v>
      </c>
      <c r="E26" s="14">
        <v>719294.0</v>
      </c>
      <c r="F26" s="19">
        <f t="shared" si="1"/>
        <v>280706</v>
      </c>
      <c r="G26" s="20">
        <f t="shared" si="2"/>
        <v>0.280706</v>
      </c>
      <c r="H26" s="4">
        <f t="array" ref="H26">IFERROR(INDEX(Data!$AB$2:$AB$81,MATCH(A26,Data!$A$2:$A$81,0)),1)</f>
        <v>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133</v>
      </c>
      <c r="B27" s="4" t="s">
        <v>134</v>
      </c>
      <c r="C27" s="4" t="s">
        <v>85</v>
      </c>
      <c r="D27" s="14">
        <v>100000.0</v>
      </c>
      <c r="E27" s="14">
        <v>47945.0</v>
      </c>
      <c r="F27" s="19">
        <f t="shared" si="1"/>
        <v>52055</v>
      </c>
      <c r="G27" s="20">
        <f t="shared" si="2"/>
        <v>0.52055</v>
      </c>
      <c r="H27" s="4">
        <f t="array" ref="H27">IFERROR(INDEX(Data!$AB$2:$AB$81,MATCH(A27,Data!$A$2:$A$81,0)),1)</f>
        <v>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135</v>
      </c>
      <c r="B28" s="4" t="s">
        <v>136</v>
      </c>
      <c r="C28" s="4" t="s">
        <v>66</v>
      </c>
      <c r="D28" s="14">
        <v>500000.0</v>
      </c>
      <c r="E28" s="14">
        <v>500617.0</v>
      </c>
      <c r="F28" s="19">
        <f t="shared" si="1"/>
        <v>-617</v>
      </c>
      <c r="G28" s="20">
        <f t="shared" si="2"/>
        <v>-0.001234</v>
      </c>
      <c r="H28" s="4">
        <f t="array" ref="H28">IFERROR(INDEX(Data!$AB$2:$AB$81,MATCH(A28,Data!$A$2:$A$81,0)),1)</f>
        <v>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137</v>
      </c>
      <c r="B29" s="4" t="s">
        <v>138</v>
      </c>
      <c r="C29" s="4" t="s">
        <v>66</v>
      </c>
      <c r="D29" s="14">
        <v>500000.0</v>
      </c>
      <c r="E29" s="14">
        <v>327725.0</v>
      </c>
      <c r="F29" s="19">
        <f t="shared" si="1"/>
        <v>172275</v>
      </c>
      <c r="G29" s="20">
        <f t="shared" si="2"/>
        <v>0.34455</v>
      </c>
      <c r="H29" s="4">
        <f t="array" ref="H29">IFERROR(INDEX(Data!$AB$2:$AB$81,MATCH(A29,Data!$A$2:$A$81,0)),1)</f>
        <v>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139</v>
      </c>
      <c r="B30" s="4" t="s">
        <v>140</v>
      </c>
      <c r="C30" s="4" t="s">
        <v>85</v>
      </c>
      <c r="D30" s="14">
        <v>50000.0</v>
      </c>
      <c r="E30" s="14">
        <v>41499.0</v>
      </c>
      <c r="F30" s="19">
        <f t="shared" si="1"/>
        <v>8501</v>
      </c>
      <c r="G30" s="20">
        <f t="shared" si="2"/>
        <v>0.17002</v>
      </c>
      <c r="H30" s="4">
        <f t="array" ref="H30">IFERROR(INDEX(Data!$AB$2:$AB$81,MATCH(A30,Data!$A$2:$A$81,0)),1)</f>
        <v>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141</v>
      </c>
      <c r="B31" s="4" t="s">
        <v>142</v>
      </c>
      <c r="C31" s="4" t="s">
        <v>85</v>
      </c>
      <c r="D31" s="14">
        <v>500000.0</v>
      </c>
      <c r="E31" s="14">
        <v>229458.0</v>
      </c>
      <c r="F31" s="19">
        <f t="shared" si="1"/>
        <v>270542</v>
      </c>
      <c r="G31" s="20">
        <f t="shared" si="2"/>
        <v>0.541084</v>
      </c>
      <c r="H31" s="4">
        <f t="array" ref="H31">IFERROR(INDEX(Data!$AB$2:$AB$81,MATCH(A31,Data!$A$2:$A$81,0)),1)</f>
        <v>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143</v>
      </c>
      <c r="B32" s="4" t="s">
        <v>144</v>
      </c>
      <c r="C32" s="4" t="s">
        <v>101</v>
      </c>
      <c r="D32" s="14">
        <v>500000.0</v>
      </c>
      <c r="E32" s="14">
        <v>282241.0</v>
      </c>
      <c r="F32" s="19">
        <f t="shared" si="1"/>
        <v>217759</v>
      </c>
      <c r="G32" s="20">
        <f t="shared" si="2"/>
        <v>0.435518</v>
      </c>
      <c r="H32" s="4">
        <f t="array" ref="H32">IFERROR(INDEX(Data!$AB$2:$AB$81,MATCH(A32,Data!$A$2:$A$81,0)),1)</f>
        <v>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145</v>
      </c>
      <c r="B33" s="4" t="s">
        <v>146</v>
      </c>
      <c r="C33" s="4" t="s">
        <v>66</v>
      </c>
      <c r="D33" s="14">
        <v>250000.0</v>
      </c>
      <c r="E33" s="14">
        <v>203867.0</v>
      </c>
      <c r="F33" s="19">
        <f t="shared" si="1"/>
        <v>46133</v>
      </c>
      <c r="G33" s="20">
        <f t="shared" si="2"/>
        <v>0.184532</v>
      </c>
      <c r="H33" s="4">
        <f t="array" ref="H33">IFERROR(INDEX(Data!$AB$2:$AB$81,MATCH(A33,Data!$A$2:$A$81,0)),1)</f>
        <v>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147</v>
      </c>
      <c r="B34" s="4" t="s">
        <v>148</v>
      </c>
      <c r="C34" s="4" t="s">
        <v>72</v>
      </c>
      <c r="D34" s="14">
        <v>500000.0</v>
      </c>
      <c r="E34" s="14">
        <v>445416.0</v>
      </c>
      <c r="F34" s="19">
        <f t="shared" si="1"/>
        <v>54584</v>
      </c>
      <c r="G34" s="20">
        <f t="shared" si="2"/>
        <v>0.109168</v>
      </c>
      <c r="H34" s="4">
        <f t="array" ref="H34">IFERROR(INDEX(Data!$AB$2:$AB$81,MATCH(A34,Data!$A$2:$A$81,0)),1)</f>
        <v>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149</v>
      </c>
      <c r="B35" s="4" t="s">
        <v>150</v>
      </c>
      <c r="C35" s="4" t="s">
        <v>88</v>
      </c>
      <c r="D35" s="14">
        <v>50000.0</v>
      </c>
      <c r="E35" s="14">
        <v>29904.0</v>
      </c>
      <c r="F35" s="19">
        <f t="shared" si="1"/>
        <v>20096</v>
      </c>
      <c r="G35" s="20">
        <f t="shared" si="2"/>
        <v>0.40192</v>
      </c>
      <c r="H35" s="4">
        <f t="array" ref="H35">IFERROR(INDEX(Data!$AB$2:$AB$81,MATCH(A35,Data!$A$2:$A$81,0)),1)</f>
        <v>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151</v>
      </c>
      <c r="B36" s="4" t="s">
        <v>152</v>
      </c>
      <c r="C36" s="4" t="s">
        <v>85</v>
      </c>
      <c r="D36" s="14">
        <v>100000.0</v>
      </c>
      <c r="E36" s="14">
        <v>39044.0</v>
      </c>
      <c r="F36" s="19">
        <f t="shared" si="1"/>
        <v>60956</v>
      </c>
      <c r="G36" s="20">
        <f t="shared" si="2"/>
        <v>0.60956</v>
      </c>
      <c r="H36" s="4">
        <f t="array" ref="H36">IFERROR(INDEX(Data!$AB$2:$AB$81,MATCH(A36,Data!$A$2:$A$81,0)),1)</f>
        <v>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153</v>
      </c>
      <c r="B37" s="4" t="s">
        <v>154</v>
      </c>
      <c r="C37" s="4" t="s">
        <v>66</v>
      </c>
      <c r="D37" s="14">
        <v>50000.0</v>
      </c>
      <c r="E37" s="14">
        <v>49503.0</v>
      </c>
      <c r="F37" s="19">
        <f t="shared" si="1"/>
        <v>497</v>
      </c>
      <c r="G37" s="20">
        <f t="shared" si="2"/>
        <v>0.00994</v>
      </c>
      <c r="H37" s="4">
        <f t="array" ref="H37">IFERROR(INDEX(Data!$AB$2:$AB$81,MATCH(A37,Data!$A$2:$A$81,0)),1)</f>
        <v>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155</v>
      </c>
      <c r="B38" s="4" t="s">
        <v>156</v>
      </c>
      <c r="C38" s="4" t="s">
        <v>72</v>
      </c>
      <c r="D38" s="14">
        <v>1000000.0</v>
      </c>
      <c r="E38" s="14">
        <v>914022.0</v>
      </c>
      <c r="F38" s="19">
        <f t="shared" si="1"/>
        <v>85978</v>
      </c>
      <c r="G38" s="20">
        <f t="shared" si="2"/>
        <v>0.085978</v>
      </c>
      <c r="H38" s="4">
        <f t="array" ref="H38">IFERROR(INDEX(Data!$AB$2:$AB$81,MATCH(A38,Data!$A$2:$A$81,0)),1)</f>
        <v>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157</v>
      </c>
      <c r="B39" s="4" t="s">
        <v>158</v>
      </c>
      <c r="C39" s="4" t="s">
        <v>101</v>
      </c>
      <c r="D39" s="14">
        <v>500000.0</v>
      </c>
      <c r="E39" s="14">
        <v>288299.0</v>
      </c>
      <c r="F39" s="19">
        <f t="shared" si="1"/>
        <v>211701</v>
      </c>
      <c r="G39" s="20">
        <f t="shared" si="2"/>
        <v>0.423402</v>
      </c>
      <c r="H39" s="4">
        <f t="array" ref="H39">IFERROR(INDEX(Data!$AB$2:$AB$81,MATCH(A39,Data!$A$2:$A$81,0)),1)</f>
        <v>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159</v>
      </c>
      <c r="B40" s="4" t="s">
        <v>160</v>
      </c>
      <c r="C40" s="4" t="s">
        <v>66</v>
      </c>
      <c r="D40" s="14">
        <v>1000000.0</v>
      </c>
      <c r="E40" s="14">
        <v>979076.0</v>
      </c>
      <c r="F40" s="19">
        <f t="shared" si="1"/>
        <v>20924</v>
      </c>
      <c r="G40" s="20">
        <f t="shared" si="2"/>
        <v>0.020924</v>
      </c>
      <c r="H40" s="4">
        <f t="array" ref="H40">IFERROR(INDEX(Data!$AB$2:$AB$81,MATCH(A40,Data!$A$2:$A$81,0)),1)</f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161</v>
      </c>
      <c r="B41" s="4" t="s">
        <v>162</v>
      </c>
      <c r="C41" s="4" t="s">
        <v>85</v>
      </c>
      <c r="D41" s="14">
        <v>1000000.0</v>
      </c>
      <c r="E41" s="14">
        <v>478165.0</v>
      </c>
      <c r="F41" s="19">
        <f t="shared" si="1"/>
        <v>521835</v>
      </c>
      <c r="G41" s="20">
        <f t="shared" si="2"/>
        <v>0.521835</v>
      </c>
      <c r="H41" s="4">
        <f t="array" ref="H41">IFERROR(INDEX(Data!$AB$2:$AB$81,MATCH(A41,Data!$A$2:$A$81,0)),1)</f>
        <v>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163</v>
      </c>
      <c r="B42" s="4" t="s">
        <v>164</v>
      </c>
      <c r="C42" s="4" t="s">
        <v>88</v>
      </c>
      <c r="D42" s="14">
        <v>50000.0</v>
      </c>
      <c r="E42" s="14">
        <v>49263.0</v>
      </c>
      <c r="F42" s="19">
        <f t="shared" si="1"/>
        <v>737</v>
      </c>
      <c r="G42" s="20">
        <f t="shared" si="2"/>
        <v>0.01474</v>
      </c>
      <c r="H42" s="4">
        <f t="array" ref="H42">IFERROR(INDEX(Data!$AB$2:$AB$81,MATCH(A42,Data!$A$2:$A$81,0)),1)</f>
        <v>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165</v>
      </c>
      <c r="B43" s="4" t="s">
        <v>166</v>
      </c>
      <c r="C43" s="4" t="s">
        <v>85</v>
      </c>
      <c r="D43" s="14">
        <v>1000000.0</v>
      </c>
      <c r="E43" s="14">
        <v>739279.0</v>
      </c>
      <c r="F43" s="19">
        <f t="shared" si="1"/>
        <v>260721</v>
      </c>
      <c r="G43" s="20">
        <f t="shared" si="2"/>
        <v>0.260721</v>
      </c>
      <c r="H43" s="4">
        <f t="array" ref="H43">IFERROR(INDEX(Data!$AB$2:$AB$81,MATCH(A43,Data!$A$2:$A$81,0)),1)</f>
        <v>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167</v>
      </c>
      <c r="B44" s="4" t="s">
        <v>168</v>
      </c>
      <c r="C44" s="4" t="s">
        <v>66</v>
      </c>
      <c r="D44" s="14">
        <v>50000.0</v>
      </c>
      <c r="E44" s="14">
        <v>47663.0</v>
      </c>
      <c r="F44" s="19">
        <f t="shared" si="1"/>
        <v>2337</v>
      </c>
      <c r="G44" s="20">
        <f t="shared" si="2"/>
        <v>0.04674</v>
      </c>
      <c r="H44" s="4">
        <f t="array" ref="H44">IFERROR(INDEX(Data!$AB$2:$AB$81,MATCH(A44,Data!$A$2:$A$81,0)),1)</f>
        <v>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169</v>
      </c>
      <c r="B45" s="4" t="s">
        <v>170</v>
      </c>
      <c r="C45" s="4" t="s">
        <v>101</v>
      </c>
      <c r="D45" s="14">
        <v>250000.0</v>
      </c>
      <c r="E45" s="14">
        <v>184538.0</v>
      </c>
      <c r="F45" s="19">
        <f t="shared" si="1"/>
        <v>65462</v>
      </c>
      <c r="G45" s="20">
        <f t="shared" si="2"/>
        <v>0.261848</v>
      </c>
      <c r="H45" s="4">
        <f t="array" ref="H45">IFERROR(INDEX(Data!$AB$2:$AB$81,MATCH(A45,Data!$A$2:$A$81,0)),1)</f>
        <v>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171</v>
      </c>
      <c r="B46" s="4" t="s">
        <v>172</v>
      </c>
      <c r="C46" s="4" t="s">
        <v>85</v>
      </c>
      <c r="D46" s="14">
        <v>100000.0</v>
      </c>
      <c r="E46" s="14">
        <v>39659.0</v>
      </c>
      <c r="F46" s="19">
        <f t="shared" si="1"/>
        <v>60341</v>
      </c>
      <c r="G46" s="20">
        <f t="shared" si="2"/>
        <v>0.60341</v>
      </c>
      <c r="H46" s="4">
        <f t="array" ref="H46">IFERROR(INDEX(Data!$AB$2:$AB$81,MATCH(A46,Data!$A$2:$A$81,0)),1)</f>
        <v>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173</v>
      </c>
      <c r="B47" s="4" t="s">
        <v>174</v>
      </c>
      <c r="C47" s="4" t="s">
        <v>88</v>
      </c>
      <c r="D47" s="14">
        <v>50000.0</v>
      </c>
      <c r="E47" s="14">
        <v>45885.0</v>
      </c>
      <c r="F47" s="19">
        <f t="shared" si="1"/>
        <v>4115</v>
      </c>
      <c r="G47" s="20">
        <f t="shared" si="2"/>
        <v>0.0823</v>
      </c>
      <c r="H47" s="4">
        <f t="array" ref="H47">IFERROR(INDEX(Data!$AB$2:$AB$81,MATCH(A47,Data!$A$2:$A$81,0)),1)</f>
        <v>1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175</v>
      </c>
      <c r="B48" s="4" t="s">
        <v>176</v>
      </c>
      <c r="C48" s="4" t="s">
        <v>85</v>
      </c>
      <c r="D48" s="14">
        <v>500000.0</v>
      </c>
      <c r="E48" s="14">
        <v>519748.0</v>
      </c>
      <c r="F48" s="19">
        <f t="shared" si="1"/>
        <v>-19748</v>
      </c>
      <c r="G48" s="20">
        <f t="shared" si="2"/>
        <v>-0.039496</v>
      </c>
      <c r="H48" s="4">
        <f t="array" ref="H48">IFERROR(INDEX(Data!$AB$2:$AB$81,MATCH(A48,Data!$A$2:$A$81,0)),1)</f>
        <v>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177</v>
      </c>
      <c r="B49" s="4" t="s">
        <v>178</v>
      </c>
      <c r="C49" s="4" t="s">
        <v>88</v>
      </c>
      <c r="D49" s="14">
        <v>1000000.0</v>
      </c>
      <c r="E49" s="14">
        <v>1005112.0</v>
      </c>
      <c r="F49" s="19">
        <f t="shared" si="1"/>
        <v>-5112</v>
      </c>
      <c r="G49" s="20">
        <f t="shared" si="2"/>
        <v>-0.005112</v>
      </c>
      <c r="H49" s="4">
        <f t="array" ref="H49">IFERROR(INDEX(Data!$AB$2:$AB$81,MATCH(A49,Data!$A$2:$A$81,0)),1)</f>
        <v>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179</v>
      </c>
      <c r="B50" s="4" t="s">
        <v>180</v>
      </c>
      <c r="C50" s="4" t="s">
        <v>101</v>
      </c>
      <c r="D50" s="14">
        <v>1000000.0</v>
      </c>
      <c r="E50" s="14">
        <v>539130.0</v>
      </c>
      <c r="F50" s="19">
        <f t="shared" si="1"/>
        <v>460870</v>
      </c>
      <c r="G50" s="20">
        <f t="shared" si="2"/>
        <v>0.46087</v>
      </c>
      <c r="H50" s="4">
        <f t="array" ref="H50">IFERROR(INDEX(Data!$AB$2:$AB$81,MATCH(A50,Data!$A$2:$A$81,0)),1)</f>
        <v>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181</v>
      </c>
      <c r="B51" s="4" t="s">
        <v>182</v>
      </c>
      <c r="C51" s="4" t="s">
        <v>66</v>
      </c>
      <c r="D51" s="14">
        <v>250000.0</v>
      </c>
      <c r="E51" s="14">
        <v>259238.0</v>
      </c>
      <c r="F51" s="19">
        <f t="shared" si="1"/>
        <v>-9238</v>
      </c>
      <c r="G51" s="20">
        <f t="shared" si="2"/>
        <v>-0.036952</v>
      </c>
      <c r="H51" s="4">
        <f t="array" ref="H51">IFERROR(INDEX(Data!$AB$2:$AB$81,MATCH(A51,Data!$A$2:$A$81,0)),1)</f>
        <v>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183</v>
      </c>
      <c r="B52" s="4" t="s">
        <v>184</v>
      </c>
      <c r="C52" s="4" t="s">
        <v>72</v>
      </c>
      <c r="D52" s="14">
        <v>1000000.0</v>
      </c>
      <c r="E52" s="14">
        <v>528742.0</v>
      </c>
      <c r="F52" s="19">
        <f t="shared" si="1"/>
        <v>471258</v>
      </c>
      <c r="G52" s="20">
        <f t="shared" si="2"/>
        <v>0.471258</v>
      </c>
      <c r="H52" s="4">
        <f t="array" ref="H52">IFERROR(INDEX(Data!$AB$2:$AB$81,MATCH(A52,Data!$A$2:$A$81,0)),1)</f>
        <v>1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185</v>
      </c>
      <c r="B53" s="4" t="s">
        <v>186</v>
      </c>
      <c r="C53" s="4" t="s">
        <v>72</v>
      </c>
      <c r="D53" s="14">
        <v>250000.0</v>
      </c>
      <c r="E53" s="14">
        <v>211678.0</v>
      </c>
      <c r="F53" s="19">
        <f t="shared" si="1"/>
        <v>38322</v>
      </c>
      <c r="G53" s="20">
        <f t="shared" si="2"/>
        <v>0.153288</v>
      </c>
      <c r="H53" s="4">
        <f t="array" ref="H53">IFERROR(INDEX(Data!$AB$2:$AB$81,MATCH(A53,Data!$A$2:$A$81,0)),1)</f>
        <v>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187</v>
      </c>
      <c r="B54" s="4" t="s">
        <v>188</v>
      </c>
      <c r="C54" s="4" t="s">
        <v>66</v>
      </c>
      <c r="D54" s="14">
        <v>100000.0</v>
      </c>
      <c r="E54" s="14">
        <v>89393.0</v>
      </c>
      <c r="F54" s="19">
        <f t="shared" si="1"/>
        <v>10607</v>
      </c>
      <c r="G54" s="20">
        <f t="shared" si="2"/>
        <v>0.10607</v>
      </c>
      <c r="H54" s="4">
        <f t="array" ref="H54">IFERROR(INDEX(Data!$AB$2:$AB$81,MATCH(A54,Data!$A$2:$A$81,0)),1)</f>
        <v>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189</v>
      </c>
      <c r="B55" s="4" t="s">
        <v>190</v>
      </c>
      <c r="C55" s="4" t="s">
        <v>66</v>
      </c>
      <c r="D55" s="14">
        <v>250000.0</v>
      </c>
      <c r="E55" s="14">
        <v>268166.0</v>
      </c>
      <c r="F55" s="19">
        <f t="shared" si="1"/>
        <v>-18166</v>
      </c>
      <c r="G55" s="20">
        <f t="shared" si="2"/>
        <v>-0.072664</v>
      </c>
      <c r="H55" s="4">
        <f t="array" ref="H55">IFERROR(INDEX(Data!$AB$2:$AB$81,MATCH(A55,Data!$A$2:$A$81,0)),1)</f>
        <v>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191</v>
      </c>
      <c r="B56" s="4" t="s">
        <v>192</v>
      </c>
      <c r="C56" s="4" t="s">
        <v>88</v>
      </c>
      <c r="D56" s="14">
        <v>1000000.0</v>
      </c>
      <c r="E56" s="14">
        <v>737292.0</v>
      </c>
      <c r="F56" s="19">
        <f t="shared" si="1"/>
        <v>262708</v>
      </c>
      <c r="G56" s="20">
        <f t="shared" si="2"/>
        <v>0.262708</v>
      </c>
      <c r="H56" s="4">
        <f t="array" ref="H56">IFERROR(INDEX(Data!$AB$2:$AB$81,MATCH(A56,Data!$A$2:$A$81,0)),1)</f>
        <v>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193</v>
      </c>
      <c r="B57" s="4" t="s">
        <v>194</v>
      </c>
      <c r="C57" s="4" t="s">
        <v>101</v>
      </c>
      <c r="D57" s="14">
        <v>500000.0</v>
      </c>
      <c r="E57" s="14">
        <v>166253.0</v>
      </c>
      <c r="F57" s="19">
        <f t="shared" si="1"/>
        <v>333747</v>
      </c>
      <c r="G57" s="20">
        <f t="shared" si="2"/>
        <v>0.667494</v>
      </c>
      <c r="H57" s="4">
        <f t="array" ref="H57">IFERROR(INDEX(Data!$AB$2:$AB$81,MATCH(A57,Data!$A$2:$A$81,0)),1)</f>
        <v>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195</v>
      </c>
      <c r="B58" s="4" t="s">
        <v>196</v>
      </c>
      <c r="C58" s="4" t="s">
        <v>66</v>
      </c>
      <c r="D58" s="14">
        <v>50000.0</v>
      </c>
      <c r="E58" s="14">
        <v>21148.0</v>
      </c>
      <c r="F58" s="19">
        <f t="shared" si="1"/>
        <v>28852</v>
      </c>
      <c r="G58" s="20">
        <f t="shared" si="2"/>
        <v>0.57704</v>
      </c>
      <c r="H58" s="4">
        <f t="array" ref="H58">IFERROR(INDEX(Data!$AB$2:$AB$81,MATCH(A58,Data!$A$2:$A$81,0)),1)</f>
        <v>1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197</v>
      </c>
      <c r="B59" s="4" t="s">
        <v>198</v>
      </c>
      <c r="C59" s="4" t="s">
        <v>66</v>
      </c>
      <c r="D59" s="14">
        <v>50000.0</v>
      </c>
      <c r="E59" s="14">
        <v>46361.0</v>
      </c>
      <c r="F59" s="19">
        <f t="shared" si="1"/>
        <v>3639</v>
      </c>
      <c r="G59" s="20">
        <f t="shared" si="2"/>
        <v>0.07278</v>
      </c>
      <c r="H59" s="4">
        <f t="array" ref="H59">IFERROR(INDEX(Data!$AB$2:$AB$81,MATCH(A59,Data!$A$2:$A$81,0)),1)</f>
        <v>1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199</v>
      </c>
      <c r="B60" s="4" t="s">
        <v>200</v>
      </c>
      <c r="C60" s="4" t="s">
        <v>88</v>
      </c>
      <c r="D60" s="14">
        <v>1000000.0</v>
      </c>
      <c r="E60" s="14">
        <v>729628.0</v>
      </c>
      <c r="F60" s="19">
        <f t="shared" si="1"/>
        <v>270372</v>
      </c>
      <c r="G60" s="20">
        <f t="shared" si="2"/>
        <v>0.270372</v>
      </c>
      <c r="H60" s="4">
        <f t="array" ref="H60">IFERROR(INDEX(Data!$AB$2:$AB$81,MATCH(A60,Data!$A$2:$A$81,0)),1)</f>
        <v>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201</v>
      </c>
      <c r="B61" s="4" t="s">
        <v>202</v>
      </c>
      <c r="C61" s="4" t="s">
        <v>88</v>
      </c>
      <c r="D61" s="14">
        <v>1000000.0</v>
      </c>
      <c r="E61" s="14">
        <v>724399.0</v>
      </c>
      <c r="F61" s="19">
        <f t="shared" si="1"/>
        <v>275601</v>
      </c>
      <c r="G61" s="20">
        <f t="shared" si="2"/>
        <v>0.275601</v>
      </c>
      <c r="H61" s="4">
        <f t="array" ref="H61">IFERROR(INDEX(Data!$AB$2:$AB$81,MATCH(A61,Data!$A$2:$A$81,0)),1)</f>
        <v>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203</v>
      </c>
      <c r="B62" s="4" t="s">
        <v>204</v>
      </c>
      <c r="C62" s="4" t="s">
        <v>101</v>
      </c>
      <c r="D62" s="14">
        <v>250000.0</v>
      </c>
      <c r="E62" s="14">
        <v>151274.0</v>
      </c>
      <c r="F62" s="19">
        <f t="shared" si="1"/>
        <v>98726</v>
      </c>
      <c r="G62" s="20">
        <f t="shared" si="2"/>
        <v>0.394904</v>
      </c>
      <c r="H62" s="4">
        <f t="array" ref="H62">IFERROR(INDEX(Data!$AB$2:$AB$81,MATCH(A62,Data!$A$2:$A$81,0)),1)</f>
        <v>1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205</v>
      </c>
      <c r="B63" s="4" t="s">
        <v>206</v>
      </c>
      <c r="C63" s="4" t="s">
        <v>101</v>
      </c>
      <c r="D63" s="14">
        <v>500000.0</v>
      </c>
      <c r="E63" s="14">
        <v>167540.0</v>
      </c>
      <c r="F63" s="19">
        <f t="shared" si="1"/>
        <v>332460</v>
      </c>
      <c r="G63" s="20">
        <f t="shared" si="2"/>
        <v>0.66492</v>
      </c>
      <c r="H63" s="4">
        <f t="array" ref="H63">IFERROR(INDEX(Data!$AB$2:$AB$81,MATCH(A63,Data!$A$2:$A$81,0)),1)</f>
        <v>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207</v>
      </c>
      <c r="B64" s="4" t="s">
        <v>208</v>
      </c>
      <c r="C64" s="4" t="s">
        <v>66</v>
      </c>
      <c r="D64" s="14">
        <v>50000.0</v>
      </c>
      <c r="E64" s="14">
        <v>40077.0</v>
      </c>
      <c r="F64" s="19">
        <f t="shared" si="1"/>
        <v>9923</v>
      </c>
      <c r="G64" s="20">
        <f t="shared" si="2"/>
        <v>0.19846</v>
      </c>
      <c r="H64" s="4">
        <f t="array" ref="H64">IFERROR(INDEX(Data!$AB$2:$AB$81,MATCH(A64,Data!$A$2:$A$81,0)),1)</f>
        <v>1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209</v>
      </c>
      <c r="B65" s="4" t="s">
        <v>210</v>
      </c>
      <c r="C65" s="4" t="s">
        <v>85</v>
      </c>
      <c r="D65" s="14">
        <v>50000.0</v>
      </c>
      <c r="E65" s="14">
        <v>44875.0</v>
      </c>
      <c r="F65" s="19">
        <f t="shared" si="1"/>
        <v>5125</v>
      </c>
      <c r="G65" s="20">
        <f t="shared" si="2"/>
        <v>0.1025</v>
      </c>
      <c r="H65" s="4">
        <f t="array" ref="H65">IFERROR(INDEX(Data!$AB$2:$AB$81,MATCH(A65,Data!$A$2:$A$81,0)),1)</f>
        <v>1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211</v>
      </c>
      <c r="B66" s="4" t="s">
        <v>212</v>
      </c>
      <c r="C66" s="4" t="s">
        <v>101</v>
      </c>
      <c r="D66" s="14">
        <v>250000.0</v>
      </c>
      <c r="E66" s="14">
        <v>186616.0</v>
      </c>
      <c r="F66" s="19">
        <f t="shared" si="1"/>
        <v>63384</v>
      </c>
      <c r="G66" s="20">
        <f t="shared" si="2"/>
        <v>0.253536</v>
      </c>
      <c r="H66" s="4">
        <f t="array" ref="H66">IFERROR(INDEX(Data!$AB$2:$AB$81,MATCH(A66,Data!$A$2:$A$81,0)),1)</f>
        <v>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213</v>
      </c>
      <c r="B67" s="4" t="s">
        <v>214</v>
      </c>
      <c r="C67" s="4" t="s">
        <v>85</v>
      </c>
      <c r="D67" s="14">
        <v>50000.0</v>
      </c>
      <c r="E67" s="14">
        <v>36393.0</v>
      </c>
      <c r="F67" s="19">
        <f t="shared" si="1"/>
        <v>13607</v>
      </c>
      <c r="G67" s="20">
        <f t="shared" si="2"/>
        <v>0.27214</v>
      </c>
      <c r="H67" s="4">
        <f t="array" ref="H67">IFERROR(INDEX(Data!$AB$2:$AB$81,MATCH(A67,Data!$A$2:$A$81,0)),1)</f>
        <v>1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215</v>
      </c>
      <c r="B68" s="4" t="s">
        <v>216</v>
      </c>
      <c r="C68" s="4" t="s">
        <v>66</v>
      </c>
      <c r="D68" s="14">
        <v>250000.0</v>
      </c>
      <c r="E68" s="14">
        <v>232378.0</v>
      </c>
      <c r="F68" s="19">
        <f t="shared" si="1"/>
        <v>17622</v>
      </c>
      <c r="G68" s="20">
        <f t="shared" si="2"/>
        <v>0.070488</v>
      </c>
      <c r="H68" s="4">
        <f t="array" ref="H68">IFERROR(INDEX(Data!$AB$2:$AB$81,MATCH(A68,Data!$A$2:$A$81,0)),1)</f>
        <v>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217</v>
      </c>
      <c r="B69" s="4" t="s">
        <v>218</v>
      </c>
      <c r="C69" s="4" t="s">
        <v>101</v>
      </c>
      <c r="D69" s="14">
        <v>100000.0</v>
      </c>
      <c r="E69" s="14">
        <v>40910.0</v>
      </c>
      <c r="F69" s="19">
        <f t="shared" si="1"/>
        <v>59090</v>
      </c>
      <c r="G69" s="20">
        <f t="shared" si="2"/>
        <v>0.5909</v>
      </c>
      <c r="H69" s="4">
        <f t="array" ref="H69">IFERROR(INDEX(Data!$AB$2:$AB$81,MATCH(A69,Data!$A$2:$A$81,0)),1)</f>
        <v>1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219</v>
      </c>
      <c r="B70" s="4" t="s">
        <v>220</v>
      </c>
      <c r="C70" s="4" t="s">
        <v>88</v>
      </c>
      <c r="D70" s="14">
        <v>100000.0</v>
      </c>
      <c r="E70" s="14">
        <v>39858.0</v>
      </c>
      <c r="F70" s="19">
        <f t="shared" si="1"/>
        <v>60142</v>
      </c>
      <c r="G70" s="20">
        <f t="shared" si="2"/>
        <v>0.60142</v>
      </c>
      <c r="H70" s="4">
        <f t="array" ref="H70">IFERROR(INDEX(Data!$AB$2:$AB$81,MATCH(A70,Data!$A$2:$A$81,0)),1)</f>
        <v>1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221</v>
      </c>
      <c r="B71" s="4" t="s">
        <v>222</v>
      </c>
      <c r="C71" s="4" t="s">
        <v>66</v>
      </c>
      <c r="D71" s="14">
        <v>100000.0</v>
      </c>
      <c r="E71" s="14">
        <v>63012.0</v>
      </c>
      <c r="F71" s="19">
        <f t="shared" si="1"/>
        <v>36988</v>
      </c>
      <c r="G71" s="20">
        <f t="shared" si="2"/>
        <v>0.36988</v>
      </c>
      <c r="H71" s="4">
        <f t="array" ref="H71">IFERROR(INDEX(Data!$AB$2:$AB$81,MATCH(A71,Data!$A$2:$A$81,0)),1)</f>
        <v>1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223</v>
      </c>
      <c r="B72" s="4" t="s">
        <v>224</v>
      </c>
      <c r="C72" s="4" t="s">
        <v>88</v>
      </c>
      <c r="D72" s="14">
        <v>50000.0</v>
      </c>
      <c r="E72" s="14">
        <v>22254.0</v>
      </c>
      <c r="F72" s="19">
        <f t="shared" si="1"/>
        <v>27746</v>
      </c>
      <c r="G72" s="20">
        <f t="shared" si="2"/>
        <v>0.55492</v>
      </c>
      <c r="H72" s="4">
        <f t="array" ref="H72">IFERROR(INDEX(Data!$AB$2:$AB$81,MATCH(A72,Data!$A$2:$A$81,0)),1)</f>
        <v>1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225</v>
      </c>
      <c r="B73" s="4" t="s">
        <v>226</v>
      </c>
      <c r="C73" s="4" t="s">
        <v>66</v>
      </c>
      <c r="D73" s="14">
        <v>1000000.0</v>
      </c>
      <c r="E73" s="14">
        <v>689752.0</v>
      </c>
      <c r="F73" s="19">
        <f t="shared" si="1"/>
        <v>310248</v>
      </c>
      <c r="G73" s="20">
        <f t="shared" si="2"/>
        <v>0.310248</v>
      </c>
      <c r="H73" s="4">
        <f t="array" ref="H73">IFERROR(INDEX(Data!$AB$2:$AB$81,MATCH(A73,Data!$A$2:$A$81,0)),1)</f>
        <v>1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227</v>
      </c>
      <c r="B74" s="4" t="s">
        <v>228</v>
      </c>
      <c r="C74" s="4" t="s">
        <v>88</v>
      </c>
      <c r="D74" s="14">
        <v>250000.0</v>
      </c>
      <c r="E74" s="14">
        <v>172172.0</v>
      </c>
      <c r="F74" s="19">
        <f t="shared" si="1"/>
        <v>77828</v>
      </c>
      <c r="G74" s="20">
        <f t="shared" si="2"/>
        <v>0.311312</v>
      </c>
      <c r="H74" s="4">
        <f t="array" ref="H74">IFERROR(INDEX(Data!$AB$2:$AB$81,MATCH(A74,Data!$A$2:$A$81,0)),1)</f>
        <v>1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229</v>
      </c>
      <c r="B75" s="4" t="s">
        <v>230</v>
      </c>
      <c r="C75" s="4" t="s">
        <v>66</v>
      </c>
      <c r="D75" s="14">
        <v>50000.0</v>
      </c>
      <c r="E75" s="14">
        <v>27528.0</v>
      </c>
      <c r="F75" s="19">
        <f t="shared" si="1"/>
        <v>22472</v>
      </c>
      <c r="G75" s="20">
        <f t="shared" si="2"/>
        <v>0.44944</v>
      </c>
      <c r="H75" s="4">
        <f t="array" ref="H75">IFERROR(INDEX(Data!$AB$2:$AB$81,MATCH(A75,Data!$A$2:$A$81,0)),1)</f>
        <v>1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231</v>
      </c>
      <c r="B76" s="4" t="s">
        <v>232</v>
      </c>
      <c r="C76" s="4" t="s">
        <v>101</v>
      </c>
      <c r="D76" s="14">
        <v>500000.0</v>
      </c>
      <c r="E76" s="14">
        <v>293496.0</v>
      </c>
      <c r="F76" s="19">
        <f t="shared" si="1"/>
        <v>206504</v>
      </c>
      <c r="G76" s="20">
        <f t="shared" si="2"/>
        <v>0.413008</v>
      </c>
      <c r="H76" s="4">
        <f t="array" ref="H76">IFERROR(INDEX(Data!$AB$2:$AB$81,MATCH(A76,Data!$A$2:$A$81,0)),1)</f>
        <v>1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233</v>
      </c>
      <c r="B77" s="4" t="s">
        <v>234</v>
      </c>
      <c r="C77" s="4" t="s">
        <v>88</v>
      </c>
      <c r="D77" s="14">
        <v>100000.0</v>
      </c>
      <c r="E77" s="14">
        <v>51058.0</v>
      </c>
      <c r="F77" s="19">
        <f t="shared" si="1"/>
        <v>48942</v>
      </c>
      <c r="G77" s="20">
        <f t="shared" si="2"/>
        <v>0.48942</v>
      </c>
      <c r="H77" s="4">
        <f t="array" ref="H77">IFERROR(INDEX(Data!$AB$2:$AB$81,MATCH(A77,Data!$A$2:$A$81,0)),1)</f>
        <v>1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235</v>
      </c>
      <c r="B78" s="4" t="s">
        <v>236</v>
      </c>
      <c r="C78" s="4" t="s">
        <v>72</v>
      </c>
      <c r="D78" s="14">
        <v>1000000.0</v>
      </c>
      <c r="E78" s="14">
        <v>470208.0</v>
      </c>
      <c r="F78" s="19">
        <f t="shared" si="1"/>
        <v>529792</v>
      </c>
      <c r="G78" s="20">
        <f t="shared" si="2"/>
        <v>0.529792</v>
      </c>
      <c r="H78" s="4">
        <f t="array" ref="H78">IFERROR(INDEX(Data!$AB$2:$AB$81,MATCH(A78,Data!$A$2:$A$81,0)),1)</f>
        <v>1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237</v>
      </c>
      <c r="B79" s="4" t="s">
        <v>238</v>
      </c>
      <c r="C79" s="4" t="s">
        <v>66</v>
      </c>
      <c r="D79" s="14">
        <v>100000.0</v>
      </c>
      <c r="E79" s="14">
        <v>101315.0</v>
      </c>
      <c r="F79" s="19">
        <f t="shared" si="1"/>
        <v>-1315</v>
      </c>
      <c r="G79" s="20">
        <f t="shared" si="2"/>
        <v>-0.01315</v>
      </c>
      <c r="H79" s="4">
        <f t="array" ref="H79">IFERROR(INDEX(Data!$AB$2:$AB$81,MATCH(A79,Data!$A$2:$A$81,0)),1)</f>
        <v>1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239</v>
      </c>
      <c r="B80" s="4" t="s">
        <v>240</v>
      </c>
      <c r="C80" s="4" t="s">
        <v>85</v>
      </c>
      <c r="D80" s="14">
        <v>50000.0</v>
      </c>
      <c r="E80" s="14">
        <v>41507.0</v>
      </c>
      <c r="F80" s="19">
        <f t="shared" si="1"/>
        <v>8493</v>
      </c>
      <c r="G80" s="20">
        <f t="shared" si="2"/>
        <v>0.16986</v>
      </c>
      <c r="H80" s="4">
        <f t="array" ref="H80">IFERROR(INDEX(Data!$AB$2:$AB$81,MATCH(A80,Data!$A$2:$A$81,0)),1)</f>
        <v>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>
        <f t="array" ref="H81">IFERROR(INDEX(Data!$AB$2:$AB$81,MATCH(A81,Data!$A$2:$A$81,0)),1)</f>
        <v>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>
        <f t="array" ref="H82">IFERROR(INDEX(Data!$AB$2:$AB$81,MATCH(A82,Data!$A$2:$A$81,0)),1)</f>
        <v>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0" t="s">
        <v>288</v>
      </c>
      <c r="B83" s="4"/>
      <c r="C83" s="4"/>
      <c r="D83" s="4"/>
      <c r="E83" s="4"/>
      <c r="F83" s="4"/>
      <c r="G83" s="4"/>
      <c r="H83" s="4">
        <f t="array" ref="H83">IFERROR(INDEX(Data!$AB$2:$AB$81,MATCH(A83,Data!$A$2:$A$81,0)),1)</f>
        <v>1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1" t="s">
        <v>40</v>
      </c>
      <c r="B84" s="21" t="s">
        <v>289</v>
      </c>
      <c r="C84" s="21" t="s">
        <v>290</v>
      </c>
      <c r="D84" s="21" t="s">
        <v>286</v>
      </c>
      <c r="E84" s="21" t="s">
        <v>287</v>
      </c>
      <c r="F84" s="4"/>
      <c r="G84" s="4"/>
      <c r="H84" s="4">
        <f t="array" ref="H84">IFERROR(INDEX(Data!$AB$2:$AB$81,MATCH(A84,Data!$A$2:$A$81,0)),1)</f>
        <v>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66</v>
      </c>
      <c r="B85" s="14">
        <v>7950000.0</v>
      </c>
      <c r="C85" s="14">
        <v>6750224.0</v>
      </c>
      <c r="D85" s="14">
        <v>1199776.0</v>
      </c>
      <c r="E85" s="13">
        <v>0.1509152201257862</v>
      </c>
      <c r="F85" s="4"/>
      <c r="G85" s="4"/>
      <c r="H85" s="4">
        <f t="array" ref="H85">IFERROR(INDEX(Data!$AB$2:$AB$81,MATCH(A85,Data!$A$2:$A$81,0)),1)</f>
        <v>1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72</v>
      </c>
      <c r="B86" s="14">
        <v>5000000.0</v>
      </c>
      <c r="C86" s="14">
        <v>3449750.0</v>
      </c>
      <c r="D86" s="14">
        <v>1550250.0</v>
      </c>
      <c r="E86" s="13">
        <v>0.31005</v>
      </c>
      <c r="F86" s="4"/>
      <c r="G86" s="4"/>
      <c r="H86" s="4">
        <f t="array" ref="H86">IFERROR(INDEX(Data!$AB$2:$AB$81,MATCH(A86,Data!$A$2:$A$81,0)),1)</f>
        <v>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85</v>
      </c>
      <c r="B87" s="14">
        <v>4800000.0</v>
      </c>
      <c r="C87" s="14">
        <v>2815204.0</v>
      </c>
      <c r="D87" s="14">
        <v>1984796.0</v>
      </c>
      <c r="E87" s="13">
        <v>0.4134991666666666</v>
      </c>
      <c r="F87" s="4"/>
      <c r="G87" s="4"/>
      <c r="H87" s="4">
        <f t="array" ref="H87">IFERROR(INDEX(Data!$AB$2:$AB$81,MATCH(A87,Data!$A$2:$A$81,0)),1)</f>
        <v>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88</v>
      </c>
      <c r="B88" s="14">
        <v>6550000.0</v>
      </c>
      <c r="C88" s="14">
        <v>5148358.0</v>
      </c>
      <c r="D88" s="14">
        <v>1401642.0</v>
      </c>
      <c r="E88" s="13">
        <v>0.2139911450381679</v>
      </c>
      <c r="F88" s="4"/>
      <c r="G88" s="4"/>
      <c r="H88" s="4">
        <f t="array" ref="H88">IFERROR(INDEX(Data!$AB$2:$AB$81,MATCH(A88,Data!$A$2:$A$81,0)),1)</f>
        <v>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101</v>
      </c>
      <c r="B89" s="14">
        <v>6050000.0</v>
      </c>
      <c r="C89" s="14">
        <v>3767558.0</v>
      </c>
      <c r="D89" s="14">
        <v>2282442.0</v>
      </c>
      <c r="E89" s="13">
        <v>0.3772631404958678</v>
      </c>
      <c r="F89" s="4"/>
      <c r="G89" s="4"/>
      <c r="H89" s="4">
        <f t="array" ref="H89">IFERROR(INDEX(Data!$AB$2:$AB$81,MATCH(A89,Data!$A$2:$A$81,0)),1)</f>
        <v>1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2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G$1000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24.0"/>
    <col customWidth="1" min="4" max="5" width="20.0"/>
    <col customWidth="1" min="6" max="6" width="8.71"/>
  </cols>
  <sheetData>
    <row r="1">
      <c r="A1" s="10" t="s">
        <v>291</v>
      </c>
      <c r="B1" s="10" t="s">
        <v>292</v>
      </c>
      <c r="C1" s="10" t="s">
        <v>293</v>
      </c>
      <c r="D1" s="10" t="s">
        <v>294</v>
      </c>
      <c r="E1" s="10" t="s">
        <v>295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69</v>
      </c>
      <c r="B2" s="4">
        <f>SUMPRODUCT(--(Data!$P$2:$P$81=A2),Data!$AB$2:$AB$81)</f>
        <v>21</v>
      </c>
      <c r="C2" s="4">
        <f>SUMPRODUCT(--(Data!$P$2:$P$81=A2),Data!$AB$2:$AB$81,Data!$H$2:$H$81)</f>
        <v>188</v>
      </c>
      <c r="D2" s="13">
        <f>IFERROR(SUMPRODUCT(--(Data!$P$2:$P$81=A2),Data!$AB$2:$AB$81,Data!$K$2:$K$81,Data!$H$2:$H$81)/SUMPRODUCT(--(Data!$P$2:$P$81=A2),Data!$AB$2:$AB$81,Data!$H$2:$H$81)/100,0)</f>
        <v>0.7915425532</v>
      </c>
      <c r="E2" s="4" t="str">
        <f t="shared" ref="E2:E6" si="1">IF(D2&gt;1,"Over-allocated",IF(D2&lt;0.6,"Under-allocated","Balanced"))</f>
        <v>Balanced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78</v>
      </c>
      <c r="B3" s="4">
        <f>SUMPRODUCT(--(Data!$P$2:$P$81=A3),Data!$AB$2:$AB$81)</f>
        <v>15</v>
      </c>
      <c r="C3" s="4">
        <f>SUMPRODUCT(--(Data!$P$2:$P$81=A3),Data!$AB$2:$AB$81,Data!$H$2:$H$81)</f>
        <v>144</v>
      </c>
      <c r="D3" s="13">
        <f>IFERROR(SUMPRODUCT(--(Data!$P$2:$P$81=A3),Data!$AB$2:$AB$81,Data!$K$2:$K$81,Data!$H$2:$H$81)/SUMPRODUCT(--(Data!$P$2:$P$81=A3),Data!$AB$2:$AB$81,Data!$H$2:$H$81)/100,0)</f>
        <v>0.8474305556</v>
      </c>
      <c r="E3" s="4" t="str">
        <f t="shared" si="1"/>
        <v>Balanced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82</v>
      </c>
      <c r="B4" s="4">
        <f>SUMPRODUCT(--(Data!$P$2:$P$81=A4),Data!$AB$2:$AB$81)</f>
        <v>15</v>
      </c>
      <c r="C4" s="4">
        <f>SUMPRODUCT(--(Data!$P$2:$P$81=A4),Data!$AB$2:$AB$81,Data!$H$2:$H$81)</f>
        <v>143</v>
      </c>
      <c r="D4" s="13">
        <f>IFERROR(SUMPRODUCT(--(Data!$P$2:$P$81=A4),Data!$AB$2:$AB$81,Data!$K$2:$K$81,Data!$H$2:$H$81)/SUMPRODUCT(--(Data!$P$2:$P$81=A4),Data!$AB$2:$AB$81,Data!$H$2:$H$81)/100,0)</f>
        <v>0.8573426573</v>
      </c>
      <c r="E4" s="4" t="str">
        <f t="shared" si="1"/>
        <v>Balanced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89</v>
      </c>
      <c r="B5" s="4">
        <f>SUMPRODUCT(--(Data!$P$2:$P$81=A5),Data!$AB$2:$AB$81)</f>
        <v>20</v>
      </c>
      <c r="C5" s="4">
        <f>SUMPRODUCT(--(Data!$P$2:$P$81=A5),Data!$AB$2:$AB$81,Data!$H$2:$H$81)</f>
        <v>191</v>
      </c>
      <c r="D5" s="13">
        <f>IFERROR(SUMPRODUCT(--(Data!$P$2:$P$81=A5),Data!$AB$2:$AB$81,Data!$K$2:$K$81,Data!$H$2:$H$81)/SUMPRODUCT(--(Data!$P$2:$P$81=A5),Data!$AB$2:$AB$81,Data!$H$2:$H$81)/100,0)</f>
        <v>0.7860732984</v>
      </c>
      <c r="E5" s="4" t="str">
        <f t="shared" si="1"/>
        <v>Balanced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124</v>
      </c>
      <c r="B6" s="4">
        <f>SUMPRODUCT(--(Data!$P$2:$P$81=A6),Data!$AB$2:$AB$81)</f>
        <v>9</v>
      </c>
      <c r="C6" s="4">
        <f>SUMPRODUCT(--(Data!$P$2:$P$81=A6),Data!$AB$2:$AB$81,Data!$H$2:$H$81)</f>
        <v>67</v>
      </c>
      <c r="D6" s="13">
        <f>IFERROR(SUMPRODUCT(--(Data!$P$2:$P$81=A6),Data!$AB$2:$AB$81,Data!$K$2:$K$81,Data!$H$2:$H$81)/SUMPRODUCT(--(Data!$P$2:$P$81=A6),Data!$AB$2:$AB$81,Data!$H$2:$H$81)/100,0)</f>
        <v>0.7614925373</v>
      </c>
      <c r="E6" s="4" t="str">
        <f t="shared" si="1"/>
        <v>Balanced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E2:E6">
    <cfRule type="containsText" dxfId="3" priority="1" operator="containsText" text="Over-allocated">
      <formula>NOT(ISERROR(SEARCH(("Over-allocated"),(E2))))</formula>
    </cfRule>
  </conditionalFormatting>
  <conditionalFormatting sqref="E2:E6">
    <cfRule type="containsText" dxfId="4" priority="2" operator="containsText" text="Under-allocated">
      <formula>NOT(ISERROR(SEARCH(("Under-allocated"),(E2))))</formula>
    </cfRule>
  </conditionalFormatting>
  <conditionalFormatting sqref="E2:E6">
    <cfRule type="containsText" dxfId="0" priority="3" operator="containsText" text="Balanced">
      <formula>NOT(ISERROR(SEARCH(("Balanced"),(E2))))</formula>
    </cfRule>
  </conditionalFormatting>
  <conditionalFormatting sqref="E2:E6">
    <cfRule type="containsText" dxfId="3" priority="4" operator="containsText" text="Over-allocated">
      <formula>NOT(ISERROR(SEARCH(("Over-allocated"),(E2))))</formula>
    </cfRule>
  </conditionalFormatting>
  <conditionalFormatting sqref="E2:E6">
    <cfRule type="containsText" dxfId="4" priority="5" operator="containsText" text="Under-allocated">
      <formula>NOT(ISERROR(SEARCH(("Under-allocated"),(E2))))</formula>
    </cfRule>
  </conditionalFormatting>
  <conditionalFormatting sqref="E2:E6">
    <cfRule type="containsText" dxfId="0" priority="6" operator="containsText" text="Balanced">
      <formula>NOT(ISERROR(SEARCH(("Balanced"),(E2))))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6.0"/>
    <col customWidth="1" min="3" max="3" width="18.0"/>
    <col customWidth="1" min="4" max="4" width="16.0"/>
    <col customWidth="1" min="5" max="5" width="14.0"/>
    <col customWidth="1" min="6" max="9" width="16.0"/>
    <col customWidth="1" min="10" max="11" width="18.0"/>
    <col customWidth="1" min="12" max="12" width="20.0"/>
    <col customWidth="1" min="13" max="13" width="16.57"/>
    <col customWidth="1" min="14" max="14" width="17.29"/>
    <col customWidth="1" min="15" max="15" width="14.0"/>
    <col customWidth="1" min="16" max="16" width="10.0"/>
    <col customWidth="1" min="17" max="46" width="9.14"/>
  </cols>
  <sheetData>
    <row r="1">
      <c r="A1" s="10" t="s">
        <v>38</v>
      </c>
      <c r="B1" s="10" t="s">
        <v>39</v>
      </c>
      <c r="C1" s="10" t="s">
        <v>40</v>
      </c>
      <c r="D1" s="10" t="s">
        <v>41</v>
      </c>
      <c r="E1" s="10" t="s">
        <v>246</v>
      </c>
      <c r="F1" s="10" t="s">
        <v>46</v>
      </c>
      <c r="G1" s="10" t="s">
        <v>47</v>
      </c>
      <c r="H1" s="10" t="s">
        <v>57</v>
      </c>
      <c r="I1" s="10" t="s">
        <v>58</v>
      </c>
      <c r="J1" s="10" t="s">
        <v>54</v>
      </c>
      <c r="K1" s="10" t="s">
        <v>55</v>
      </c>
      <c r="L1" s="10" t="s">
        <v>56</v>
      </c>
      <c r="M1" s="10" t="s">
        <v>296</v>
      </c>
      <c r="N1" s="10" t="s">
        <v>45</v>
      </c>
      <c r="O1" s="4" t="s">
        <v>283</v>
      </c>
      <c r="P1" s="4" t="s">
        <v>297</v>
      </c>
      <c r="Q1" s="4" t="s">
        <v>298</v>
      </c>
      <c r="R1" s="4" t="s">
        <v>299</v>
      </c>
      <c r="S1" s="4" t="s">
        <v>300</v>
      </c>
      <c r="T1" s="4" t="s">
        <v>301</v>
      </c>
      <c r="U1" s="4" t="s">
        <v>302</v>
      </c>
      <c r="V1" s="4" t="s">
        <v>303</v>
      </c>
      <c r="W1" s="4" t="s">
        <v>304</v>
      </c>
      <c r="X1" s="4" t="s">
        <v>305</v>
      </c>
      <c r="Y1" s="4" t="s">
        <v>306</v>
      </c>
      <c r="Z1" s="4" t="s">
        <v>307</v>
      </c>
      <c r="AA1" s="4" t="s">
        <v>308</v>
      </c>
      <c r="AB1" s="4" t="s">
        <v>309</v>
      </c>
      <c r="AC1" s="4" t="s">
        <v>310</v>
      </c>
      <c r="AD1" s="4" t="s">
        <v>311</v>
      </c>
      <c r="AE1" s="4" t="s">
        <v>312</v>
      </c>
      <c r="AF1" s="4"/>
      <c r="AG1" s="4" t="s">
        <v>301</v>
      </c>
      <c r="AH1" s="4" t="s">
        <v>302</v>
      </c>
      <c r="AI1" s="4" t="s">
        <v>303</v>
      </c>
      <c r="AJ1" s="4" t="s">
        <v>304</v>
      </c>
      <c r="AK1" s="4" t="s">
        <v>305</v>
      </c>
      <c r="AL1" s="4" t="s">
        <v>306</v>
      </c>
      <c r="AM1" s="4" t="s">
        <v>307</v>
      </c>
      <c r="AN1" s="4" t="s">
        <v>308</v>
      </c>
      <c r="AO1" s="4" t="s">
        <v>309</v>
      </c>
      <c r="AP1" s="4" t="s">
        <v>310</v>
      </c>
      <c r="AQ1" s="4" t="s">
        <v>311</v>
      </c>
      <c r="AR1" s="4" t="s">
        <v>312</v>
      </c>
      <c r="AS1" s="4" t="s">
        <v>276</v>
      </c>
      <c r="AT1" s="4" t="s">
        <v>277</v>
      </c>
    </row>
    <row r="2">
      <c r="A2" s="4" t="s">
        <v>64</v>
      </c>
      <c r="B2" s="4" t="s">
        <v>65</v>
      </c>
      <c r="C2" s="4" t="s">
        <v>66</v>
      </c>
      <c r="D2" s="6" t="s">
        <v>67</v>
      </c>
      <c r="E2" s="4" t="s">
        <v>68</v>
      </c>
      <c r="F2" s="4">
        <v>1000000.0</v>
      </c>
      <c r="G2" s="4">
        <v>617883.0</v>
      </c>
      <c r="H2" s="4">
        <v>382117.0</v>
      </c>
      <c r="I2" s="4">
        <v>38.2117</v>
      </c>
      <c r="J2" s="4">
        <v>129.0</v>
      </c>
      <c r="K2" s="4"/>
      <c r="L2" s="4"/>
      <c r="M2" s="4">
        <v>0.0</v>
      </c>
      <c r="N2" s="4">
        <v>8.0</v>
      </c>
      <c r="O2" s="4">
        <f t="array" ref="O2">IFERROR(INDEX(Data!$AB$2:$AB$81,MATCH(A2,Data!$A$2:$A$81,0)),1)</f>
        <v>1</v>
      </c>
      <c r="P2" s="4" t="str">
        <f t="shared" ref="P2:P81" si="1">IF(AND($O2=1,$M2=1),$L2,NA())</f>
        <v>#N/A</v>
      </c>
      <c r="Q2" s="4" t="str">
        <f t="shared" ref="Q2:Q81" si="2">IF(AND($O2=1,$M2=1),$I2,NA())</f>
        <v>#N/A</v>
      </c>
      <c r="R2" s="4" t="str">
        <f t="shared" ref="R2:R81" si="3">IF(AND($O2=1,$M2=0),$L2,NA())</f>
        <v/>
      </c>
      <c r="S2" s="4">
        <f t="shared" ref="S2:S81" si="4">IF(AND($O2=1,$M2=0),$I2,NA())</f>
        <v>38.2117</v>
      </c>
      <c r="T2" s="4" t="str">
        <f t="shared" ref="T2:T81" si="5">IF(AND($O2=1,UPPER(TRIM($E2))="CRITICAL"),$F2,NA())</f>
        <v>#N/A</v>
      </c>
      <c r="U2" s="4" t="str">
        <f t="shared" ref="U2:U81" si="6">IF(AND($O2=1,UPPER(TRIM($E2))="CRITICAL"),$M2,NA())</f>
        <v>#N/A</v>
      </c>
      <c r="V2" s="4" t="str">
        <f t="shared" ref="V2:V81" si="7">IF(AND($O2=1,UPPER(TRIM($E2))="CRITICAL"),MAX($N2,1),NA())</f>
        <v>#N/A</v>
      </c>
      <c r="W2" s="4" t="str">
        <f t="shared" ref="W2:W81" si="8">IF(AND($O2=1,UPPER(TRIM($E2))="HIGH"),$F2,NA())</f>
        <v>#N/A</v>
      </c>
      <c r="X2" s="4" t="str">
        <f t="shared" ref="X2:X81" si="9">IF(AND($O2=1,UPPER(TRIM($E2))="HIGH"),$M2,NA())</f>
        <v>#N/A</v>
      </c>
      <c r="Y2" s="4" t="str">
        <f t="shared" ref="Y2:Y81" si="10">IF(AND($O2=1,UPPER(TRIM($E2))="HIGH"),MAX($N2,1),NA())</f>
        <v>#N/A</v>
      </c>
      <c r="Z2" s="4">
        <f t="shared" ref="Z2:Z81" si="11">IF(AND($O2=1,UPPER(TRIM($E2))="MEDIUM"),$F2,NA())</f>
        <v>1000000</v>
      </c>
      <c r="AA2" s="4">
        <f t="shared" ref="AA2:AA81" si="12">IF(AND($O2=1,UPPER(TRIM($E2))="MEDIUM"),$M2,NA())</f>
        <v>0</v>
      </c>
      <c r="AB2" s="4">
        <f t="shared" ref="AB2:AB81" si="13">IF(AND($O2=1,UPPER(TRIM($E2))="MEDIUM"),MAX($N2,1),NA())</f>
        <v>8</v>
      </c>
      <c r="AC2" s="4" t="str">
        <f t="shared" ref="AC2:AC81" si="14">IF(AND($O2=1,UPPER(TRIM($E2))="LOW"),$F2,NA())</f>
        <v>#N/A</v>
      </c>
      <c r="AD2" s="4" t="str">
        <f t="shared" ref="AD2:AD81" si="15">IF(AND($O2=1,UPPER(TRIM($E2))="LOW"),$M2,NA())</f>
        <v>#N/A</v>
      </c>
      <c r="AE2" s="4" t="str">
        <f t="shared" ref="AE2:AE81" si="16">IF(AND($O2=1,UPPER(TRIM($E2))="LOW"),MAX($N2,1),NA())</f>
        <v>#N/A</v>
      </c>
      <c r="AF2" s="4"/>
      <c r="AG2" s="4" t="str">
        <f t="shared" ref="AG2:AG81" si="17">IF(AND($O2=1,UPPER(TRIM($E2))="CRITICAL"),$F2,NA())</f>
        <v>#N/A</v>
      </c>
      <c r="AH2" s="4" t="str">
        <f t="shared" ref="AH2:AH81" si="18">IF(AND($O2=1,UPPER(TRIM($E2))="CRITICAL"),$M2,NA())</f>
        <v>#N/A</v>
      </c>
      <c r="AI2" s="4" t="str">
        <f t="shared" ref="AI2:AI81" si="19">IF(AND($O2=1,UPPER(TRIM($E2))="CRITICAL"),$N2,NA())</f>
        <v>#N/A</v>
      </c>
      <c r="AJ2" s="4" t="str">
        <f t="shared" ref="AJ2:AJ81" si="20">IF(AND($O2=1,UPPER(TRIM($E2))="HIGH"),$F2,NA())</f>
        <v>#N/A</v>
      </c>
      <c r="AK2" s="4" t="str">
        <f t="shared" ref="AK2:AK81" si="21">IF(AND($O2=1,UPPER(TRIM($E2))="HIGH"),$M2,NA())</f>
        <v>#N/A</v>
      </c>
      <c r="AL2" s="4" t="str">
        <f t="shared" ref="AL2:AL81" si="22">IF(AND($O2=1,UPPER(TRIM($E2))="HIGH"),$N2,NA())</f>
        <v>#N/A</v>
      </c>
      <c r="AM2" s="4">
        <f t="shared" ref="AM2:AM81" si="23">IF(AND($O2=1,UPPER(TRIM($E2))="MEDIUM"),$F2,NA())</f>
        <v>1000000</v>
      </c>
      <c r="AN2" s="4">
        <f t="shared" ref="AN2:AN81" si="24">IF(AND($O2=1,UPPER(TRIM($E2))="MEDIUM"),$M2,NA())</f>
        <v>0</v>
      </c>
      <c r="AO2" s="4">
        <f t="shared" ref="AO2:AO81" si="25">IF(AND($O2=1,UPPER(TRIM($E2))="MEDIUM"),$N2,NA())</f>
        <v>8</v>
      </c>
      <c r="AP2" s="4" t="str">
        <f t="shared" ref="AP2:AP81" si="26">IF(AND($O2=1,UPPER(TRIM($E2))="LOW"),$F2,NA())</f>
        <v>#N/A</v>
      </c>
      <c r="AQ2" s="4" t="str">
        <f t="shared" ref="AQ2:AQ81" si="27">IF(AND($O2=1,UPPER(TRIM($E2))="LOW"),$M2,NA())</f>
        <v>#N/A</v>
      </c>
      <c r="AR2" s="4" t="str">
        <f t="shared" ref="AR2:AR81" si="28">IF(AND($O2=1,UPPER(TRIM($E2))="LOW"),$N2,NA())</f>
        <v>#N/A</v>
      </c>
      <c r="AS2" s="4">
        <f t="shared" ref="AS2:AS81" si="29">IF($O2=1,$J2,NA())</f>
        <v>129</v>
      </c>
      <c r="AT2" s="4" t="str">
        <f t="shared" ref="AT2:AT81" si="30">IF(AND($O2=1,ISNUMBER($K2)),$K2,NA())</f>
        <v>#N/A</v>
      </c>
    </row>
    <row r="3">
      <c r="A3" s="4" t="s">
        <v>70</v>
      </c>
      <c r="B3" s="4" t="s">
        <v>71</v>
      </c>
      <c r="C3" s="4" t="s">
        <v>72</v>
      </c>
      <c r="D3" s="8" t="s">
        <v>73</v>
      </c>
      <c r="E3" s="4" t="s">
        <v>74</v>
      </c>
      <c r="F3" s="4">
        <v>100000.0</v>
      </c>
      <c r="G3" s="4">
        <v>75327.0</v>
      </c>
      <c r="H3" s="4">
        <v>24673.0</v>
      </c>
      <c r="I3" s="4">
        <v>24.673</v>
      </c>
      <c r="J3" s="4">
        <v>68.0</v>
      </c>
      <c r="K3" s="4"/>
      <c r="L3" s="4"/>
      <c r="M3" s="4">
        <v>0.0</v>
      </c>
      <c r="N3" s="4">
        <v>12.0</v>
      </c>
      <c r="O3" s="4">
        <f t="array" ref="O3">IFERROR(INDEX(Data!$AB$2:$AB$81,MATCH(A3,Data!$A$2:$A$81,0)),1)</f>
        <v>1</v>
      </c>
      <c r="P3" s="4" t="str">
        <f t="shared" si="1"/>
        <v>#N/A</v>
      </c>
      <c r="Q3" s="4" t="str">
        <f t="shared" si="2"/>
        <v>#N/A</v>
      </c>
      <c r="R3" s="4" t="str">
        <f t="shared" si="3"/>
        <v/>
      </c>
      <c r="S3" s="4">
        <f t="shared" si="4"/>
        <v>24.673</v>
      </c>
      <c r="T3" s="4" t="str">
        <f t="shared" si="5"/>
        <v>#N/A</v>
      </c>
      <c r="U3" s="4" t="str">
        <f t="shared" si="6"/>
        <v>#N/A</v>
      </c>
      <c r="V3" s="4" t="str">
        <f t="shared" si="7"/>
        <v>#N/A</v>
      </c>
      <c r="W3" s="4" t="str">
        <f t="shared" si="8"/>
        <v>#N/A</v>
      </c>
      <c r="X3" s="4" t="str">
        <f t="shared" si="9"/>
        <v>#N/A</v>
      </c>
      <c r="Y3" s="4" t="str">
        <f t="shared" si="10"/>
        <v>#N/A</v>
      </c>
      <c r="Z3" s="4" t="str">
        <f t="shared" si="11"/>
        <v>#N/A</v>
      </c>
      <c r="AA3" s="4" t="str">
        <f t="shared" si="12"/>
        <v>#N/A</v>
      </c>
      <c r="AB3" s="4" t="str">
        <f t="shared" si="13"/>
        <v>#N/A</v>
      </c>
      <c r="AC3" s="4">
        <f t="shared" si="14"/>
        <v>100000</v>
      </c>
      <c r="AD3" s="4">
        <f t="shared" si="15"/>
        <v>0</v>
      </c>
      <c r="AE3" s="4">
        <f t="shared" si="16"/>
        <v>12</v>
      </c>
      <c r="AF3" s="4"/>
      <c r="AG3" s="4" t="str">
        <f t="shared" si="17"/>
        <v>#N/A</v>
      </c>
      <c r="AH3" s="4" t="str">
        <f t="shared" si="18"/>
        <v>#N/A</v>
      </c>
      <c r="AI3" s="4" t="str">
        <f t="shared" si="19"/>
        <v>#N/A</v>
      </c>
      <c r="AJ3" s="4" t="str">
        <f t="shared" si="20"/>
        <v>#N/A</v>
      </c>
      <c r="AK3" s="4" t="str">
        <f t="shared" si="21"/>
        <v>#N/A</v>
      </c>
      <c r="AL3" s="4" t="str">
        <f t="shared" si="22"/>
        <v>#N/A</v>
      </c>
      <c r="AM3" s="4" t="str">
        <f t="shared" si="23"/>
        <v>#N/A</v>
      </c>
      <c r="AN3" s="4" t="str">
        <f t="shared" si="24"/>
        <v>#N/A</v>
      </c>
      <c r="AO3" s="4" t="str">
        <f t="shared" si="25"/>
        <v>#N/A</v>
      </c>
      <c r="AP3" s="4">
        <f t="shared" si="26"/>
        <v>100000</v>
      </c>
      <c r="AQ3" s="4">
        <f t="shared" si="27"/>
        <v>0</v>
      </c>
      <c r="AR3" s="4">
        <f t="shared" si="28"/>
        <v>12</v>
      </c>
      <c r="AS3" s="4">
        <f t="shared" si="29"/>
        <v>68</v>
      </c>
      <c r="AT3" s="4" t="str">
        <f t="shared" si="30"/>
        <v>#N/A</v>
      </c>
    </row>
    <row r="4">
      <c r="A4" s="4" t="s">
        <v>75</v>
      </c>
      <c r="B4" s="4" t="s">
        <v>76</v>
      </c>
      <c r="C4" s="4" t="s">
        <v>66</v>
      </c>
      <c r="D4" s="6" t="s">
        <v>77</v>
      </c>
      <c r="E4" s="4" t="s">
        <v>68</v>
      </c>
      <c r="F4" s="4">
        <v>250000.0</v>
      </c>
      <c r="G4" s="4">
        <v>151608.0</v>
      </c>
      <c r="H4" s="4">
        <v>98392.0</v>
      </c>
      <c r="I4" s="4">
        <v>39.3568</v>
      </c>
      <c r="J4" s="4">
        <v>135.0</v>
      </c>
      <c r="K4" s="4"/>
      <c r="L4" s="4"/>
      <c r="M4" s="4">
        <v>0.0</v>
      </c>
      <c r="N4" s="4">
        <v>10.0</v>
      </c>
      <c r="O4" s="4">
        <f t="array" ref="O4">IFERROR(INDEX(Data!$AB$2:$AB$81,MATCH(A4,Data!$A$2:$A$81,0)),1)</f>
        <v>1</v>
      </c>
      <c r="P4" s="4" t="str">
        <f t="shared" si="1"/>
        <v>#N/A</v>
      </c>
      <c r="Q4" s="4" t="str">
        <f t="shared" si="2"/>
        <v>#N/A</v>
      </c>
      <c r="R4" s="4" t="str">
        <f t="shared" si="3"/>
        <v/>
      </c>
      <c r="S4" s="4">
        <f t="shared" si="4"/>
        <v>39.3568</v>
      </c>
      <c r="T4" s="4" t="str">
        <f t="shared" si="5"/>
        <v>#N/A</v>
      </c>
      <c r="U4" s="4" t="str">
        <f t="shared" si="6"/>
        <v>#N/A</v>
      </c>
      <c r="V4" s="4" t="str">
        <f t="shared" si="7"/>
        <v>#N/A</v>
      </c>
      <c r="W4" s="4" t="str">
        <f t="shared" si="8"/>
        <v>#N/A</v>
      </c>
      <c r="X4" s="4" t="str">
        <f t="shared" si="9"/>
        <v>#N/A</v>
      </c>
      <c r="Y4" s="4" t="str">
        <f t="shared" si="10"/>
        <v>#N/A</v>
      </c>
      <c r="Z4" s="4">
        <f t="shared" si="11"/>
        <v>250000</v>
      </c>
      <c r="AA4" s="4">
        <f t="shared" si="12"/>
        <v>0</v>
      </c>
      <c r="AB4" s="4">
        <f t="shared" si="13"/>
        <v>10</v>
      </c>
      <c r="AC4" s="4" t="str">
        <f t="shared" si="14"/>
        <v>#N/A</v>
      </c>
      <c r="AD4" s="4" t="str">
        <f t="shared" si="15"/>
        <v>#N/A</v>
      </c>
      <c r="AE4" s="4" t="str">
        <f t="shared" si="16"/>
        <v>#N/A</v>
      </c>
      <c r="AF4" s="4"/>
      <c r="AG4" s="4" t="str">
        <f t="shared" si="17"/>
        <v>#N/A</v>
      </c>
      <c r="AH4" s="4" t="str">
        <f t="shared" si="18"/>
        <v>#N/A</v>
      </c>
      <c r="AI4" s="4" t="str">
        <f t="shared" si="19"/>
        <v>#N/A</v>
      </c>
      <c r="AJ4" s="4" t="str">
        <f t="shared" si="20"/>
        <v>#N/A</v>
      </c>
      <c r="AK4" s="4" t="str">
        <f t="shared" si="21"/>
        <v>#N/A</v>
      </c>
      <c r="AL4" s="4" t="str">
        <f t="shared" si="22"/>
        <v>#N/A</v>
      </c>
      <c r="AM4" s="4">
        <f t="shared" si="23"/>
        <v>250000</v>
      </c>
      <c r="AN4" s="4">
        <f t="shared" si="24"/>
        <v>0</v>
      </c>
      <c r="AO4" s="4">
        <f t="shared" si="25"/>
        <v>10</v>
      </c>
      <c r="AP4" s="4" t="str">
        <f t="shared" si="26"/>
        <v>#N/A</v>
      </c>
      <c r="AQ4" s="4" t="str">
        <f t="shared" si="27"/>
        <v>#N/A</v>
      </c>
      <c r="AR4" s="4" t="str">
        <f t="shared" si="28"/>
        <v>#N/A</v>
      </c>
      <c r="AS4" s="4">
        <f t="shared" si="29"/>
        <v>135</v>
      </c>
      <c r="AT4" s="4" t="str">
        <f t="shared" si="30"/>
        <v>#N/A</v>
      </c>
    </row>
    <row r="5">
      <c r="A5" s="4" t="s">
        <v>79</v>
      </c>
      <c r="B5" s="4" t="s">
        <v>80</v>
      </c>
      <c r="C5" s="4" t="s">
        <v>72</v>
      </c>
      <c r="D5" s="6" t="s">
        <v>81</v>
      </c>
      <c r="E5" s="4" t="s">
        <v>68</v>
      </c>
      <c r="F5" s="4">
        <v>50000.0</v>
      </c>
      <c r="G5" s="4">
        <v>30831.0</v>
      </c>
      <c r="H5" s="4">
        <v>19169.0</v>
      </c>
      <c r="I5" s="4">
        <v>38.338</v>
      </c>
      <c r="J5" s="4">
        <v>132.0</v>
      </c>
      <c r="K5" s="4"/>
      <c r="L5" s="4"/>
      <c r="M5" s="4">
        <v>0.0</v>
      </c>
      <c r="N5" s="4">
        <v>8.0</v>
      </c>
      <c r="O5" s="4">
        <f t="array" ref="O5">IFERROR(INDEX(Data!$AB$2:$AB$81,MATCH(A5,Data!$A$2:$A$81,0)),1)</f>
        <v>1</v>
      </c>
      <c r="P5" s="4" t="str">
        <f t="shared" si="1"/>
        <v>#N/A</v>
      </c>
      <c r="Q5" s="4" t="str">
        <f t="shared" si="2"/>
        <v>#N/A</v>
      </c>
      <c r="R5" s="4" t="str">
        <f t="shared" si="3"/>
        <v/>
      </c>
      <c r="S5" s="4">
        <f t="shared" si="4"/>
        <v>38.338</v>
      </c>
      <c r="T5" s="4" t="str">
        <f t="shared" si="5"/>
        <v>#N/A</v>
      </c>
      <c r="U5" s="4" t="str">
        <f t="shared" si="6"/>
        <v>#N/A</v>
      </c>
      <c r="V5" s="4" t="str">
        <f t="shared" si="7"/>
        <v>#N/A</v>
      </c>
      <c r="W5" s="4" t="str">
        <f t="shared" si="8"/>
        <v>#N/A</v>
      </c>
      <c r="X5" s="4" t="str">
        <f t="shared" si="9"/>
        <v>#N/A</v>
      </c>
      <c r="Y5" s="4" t="str">
        <f t="shared" si="10"/>
        <v>#N/A</v>
      </c>
      <c r="Z5" s="4">
        <f t="shared" si="11"/>
        <v>50000</v>
      </c>
      <c r="AA5" s="4">
        <f t="shared" si="12"/>
        <v>0</v>
      </c>
      <c r="AB5" s="4">
        <f t="shared" si="13"/>
        <v>8</v>
      </c>
      <c r="AC5" s="4" t="str">
        <f t="shared" si="14"/>
        <v>#N/A</v>
      </c>
      <c r="AD5" s="4" t="str">
        <f t="shared" si="15"/>
        <v>#N/A</v>
      </c>
      <c r="AE5" s="4" t="str">
        <f t="shared" si="16"/>
        <v>#N/A</v>
      </c>
      <c r="AF5" s="4"/>
      <c r="AG5" s="4" t="str">
        <f t="shared" si="17"/>
        <v>#N/A</v>
      </c>
      <c r="AH5" s="4" t="str">
        <f t="shared" si="18"/>
        <v>#N/A</v>
      </c>
      <c r="AI5" s="4" t="str">
        <f t="shared" si="19"/>
        <v>#N/A</v>
      </c>
      <c r="AJ5" s="4" t="str">
        <f t="shared" si="20"/>
        <v>#N/A</v>
      </c>
      <c r="AK5" s="4" t="str">
        <f t="shared" si="21"/>
        <v>#N/A</v>
      </c>
      <c r="AL5" s="4" t="str">
        <f t="shared" si="22"/>
        <v>#N/A</v>
      </c>
      <c r="AM5" s="4">
        <f t="shared" si="23"/>
        <v>50000</v>
      </c>
      <c r="AN5" s="4">
        <f t="shared" si="24"/>
        <v>0</v>
      </c>
      <c r="AO5" s="4">
        <f t="shared" si="25"/>
        <v>8</v>
      </c>
      <c r="AP5" s="4" t="str">
        <f t="shared" si="26"/>
        <v>#N/A</v>
      </c>
      <c r="AQ5" s="4" t="str">
        <f t="shared" si="27"/>
        <v>#N/A</v>
      </c>
      <c r="AR5" s="4" t="str">
        <f t="shared" si="28"/>
        <v>#N/A</v>
      </c>
      <c r="AS5" s="4">
        <f t="shared" si="29"/>
        <v>132</v>
      </c>
      <c r="AT5" s="4" t="str">
        <f t="shared" si="30"/>
        <v>#N/A</v>
      </c>
    </row>
    <row r="6">
      <c r="A6" s="4" t="s">
        <v>83</v>
      </c>
      <c r="B6" s="4" t="s">
        <v>84</v>
      </c>
      <c r="C6" s="4" t="s">
        <v>85</v>
      </c>
      <c r="D6" s="6" t="s">
        <v>67</v>
      </c>
      <c r="E6" s="4" t="s">
        <v>68</v>
      </c>
      <c r="F6" s="4">
        <v>250000.0</v>
      </c>
      <c r="G6" s="4">
        <v>131069.0</v>
      </c>
      <c r="H6" s="4">
        <v>118931.0</v>
      </c>
      <c r="I6" s="4">
        <v>47.57239999999999</v>
      </c>
      <c r="J6" s="4">
        <v>107.0</v>
      </c>
      <c r="K6" s="4"/>
      <c r="L6" s="4"/>
      <c r="M6" s="4">
        <v>0.0</v>
      </c>
      <c r="N6" s="4">
        <v>10.0</v>
      </c>
      <c r="O6" s="4">
        <f t="array" ref="O6">IFERROR(INDEX(Data!$AB$2:$AB$81,MATCH(A6,Data!$A$2:$A$81,0)),1)</f>
        <v>1</v>
      </c>
      <c r="P6" s="4" t="str">
        <f t="shared" si="1"/>
        <v>#N/A</v>
      </c>
      <c r="Q6" s="4" t="str">
        <f t="shared" si="2"/>
        <v>#N/A</v>
      </c>
      <c r="R6" s="4" t="str">
        <f t="shared" si="3"/>
        <v/>
      </c>
      <c r="S6" s="4">
        <f t="shared" si="4"/>
        <v>47.5724</v>
      </c>
      <c r="T6" s="4" t="str">
        <f t="shared" si="5"/>
        <v>#N/A</v>
      </c>
      <c r="U6" s="4" t="str">
        <f t="shared" si="6"/>
        <v>#N/A</v>
      </c>
      <c r="V6" s="4" t="str">
        <f t="shared" si="7"/>
        <v>#N/A</v>
      </c>
      <c r="W6" s="4" t="str">
        <f t="shared" si="8"/>
        <v>#N/A</v>
      </c>
      <c r="X6" s="4" t="str">
        <f t="shared" si="9"/>
        <v>#N/A</v>
      </c>
      <c r="Y6" s="4" t="str">
        <f t="shared" si="10"/>
        <v>#N/A</v>
      </c>
      <c r="Z6" s="4">
        <f t="shared" si="11"/>
        <v>250000</v>
      </c>
      <c r="AA6" s="4">
        <f t="shared" si="12"/>
        <v>0</v>
      </c>
      <c r="AB6" s="4">
        <f t="shared" si="13"/>
        <v>10</v>
      </c>
      <c r="AC6" s="4" t="str">
        <f t="shared" si="14"/>
        <v>#N/A</v>
      </c>
      <c r="AD6" s="4" t="str">
        <f t="shared" si="15"/>
        <v>#N/A</v>
      </c>
      <c r="AE6" s="4" t="str">
        <f t="shared" si="16"/>
        <v>#N/A</v>
      </c>
      <c r="AF6" s="4"/>
      <c r="AG6" s="4" t="str">
        <f t="shared" si="17"/>
        <v>#N/A</v>
      </c>
      <c r="AH6" s="4" t="str">
        <f t="shared" si="18"/>
        <v>#N/A</v>
      </c>
      <c r="AI6" s="4" t="str">
        <f t="shared" si="19"/>
        <v>#N/A</v>
      </c>
      <c r="AJ6" s="4" t="str">
        <f t="shared" si="20"/>
        <v>#N/A</v>
      </c>
      <c r="AK6" s="4" t="str">
        <f t="shared" si="21"/>
        <v>#N/A</v>
      </c>
      <c r="AL6" s="4" t="str">
        <f t="shared" si="22"/>
        <v>#N/A</v>
      </c>
      <c r="AM6" s="4">
        <f t="shared" si="23"/>
        <v>250000</v>
      </c>
      <c r="AN6" s="4">
        <f t="shared" si="24"/>
        <v>0</v>
      </c>
      <c r="AO6" s="4">
        <f t="shared" si="25"/>
        <v>10</v>
      </c>
      <c r="AP6" s="4" t="str">
        <f t="shared" si="26"/>
        <v>#N/A</v>
      </c>
      <c r="AQ6" s="4" t="str">
        <f t="shared" si="27"/>
        <v>#N/A</v>
      </c>
      <c r="AR6" s="4" t="str">
        <f t="shared" si="28"/>
        <v>#N/A</v>
      </c>
      <c r="AS6" s="4">
        <f t="shared" si="29"/>
        <v>107</v>
      </c>
      <c r="AT6" s="4" t="str">
        <f t="shared" si="30"/>
        <v>#N/A</v>
      </c>
    </row>
    <row r="7">
      <c r="A7" s="4" t="s">
        <v>86</v>
      </c>
      <c r="B7" s="4" t="s">
        <v>87</v>
      </c>
      <c r="C7" s="4" t="s">
        <v>88</v>
      </c>
      <c r="D7" s="6" t="s">
        <v>67</v>
      </c>
      <c r="E7" s="4" t="s">
        <v>74</v>
      </c>
      <c r="F7" s="4">
        <v>1000000.0</v>
      </c>
      <c r="G7" s="4">
        <v>816443.0</v>
      </c>
      <c r="H7" s="4">
        <v>183557.0</v>
      </c>
      <c r="I7" s="4">
        <v>18.3557</v>
      </c>
      <c r="J7" s="4">
        <v>136.0</v>
      </c>
      <c r="K7" s="4"/>
      <c r="L7" s="4"/>
      <c r="M7" s="4">
        <v>0.0</v>
      </c>
      <c r="N7" s="4">
        <v>6.0</v>
      </c>
      <c r="O7" s="4">
        <f t="array" ref="O7">IFERROR(INDEX(Data!$AB$2:$AB$81,MATCH(A7,Data!$A$2:$A$81,0)),1)</f>
        <v>1</v>
      </c>
      <c r="P7" s="4" t="str">
        <f t="shared" si="1"/>
        <v>#N/A</v>
      </c>
      <c r="Q7" s="4" t="str">
        <f t="shared" si="2"/>
        <v>#N/A</v>
      </c>
      <c r="R7" s="4" t="str">
        <f t="shared" si="3"/>
        <v/>
      </c>
      <c r="S7" s="4">
        <f t="shared" si="4"/>
        <v>18.3557</v>
      </c>
      <c r="T7" s="4" t="str">
        <f t="shared" si="5"/>
        <v>#N/A</v>
      </c>
      <c r="U7" s="4" t="str">
        <f t="shared" si="6"/>
        <v>#N/A</v>
      </c>
      <c r="V7" s="4" t="str">
        <f t="shared" si="7"/>
        <v>#N/A</v>
      </c>
      <c r="W7" s="4" t="str">
        <f t="shared" si="8"/>
        <v>#N/A</v>
      </c>
      <c r="X7" s="4" t="str">
        <f t="shared" si="9"/>
        <v>#N/A</v>
      </c>
      <c r="Y7" s="4" t="str">
        <f t="shared" si="10"/>
        <v>#N/A</v>
      </c>
      <c r="Z7" s="4" t="str">
        <f t="shared" si="11"/>
        <v>#N/A</v>
      </c>
      <c r="AA7" s="4" t="str">
        <f t="shared" si="12"/>
        <v>#N/A</v>
      </c>
      <c r="AB7" s="4" t="str">
        <f t="shared" si="13"/>
        <v>#N/A</v>
      </c>
      <c r="AC7" s="4">
        <f t="shared" si="14"/>
        <v>1000000</v>
      </c>
      <c r="AD7" s="4">
        <f t="shared" si="15"/>
        <v>0</v>
      </c>
      <c r="AE7" s="4">
        <f t="shared" si="16"/>
        <v>6</v>
      </c>
      <c r="AF7" s="4"/>
      <c r="AG7" s="4" t="str">
        <f t="shared" si="17"/>
        <v>#N/A</v>
      </c>
      <c r="AH7" s="4" t="str">
        <f t="shared" si="18"/>
        <v>#N/A</v>
      </c>
      <c r="AI7" s="4" t="str">
        <f t="shared" si="19"/>
        <v>#N/A</v>
      </c>
      <c r="AJ7" s="4" t="str">
        <f t="shared" si="20"/>
        <v>#N/A</v>
      </c>
      <c r="AK7" s="4" t="str">
        <f t="shared" si="21"/>
        <v>#N/A</v>
      </c>
      <c r="AL7" s="4" t="str">
        <f t="shared" si="22"/>
        <v>#N/A</v>
      </c>
      <c r="AM7" s="4" t="str">
        <f t="shared" si="23"/>
        <v>#N/A</v>
      </c>
      <c r="AN7" s="4" t="str">
        <f t="shared" si="24"/>
        <v>#N/A</v>
      </c>
      <c r="AO7" s="4" t="str">
        <f t="shared" si="25"/>
        <v>#N/A</v>
      </c>
      <c r="AP7" s="4">
        <f t="shared" si="26"/>
        <v>1000000</v>
      </c>
      <c r="AQ7" s="4">
        <f t="shared" si="27"/>
        <v>0</v>
      </c>
      <c r="AR7" s="4">
        <f t="shared" si="28"/>
        <v>6</v>
      </c>
      <c r="AS7" s="4">
        <f t="shared" si="29"/>
        <v>136</v>
      </c>
      <c r="AT7" s="4" t="str">
        <f t="shared" si="30"/>
        <v>#N/A</v>
      </c>
    </row>
    <row r="8">
      <c r="A8" s="4" t="s">
        <v>90</v>
      </c>
      <c r="B8" s="4" t="s">
        <v>91</v>
      </c>
      <c r="C8" s="4" t="s">
        <v>85</v>
      </c>
      <c r="D8" s="9" t="s">
        <v>92</v>
      </c>
      <c r="E8" s="4" t="s">
        <v>68</v>
      </c>
      <c r="F8" s="4">
        <v>500000.0</v>
      </c>
      <c r="G8" s="4">
        <v>204259.0</v>
      </c>
      <c r="H8" s="4">
        <v>295741.0</v>
      </c>
      <c r="I8" s="4">
        <v>59.1482</v>
      </c>
      <c r="J8" s="4">
        <v>70.0</v>
      </c>
      <c r="K8" s="4">
        <v>73.0</v>
      </c>
      <c r="L8" s="4">
        <v>3.0</v>
      </c>
      <c r="M8" s="4">
        <v>0.0</v>
      </c>
      <c r="N8" s="4">
        <v>11.0</v>
      </c>
      <c r="O8" s="4">
        <f t="array" ref="O8">IFERROR(INDEX(Data!$AB$2:$AB$81,MATCH(A8,Data!$A$2:$A$81,0)),1)</f>
        <v>1</v>
      </c>
      <c r="P8" s="4" t="str">
        <f t="shared" si="1"/>
        <v>#N/A</v>
      </c>
      <c r="Q8" s="4" t="str">
        <f t="shared" si="2"/>
        <v>#N/A</v>
      </c>
      <c r="R8" s="4">
        <f t="shared" si="3"/>
        <v>3</v>
      </c>
      <c r="S8" s="4">
        <f t="shared" si="4"/>
        <v>59.1482</v>
      </c>
      <c r="T8" s="4" t="str">
        <f t="shared" si="5"/>
        <v>#N/A</v>
      </c>
      <c r="U8" s="4" t="str">
        <f t="shared" si="6"/>
        <v>#N/A</v>
      </c>
      <c r="V8" s="4" t="str">
        <f t="shared" si="7"/>
        <v>#N/A</v>
      </c>
      <c r="W8" s="4" t="str">
        <f t="shared" si="8"/>
        <v>#N/A</v>
      </c>
      <c r="X8" s="4" t="str">
        <f t="shared" si="9"/>
        <v>#N/A</v>
      </c>
      <c r="Y8" s="4" t="str">
        <f t="shared" si="10"/>
        <v>#N/A</v>
      </c>
      <c r="Z8" s="4">
        <f t="shared" si="11"/>
        <v>500000</v>
      </c>
      <c r="AA8" s="4">
        <f t="shared" si="12"/>
        <v>0</v>
      </c>
      <c r="AB8" s="4">
        <f t="shared" si="13"/>
        <v>11</v>
      </c>
      <c r="AC8" s="4" t="str">
        <f t="shared" si="14"/>
        <v>#N/A</v>
      </c>
      <c r="AD8" s="4" t="str">
        <f t="shared" si="15"/>
        <v>#N/A</v>
      </c>
      <c r="AE8" s="4" t="str">
        <f t="shared" si="16"/>
        <v>#N/A</v>
      </c>
      <c r="AF8" s="4"/>
      <c r="AG8" s="4" t="str">
        <f t="shared" si="17"/>
        <v>#N/A</v>
      </c>
      <c r="AH8" s="4" t="str">
        <f t="shared" si="18"/>
        <v>#N/A</v>
      </c>
      <c r="AI8" s="4" t="str">
        <f t="shared" si="19"/>
        <v>#N/A</v>
      </c>
      <c r="AJ8" s="4" t="str">
        <f t="shared" si="20"/>
        <v>#N/A</v>
      </c>
      <c r="AK8" s="4" t="str">
        <f t="shared" si="21"/>
        <v>#N/A</v>
      </c>
      <c r="AL8" s="4" t="str">
        <f t="shared" si="22"/>
        <v>#N/A</v>
      </c>
      <c r="AM8" s="4">
        <f t="shared" si="23"/>
        <v>500000</v>
      </c>
      <c r="AN8" s="4">
        <f t="shared" si="24"/>
        <v>0</v>
      </c>
      <c r="AO8" s="4">
        <f t="shared" si="25"/>
        <v>11</v>
      </c>
      <c r="AP8" s="4" t="str">
        <f t="shared" si="26"/>
        <v>#N/A</v>
      </c>
      <c r="AQ8" s="4" t="str">
        <f t="shared" si="27"/>
        <v>#N/A</v>
      </c>
      <c r="AR8" s="4" t="str">
        <f t="shared" si="28"/>
        <v>#N/A</v>
      </c>
      <c r="AS8" s="4">
        <f t="shared" si="29"/>
        <v>70</v>
      </c>
      <c r="AT8" s="4">
        <f t="shared" si="30"/>
        <v>73</v>
      </c>
    </row>
    <row r="9">
      <c r="A9" s="4" t="s">
        <v>93</v>
      </c>
      <c r="B9" s="4" t="s">
        <v>94</v>
      </c>
      <c r="C9" s="4" t="s">
        <v>88</v>
      </c>
      <c r="D9" s="6" t="s">
        <v>77</v>
      </c>
      <c r="E9" s="4" t="s">
        <v>95</v>
      </c>
      <c r="F9" s="4">
        <v>250000.0</v>
      </c>
      <c r="G9" s="4">
        <v>215926.0</v>
      </c>
      <c r="H9" s="4">
        <v>34074.0</v>
      </c>
      <c r="I9" s="4">
        <v>13.6296</v>
      </c>
      <c r="J9" s="4">
        <v>42.0</v>
      </c>
      <c r="K9" s="4"/>
      <c r="L9" s="4"/>
      <c r="M9" s="4">
        <v>0.0</v>
      </c>
      <c r="N9" s="4">
        <v>7.0</v>
      </c>
      <c r="O9" s="4">
        <f t="array" ref="O9">IFERROR(INDEX(Data!$AB$2:$AB$81,MATCH(A9,Data!$A$2:$A$81,0)),1)</f>
        <v>1</v>
      </c>
      <c r="P9" s="4" t="str">
        <f t="shared" si="1"/>
        <v>#N/A</v>
      </c>
      <c r="Q9" s="4" t="str">
        <f t="shared" si="2"/>
        <v>#N/A</v>
      </c>
      <c r="R9" s="4" t="str">
        <f t="shared" si="3"/>
        <v/>
      </c>
      <c r="S9" s="4">
        <f t="shared" si="4"/>
        <v>13.6296</v>
      </c>
      <c r="T9" s="4" t="str">
        <f t="shared" si="5"/>
        <v>#N/A</v>
      </c>
      <c r="U9" s="4" t="str">
        <f t="shared" si="6"/>
        <v>#N/A</v>
      </c>
      <c r="V9" s="4" t="str">
        <f t="shared" si="7"/>
        <v>#N/A</v>
      </c>
      <c r="W9" s="4">
        <f t="shared" si="8"/>
        <v>250000</v>
      </c>
      <c r="X9" s="4">
        <f t="shared" si="9"/>
        <v>0</v>
      </c>
      <c r="Y9" s="4">
        <f t="shared" si="10"/>
        <v>7</v>
      </c>
      <c r="Z9" s="4" t="str">
        <f t="shared" si="11"/>
        <v>#N/A</v>
      </c>
      <c r="AA9" s="4" t="str">
        <f t="shared" si="12"/>
        <v>#N/A</v>
      </c>
      <c r="AB9" s="4" t="str">
        <f t="shared" si="13"/>
        <v>#N/A</v>
      </c>
      <c r="AC9" s="4" t="str">
        <f t="shared" si="14"/>
        <v>#N/A</v>
      </c>
      <c r="AD9" s="4" t="str">
        <f t="shared" si="15"/>
        <v>#N/A</v>
      </c>
      <c r="AE9" s="4" t="str">
        <f t="shared" si="16"/>
        <v>#N/A</v>
      </c>
      <c r="AF9" s="4"/>
      <c r="AG9" s="4" t="str">
        <f t="shared" si="17"/>
        <v>#N/A</v>
      </c>
      <c r="AH9" s="4" t="str">
        <f t="shared" si="18"/>
        <v>#N/A</v>
      </c>
      <c r="AI9" s="4" t="str">
        <f t="shared" si="19"/>
        <v>#N/A</v>
      </c>
      <c r="AJ9" s="4">
        <f t="shared" si="20"/>
        <v>250000</v>
      </c>
      <c r="AK9" s="4">
        <f t="shared" si="21"/>
        <v>0</v>
      </c>
      <c r="AL9" s="4">
        <f t="shared" si="22"/>
        <v>7</v>
      </c>
      <c r="AM9" s="4" t="str">
        <f t="shared" si="23"/>
        <v>#N/A</v>
      </c>
      <c r="AN9" s="4" t="str">
        <f t="shared" si="24"/>
        <v>#N/A</v>
      </c>
      <c r="AO9" s="4" t="str">
        <f t="shared" si="25"/>
        <v>#N/A</v>
      </c>
      <c r="AP9" s="4" t="str">
        <f t="shared" si="26"/>
        <v>#N/A</v>
      </c>
      <c r="AQ9" s="4" t="str">
        <f t="shared" si="27"/>
        <v>#N/A</v>
      </c>
      <c r="AR9" s="4" t="str">
        <f t="shared" si="28"/>
        <v>#N/A</v>
      </c>
      <c r="AS9" s="4">
        <f t="shared" si="29"/>
        <v>42</v>
      </c>
      <c r="AT9" s="4" t="str">
        <f t="shared" si="30"/>
        <v>#N/A</v>
      </c>
    </row>
    <row r="10">
      <c r="A10" s="4" t="s">
        <v>96</v>
      </c>
      <c r="B10" s="4" t="s">
        <v>97</v>
      </c>
      <c r="C10" s="4" t="s">
        <v>66</v>
      </c>
      <c r="D10" s="9" t="s">
        <v>92</v>
      </c>
      <c r="E10" s="4" t="s">
        <v>98</v>
      </c>
      <c r="F10" s="4">
        <v>100000.0</v>
      </c>
      <c r="G10" s="4">
        <v>106841.0</v>
      </c>
      <c r="H10" s="4">
        <v>-6841.0</v>
      </c>
      <c r="I10" s="4">
        <v>-6.841</v>
      </c>
      <c r="J10" s="4">
        <v>125.0</v>
      </c>
      <c r="K10" s="4">
        <v>127.0</v>
      </c>
      <c r="L10" s="4">
        <v>2.0</v>
      </c>
      <c r="M10" s="4">
        <v>0.0</v>
      </c>
      <c r="N10" s="4">
        <v>10.0</v>
      </c>
      <c r="O10" s="4">
        <f t="array" ref="O10">IFERROR(INDEX(Data!$AB$2:$AB$81,MATCH(A10,Data!$A$2:$A$81,0)),1)</f>
        <v>1</v>
      </c>
      <c r="P10" s="4" t="str">
        <f t="shared" si="1"/>
        <v>#N/A</v>
      </c>
      <c r="Q10" s="4" t="str">
        <f t="shared" si="2"/>
        <v>#N/A</v>
      </c>
      <c r="R10" s="4">
        <f t="shared" si="3"/>
        <v>2</v>
      </c>
      <c r="S10" s="4">
        <f t="shared" si="4"/>
        <v>-6.841</v>
      </c>
      <c r="T10" s="4">
        <f t="shared" si="5"/>
        <v>100000</v>
      </c>
      <c r="U10" s="4">
        <f t="shared" si="6"/>
        <v>0</v>
      </c>
      <c r="V10" s="4">
        <f t="shared" si="7"/>
        <v>10</v>
      </c>
      <c r="W10" s="4" t="str">
        <f t="shared" si="8"/>
        <v>#N/A</v>
      </c>
      <c r="X10" s="4" t="str">
        <f t="shared" si="9"/>
        <v>#N/A</v>
      </c>
      <c r="Y10" s="4" t="str">
        <f t="shared" si="10"/>
        <v>#N/A</v>
      </c>
      <c r="Z10" s="4" t="str">
        <f t="shared" si="11"/>
        <v>#N/A</v>
      </c>
      <c r="AA10" s="4" t="str">
        <f t="shared" si="12"/>
        <v>#N/A</v>
      </c>
      <c r="AB10" s="4" t="str">
        <f t="shared" si="13"/>
        <v>#N/A</v>
      </c>
      <c r="AC10" s="4" t="str">
        <f t="shared" si="14"/>
        <v>#N/A</v>
      </c>
      <c r="AD10" s="4" t="str">
        <f t="shared" si="15"/>
        <v>#N/A</v>
      </c>
      <c r="AE10" s="4" t="str">
        <f t="shared" si="16"/>
        <v>#N/A</v>
      </c>
      <c r="AF10" s="4"/>
      <c r="AG10" s="4">
        <f t="shared" si="17"/>
        <v>100000</v>
      </c>
      <c r="AH10" s="4">
        <f t="shared" si="18"/>
        <v>0</v>
      </c>
      <c r="AI10" s="4">
        <f t="shared" si="19"/>
        <v>10</v>
      </c>
      <c r="AJ10" s="4" t="str">
        <f t="shared" si="20"/>
        <v>#N/A</v>
      </c>
      <c r="AK10" s="4" t="str">
        <f t="shared" si="21"/>
        <v>#N/A</v>
      </c>
      <c r="AL10" s="4" t="str">
        <f t="shared" si="22"/>
        <v>#N/A</v>
      </c>
      <c r="AM10" s="4" t="str">
        <f t="shared" si="23"/>
        <v>#N/A</v>
      </c>
      <c r="AN10" s="4" t="str">
        <f t="shared" si="24"/>
        <v>#N/A</v>
      </c>
      <c r="AO10" s="4" t="str">
        <f t="shared" si="25"/>
        <v>#N/A</v>
      </c>
      <c r="AP10" s="4" t="str">
        <f t="shared" si="26"/>
        <v>#N/A</v>
      </c>
      <c r="AQ10" s="4" t="str">
        <f t="shared" si="27"/>
        <v>#N/A</v>
      </c>
      <c r="AR10" s="4" t="str">
        <f t="shared" si="28"/>
        <v>#N/A</v>
      </c>
      <c r="AS10" s="4">
        <f t="shared" si="29"/>
        <v>125</v>
      </c>
      <c r="AT10" s="4">
        <f t="shared" si="30"/>
        <v>127</v>
      </c>
    </row>
    <row r="11">
      <c r="A11" s="4" t="s">
        <v>99</v>
      </c>
      <c r="B11" s="4" t="s">
        <v>100</v>
      </c>
      <c r="C11" s="4" t="s">
        <v>101</v>
      </c>
      <c r="D11" s="6" t="s">
        <v>77</v>
      </c>
      <c r="E11" s="4" t="s">
        <v>68</v>
      </c>
      <c r="F11" s="4">
        <v>100000.0</v>
      </c>
      <c r="G11" s="4">
        <v>98305.0</v>
      </c>
      <c r="H11" s="4">
        <v>1695.0</v>
      </c>
      <c r="I11" s="4">
        <v>1.695</v>
      </c>
      <c r="J11" s="4">
        <v>42.0</v>
      </c>
      <c r="K11" s="4"/>
      <c r="L11" s="4"/>
      <c r="M11" s="4">
        <v>0.0</v>
      </c>
      <c r="N11" s="4">
        <v>15.0</v>
      </c>
      <c r="O11" s="4">
        <f t="array" ref="O11">IFERROR(INDEX(Data!$AB$2:$AB$81,MATCH(A11,Data!$A$2:$A$81,0)),1)</f>
        <v>1</v>
      </c>
      <c r="P11" s="4" t="str">
        <f t="shared" si="1"/>
        <v>#N/A</v>
      </c>
      <c r="Q11" s="4" t="str">
        <f t="shared" si="2"/>
        <v>#N/A</v>
      </c>
      <c r="R11" s="4" t="str">
        <f t="shared" si="3"/>
        <v/>
      </c>
      <c r="S11" s="4">
        <f t="shared" si="4"/>
        <v>1.695</v>
      </c>
      <c r="T11" s="4" t="str">
        <f t="shared" si="5"/>
        <v>#N/A</v>
      </c>
      <c r="U11" s="4" t="str">
        <f t="shared" si="6"/>
        <v>#N/A</v>
      </c>
      <c r="V11" s="4" t="str">
        <f t="shared" si="7"/>
        <v>#N/A</v>
      </c>
      <c r="W11" s="4" t="str">
        <f t="shared" si="8"/>
        <v>#N/A</v>
      </c>
      <c r="X11" s="4" t="str">
        <f t="shared" si="9"/>
        <v>#N/A</v>
      </c>
      <c r="Y11" s="4" t="str">
        <f t="shared" si="10"/>
        <v>#N/A</v>
      </c>
      <c r="Z11" s="4">
        <f t="shared" si="11"/>
        <v>100000</v>
      </c>
      <c r="AA11" s="4">
        <f t="shared" si="12"/>
        <v>0</v>
      </c>
      <c r="AB11" s="4">
        <f t="shared" si="13"/>
        <v>15</v>
      </c>
      <c r="AC11" s="4" t="str">
        <f t="shared" si="14"/>
        <v>#N/A</v>
      </c>
      <c r="AD11" s="4" t="str">
        <f t="shared" si="15"/>
        <v>#N/A</v>
      </c>
      <c r="AE11" s="4" t="str">
        <f t="shared" si="16"/>
        <v>#N/A</v>
      </c>
      <c r="AF11" s="4"/>
      <c r="AG11" s="4" t="str">
        <f t="shared" si="17"/>
        <v>#N/A</v>
      </c>
      <c r="AH11" s="4" t="str">
        <f t="shared" si="18"/>
        <v>#N/A</v>
      </c>
      <c r="AI11" s="4" t="str">
        <f t="shared" si="19"/>
        <v>#N/A</v>
      </c>
      <c r="AJ11" s="4" t="str">
        <f t="shared" si="20"/>
        <v>#N/A</v>
      </c>
      <c r="AK11" s="4" t="str">
        <f t="shared" si="21"/>
        <v>#N/A</v>
      </c>
      <c r="AL11" s="4" t="str">
        <f t="shared" si="22"/>
        <v>#N/A</v>
      </c>
      <c r="AM11" s="4">
        <f t="shared" si="23"/>
        <v>100000</v>
      </c>
      <c r="AN11" s="4">
        <f t="shared" si="24"/>
        <v>0</v>
      </c>
      <c r="AO11" s="4">
        <f t="shared" si="25"/>
        <v>15</v>
      </c>
      <c r="AP11" s="4" t="str">
        <f t="shared" si="26"/>
        <v>#N/A</v>
      </c>
      <c r="AQ11" s="4" t="str">
        <f t="shared" si="27"/>
        <v>#N/A</v>
      </c>
      <c r="AR11" s="4" t="str">
        <f t="shared" si="28"/>
        <v>#N/A</v>
      </c>
      <c r="AS11" s="4">
        <f t="shared" si="29"/>
        <v>42</v>
      </c>
      <c r="AT11" s="4" t="str">
        <f t="shared" si="30"/>
        <v>#N/A</v>
      </c>
    </row>
    <row r="12">
      <c r="A12" s="4" t="s">
        <v>102</v>
      </c>
      <c r="B12" s="4" t="s">
        <v>103</v>
      </c>
      <c r="C12" s="4" t="s">
        <v>88</v>
      </c>
      <c r="D12" s="6" t="s">
        <v>81</v>
      </c>
      <c r="E12" s="4" t="s">
        <v>68</v>
      </c>
      <c r="F12" s="4">
        <v>50000.0</v>
      </c>
      <c r="G12" s="4">
        <v>33963.0</v>
      </c>
      <c r="H12" s="4">
        <v>16037.0</v>
      </c>
      <c r="I12" s="4">
        <v>32.07400000000001</v>
      </c>
      <c r="J12" s="4">
        <v>35.0</v>
      </c>
      <c r="K12" s="4"/>
      <c r="L12" s="4"/>
      <c r="M12" s="4">
        <v>0.0</v>
      </c>
      <c r="N12" s="4">
        <v>5.0</v>
      </c>
      <c r="O12" s="4">
        <f t="array" ref="O12">IFERROR(INDEX(Data!$AB$2:$AB$81,MATCH(A12,Data!$A$2:$A$81,0)),1)</f>
        <v>1</v>
      </c>
      <c r="P12" s="4" t="str">
        <f t="shared" si="1"/>
        <v>#N/A</v>
      </c>
      <c r="Q12" s="4" t="str">
        <f t="shared" si="2"/>
        <v>#N/A</v>
      </c>
      <c r="R12" s="4" t="str">
        <f t="shared" si="3"/>
        <v/>
      </c>
      <c r="S12" s="4">
        <f t="shared" si="4"/>
        <v>32.074</v>
      </c>
      <c r="T12" s="4" t="str">
        <f t="shared" si="5"/>
        <v>#N/A</v>
      </c>
      <c r="U12" s="4" t="str">
        <f t="shared" si="6"/>
        <v>#N/A</v>
      </c>
      <c r="V12" s="4" t="str">
        <f t="shared" si="7"/>
        <v>#N/A</v>
      </c>
      <c r="W12" s="4" t="str">
        <f t="shared" si="8"/>
        <v>#N/A</v>
      </c>
      <c r="X12" s="4" t="str">
        <f t="shared" si="9"/>
        <v>#N/A</v>
      </c>
      <c r="Y12" s="4" t="str">
        <f t="shared" si="10"/>
        <v>#N/A</v>
      </c>
      <c r="Z12" s="4">
        <f t="shared" si="11"/>
        <v>50000</v>
      </c>
      <c r="AA12" s="4">
        <f t="shared" si="12"/>
        <v>0</v>
      </c>
      <c r="AB12" s="4">
        <f t="shared" si="13"/>
        <v>5</v>
      </c>
      <c r="AC12" s="4" t="str">
        <f t="shared" si="14"/>
        <v>#N/A</v>
      </c>
      <c r="AD12" s="4" t="str">
        <f t="shared" si="15"/>
        <v>#N/A</v>
      </c>
      <c r="AE12" s="4" t="str">
        <f t="shared" si="16"/>
        <v>#N/A</v>
      </c>
      <c r="AF12" s="4"/>
      <c r="AG12" s="4" t="str">
        <f t="shared" si="17"/>
        <v>#N/A</v>
      </c>
      <c r="AH12" s="4" t="str">
        <f t="shared" si="18"/>
        <v>#N/A</v>
      </c>
      <c r="AI12" s="4" t="str">
        <f t="shared" si="19"/>
        <v>#N/A</v>
      </c>
      <c r="AJ12" s="4" t="str">
        <f t="shared" si="20"/>
        <v>#N/A</v>
      </c>
      <c r="AK12" s="4" t="str">
        <f t="shared" si="21"/>
        <v>#N/A</v>
      </c>
      <c r="AL12" s="4" t="str">
        <f t="shared" si="22"/>
        <v>#N/A</v>
      </c>
      <c r="AM12" s="4">
        <f t="shared" si="23"/>
        <v>50000</v>
      </c>
      <c r="AN12" s="4">
        <f t="shared" si="24"/>
        <v>0</v>
      </c>
      <c r="AO12" s="4">
        <f t="shared" si="25"/>
        <v>5</v>
      </c>
      <c r="AP12" s="4" t="str">
        <f t="shared" si="26"/>
        <v>#N/A</v>
      </c>
      <c r="AQ12" s="4" t="str">
        <f t="shared" si="27"/>
        <v>#N/A</v>
      </c>
      <c r="AR12" s="4" t="str">
        <f t="shared" si="28"/>
        <v>#N/A</v>
      </c>
      <c r="AS12" s="4">
        <f t="shared" si="29"/>
        <v>35</v>
      </c>
      <c r="AT12" s="4" t="str">
        <f t="shared" si="30"/>
        <v>#N/A</v>
      </c>
    </row>
    <row r="13">
      <c r="A13" s="4" t="s">
        <v>104</v>
      </c>
      <c r="B13" s="4" t="s">
        <v>105</v>
      </c>
      <c r="C13" s="4" t="s">
        <v>88</v>
      </c>
      <c r="D13" s="6" t="s">
        <v>67</v>
      </c>
      <c r="E13" s="4" t="s">
        <v>68</v>
      </c>
      <c r="F13" s="4">
        <v>250000.0</v>
      </c>
      <c r="G13" s="4">
        <v>166799.0</v>
      </c>
      <c r="H13" s="4">
        <v>83201.0</v>
      </c>
      <c r="I13" s="4">
        <v>33.2804</v>
      </c>
      <c r="J13" s="4">
        <v>126.0</v>
      </c>
      <c r="K13" s="4"/>
      <c r="L13" s="4"/>
      <c r="M13" s="4">
        <v>0.0</v>
      </c>
      <c r="N13" s="4">
        <v>6.0</v>
      </c>
      <c r="O13" s="4">
        <f t="array" ref="O13">IFERROR(INDEX(Data!$AB$2:$AB$81,MATCH(A13,Data!$A$2:$A$81,0)),1)</f>
        <v>1</v>
      </c>
      <c r="P13" s="4" t="str">
        <f t="shared" si="1"/>
        <v>#N/A</v>
      </c>
      <c r="Q13" s="4" t="str">
        <f t="shared" si="2"/>
        <v>#N/A</v>
      </c>
      <c r="R13" s="4" t="str">
        <f t="shared" si="3"/>
        <v/>
      </c>
      <c r="S13" s="4">
        <f t="shared" si="4"/>
        <v>33.2804</v>
      </c>
      <c r="T13" s="4" t="str">
        <f t="shared" si="5"/>
        <v>#N/A</v>
      </c>
      <c r="U13" s="4" t="str">
        <f t="shared" si="6"/>
        <v>#N/A</v>
      </c>
      <c r="V13" s="4" t="str">
        <f t="shared" si="7"/>
        <v>#N/A</v>
      </c>
      <c r="W13" s="4" t="str">
        <f t="shared" si="8"/>
        <v>#N/A</v>
      </c>
      <c r="X13" s="4" t="str">
        <f t="shared" si="9"/>
        <v>#N/A</v>
      </c>
      <c r="Y13" s="4" t="str">
        <f t="shared" si="10"/>
        <v>#N/A</v>
      </c>
      <c r="Z13" s="4">
        <f t="shared" si="11"/>
        <v>250000</v>
      </c>
      <c r="AA13" s="4">
        <f t="shared" si="12"/>
        <v>0</v>
      </c>
      <c r="AB13" s="4">
        <f t="shared" si="13"/>
        <v>6</v>
      </c>
      <c r="AC13" s="4" t="str">
        <f t="shared" si="14"/>
        <v>#N/A</v>
      </c>
      <c r="AD13" s="4" t="str">
        <f t="shared" si="15"/>
        <v>#N/A</v>
      </c>
      <c r="AE13" s="4" t="str">
        <f t="shared" si="16"/>
        <v>#N/A</v>
      </c>
      <c r="AF13" s="4"/>
      <c r="AG13" s="4" t="str">
        <f t="shared" si="17"/>
        <v>#N/A</v>
      </c>
      <c r="AH13" s="4" t="str">
        <f t="shared" si="18"/>
        <v>#N/A</v>
      </c>
      <c r="AI13" s="4" t="str">
        <f t="shared" si="19"/>
        <v>#N/A</v>
      </c>
      <c r="AJ13" s="4" t="str">
        <f t="shared" si="20"/>
        <v>#N/A</v>
      </c>
      <c r="AK13" s="4" t="str">
        <f t="shared" si="21"/>
        <v>#N/A</v>
      </c>
      <c r="AL13" s="4" t="str">
        <f t="shared" si="22"/>
        <v>#N/A</v>
      </c>
      <c r="AM13" s="4">
        <f t="shared" si="23"/>
        <v>250000</v>
      </c>
      <c r="AN13" s="4">
        <f t="shared" si="24"/>
        <v>0</v>
      </c>
      <c r="AO13" s="4">
        <f t="shared" si="25"/>
        <v>6</v>
      </c>
      <c r="AP13" s="4" t="str">
        <f t="shared" si="26"/>
        <v>#N/A</v>
      </c>
      <c r="AQ13" s="4" t="str">
        <f t="shared" si="27"/>
        <v>#N/A</v>
      </c>
      <c r="AR13" s="4" t="str">
        <f t="shared" si="28"/>
        <v>#N/A</v>
      </c>
      <c r="AS13" s="4">
        <f t="shared" si="29"/>
        <v>126</v>
      </c>
      <c r="AT13" s="4" t="str">
        <f t="shared" si="30"/>
        <v>#N/A</v>
      </c>
    </row>
    <row r="14">
      <c r="A14" s="4" t="s">
        <v>106</v>
      </c>
      <c r="B14" s="4" t="s">
        <v>107</v>
      </c>
      <c r="C14" s="4" t="s">
        <v>66</v>
      </c>
      <c r="D14" s="8" t="s">
        <v>73</v>
      </c>
      <c r="E14" s="4" t="s">
        <v>74</v>
      </c>
      <c r="F14" s="4">
        <v>1000000.0</v>
      </c>
      <c r="G14" s="4">
        <v>1099543.0</v>
      </c>
      <c r="H14" s="4">
        <v>-99543.0</v>
      </c>
      <c r="I14" s="4">
        <v>-9.9543</v>
      </c>
      <c r="J14" s="4">
        <v>31.0</v>
      </c>
      <c r="K14" s="4"/>
      <c r="L14" s="4"/>
      <c r="M14" s="4">
        <v>0.0</v>
      </c>
      <c r="N14" s="4">
        <v>8.0</v>
      </c>
      <c r="O14" s="4">
        <f t="array" ref="O14">IFERROR(INDEX(Data!$AB$2:$AB$81,MATCH(A14,Data!$A$2:$A$81,0)),1)</f>
        <v>1</v>
      </c>
      <c r="P14" s="4" t="str">
        <f t="shared" si="1"/>
        <v>#N/A</v>
      </c>
      <c r="Q14" s="4" t="str">
        <f t="shared" si="2"/>
        <v>#N/A</v>
      </c>
      <c r="R14" s="4" t="str">
        <f t="shared" si="3"/>
        <v/>
      </c>
      <c r="S14" s="4">
        <f t="shared" si="4"/>
        <v>-9.9543</v>
      </c>
      <c r="T14" s="4" t="str">
        <f t="shared" si="5"/>
        <v>#N/A</v>
      </c>
      <c r="U14" s="4" t="str">
        <f t="shared" si="6"/>
        <v>#N/A</v>
      </c>
      <c r="V14" s="4" t="str">
        <f t="shared" si="7"/>
        <v>#N/A</v>
      </c>
      <c r="W14" s="4" t="str">
        <f t="shared" si="8"/>
        <v>#N/A</v>
      </c>
      <c r="X14" s="4" t="str">
        <f t="shared" si="9"/>
        <v>#N/A</v>
      </c>
      <c r="Y14" s="4" t="str">
        <f t="shared" si="10"/>
        <v>#N/A</v>
      </c>
      <c r="Z14" s="4" t="str">
        <f t="shared" si="11"/>
        <v>#N/A</v>
      </c>
      <c r="AA14" s="4" t="str">
        <f t="shared" si="12"/>
        <v>#N/A</v>
      </c>
      <c r="AB14" s="4" t="str">
        <f t="shared" si="13"/>
        <v>#N/A</v>
      </c>
      <c r="AC14" s="4">
        <f t="shared" si="14"/>
        <v>1000000</v>
      </c>
      <c r="AD14" s="4">
        <f t="shared" si="15"/>
        <v>0</v>
      </c>
      <c r="AE14" s="4">
        <f t="shared" si="16"/>
        <v>8</v>
      </c>
      <c r="AF14" s="4"/>
      <c r="AG14" s="4" t="str">
        <f t="shared" si="17"/>
        <v>#N/A</v>
      </c>
      <c r="AH14" s="4" t="str">
        <f t="shared" si="18"/>
        <v>#N/A</v>
      </c>
      <c r="AI14" s="4" t="str">
        <f t="shared" si="19"/>
        <v>#N/A</v>
      </c>
      <c r="AJ14" s="4" t="str">
        <f t="shared" si="20"/>
        <v>#N/A</v>
      </c>
      <c r="AK14" s="4" t="str">
        <f t="shared" si="21"/>
        <v>#N/A</v>
      </c>
      <c r="AL14" s="4" t="str">
        <f t="shared" si="22"/>
        <v>#N/A</v>
      </c>
      <c r="AM14" s="4" t="str">
        <f t="shared" si="23"/>
        <v>#N/A</v>
      </c>
      <c r="AN14" s="4" t="str">
        <f t="shared" si="24"/>
        <v>#N/A</v>
      </c>
      <c r="AO14" s="4" t="str">
        <f t="shared" si="25"/>
        <v>#N/A</v>
      </c>
      <c r="AP14" s="4">
        <f t="shared" si="26"/>
        <v>1000000</v>
      </c>
      <c r="AQ14" s="4">
        <f t="shared" si="27"/>
        <v>0</v>
      </c>
      <c r="AR14" s="4">
        <f t="shared" si="28"/>
        <v>8</v>
      </c>
      <c r="AS14" s="4">
        <f t="shared" si="29"/>
        <v>31</v>
      </c>
      <c r="AT14" s="4" t="str">
        <f t="shared" si="30"/>
        <v>#N/A</v>
      </c>
    </row>
    <row r="15">
      <c r="A15" s="4" t="s">
        <v>108</v>
      </c>
      <c r="B15" s="4" t="s">
        <v>109</v>
      </c>
      <c r="C15" s="4" t="s">
        <v>101</v>
      </c>
      <c r="D15" s="6" t="s">
        <v>77</v>
      </c>
      <c r="E15" s="4" t="s">
        <v>74</v>
      </c>
      <c r="F15" s="4">
        <v>250000.0</v>
      </c>
      <c r="G15" s="4">
        <v>247298.0</v>
      </c>
      <c r="H15" s="4">
        <v>2702.0</v>
      </c>
      <c r="I15" s="4">
        <v>1.0808</v>
      </c>
      <c r="J15" s="4">
        <v>100.0</v>
      </c>
      <c r="K15" s="4"/>
      <c r="L15" s="4"/>
      <c r="M15" s="4">
        <v>0.0</v>
      </c>
      <c r="N15" s="4">
        <v>7.0</v>
      </c>
      <c r="O15" s="4">
        <f t="array" ref="O15">IFERROR(INDEX(Data!$AB$2:$AB$81,MATCH(A15,Data!$A$2:$A$81,0)),1)</f>
        <v>1</v>
      </c>
      <c r="P15" s="4" t="str">
        <f t="shared" si="1"/>
        <v>#N/A</v>
      </c>
      <c r="Q15" s="4" t="str">
        <f t="shared" si="2"/>
        <v>#N/A</v>
      </c>
      <c r="R15" s="4" t="str">
        <f t="shared" si="3"/>
        <v/>
      </c>
      <c r="S15" s="4">
        <f t="shared" si="4"/>
        <v>1.0808</v>
      </c>
      <c r="T15" s="4" t="str">
        <f t="shared" si="5"/>
        <v>#N/A</v>
      </c>
      <c r="U15" s="4" t="str">
        <f t="shared" si="6"/>
        <v>#N/A</v>
      </c>
      <c r="V15" s="4" t="str">
        <f t="shared" si="7"/>
        <v>#N/A</v>
      </c>
      <c r="W15" s="4" t="str">
        <f t="shared" si="8"/>
        <v>#N/A</v>
      </c>
      <c r="X15" s="4" t="str">
        <f t="shared" si="9"/>
        <v>#N/A</v>
      </c>
      <c r="Y15" s="4" t="str">
        <f t="shared" si="10"/>
        <v>#N/A</v>
      </c>
      <c r="Z15" s="4" t="str">
        <f t="shared" si="11"/>
        <v>#N/A</v>
      </c>
      <c r="AA15" s="4" t="str">
        <f t="shared" si="12"/>
        <v>#N/A</v>
      </c>
      <c r="AB15" s="4" t="str">
        <f t="shared" si="13"/>
        <v>#N/A</v>
      </c>
      <c r="AC15" s="4">
        <f t="shared" si="14"/>
        <v>250000</v>
      </c>
      <c r="AD15" s="4">
        <f t="shared" si="15"/>
        <v>0</v>
      </c>
      <c r="AE15" s="4">
        <f t="shared" si="16"/>
        <v>7</v>
      </c>
      <c r="AF15" s="4"/>
      <c r="AG15" s="4" t="str">
        <f t="shared" si="17"/>
        <v>#N/A</v>
      </c>
      <c r="AH15" s="4" t="str">
        <f t="shared" si="18"/>
        <v>#N/A</v>
      </c>
      <c r="AI15" s="4" t="str">
        <f t="shared" si="19"/>
        <v>#N/A</v>
      </c>
      <c r="AJ15" s="4" t="str">
        <f t="shared" si="20"/>
        <v>#N/A</v>
      </c>
      <c r="AK15" s="4" t="str">
        <f t="shared" si="21"/>
        <v>#N/A</v>
      </c>
      <c r="AL15" s="4" t="str">
        <f t="shared" si="22"/>
        <v>#N/A</v>
      </c>
      <c r="AM15" s="4" t="str">
        <f t="shared" si="23"/>
        <v>#N/A</v>
      </c>
      <c r="AN15" s="4" t="str">
        <f t="shared" si="24"/>
        <v>#N/A</v>
      </c>
      <c r="AO15" s="4" t="str">
        <f t="shared" si="25"/>
        <v>#N/A</v>
      </c>
      <c r="AP15" s="4">
        <f t="shared" si="26"/>
        <v>250000</v>
      </c>
      <c r="AQ15" s="4">
        <f t="shared" si="27"/>
        <v>0</v>
      </c>
      <c r="AR15" s="4">
        <f t="shared" si="28"/>
        <v>7</v>
      </c>
      <c r="AS15" s="4">
        <f t="shared" si="29"/>
        <v>100</v>
      </c>
      <c r="AT15" s="4" t="str">
        <f t="shared" si="30"/>
        <v>#N/A</v>
      </c>
    </row>
    <row r="16">
      <c r="A16" s="4" t="s">
        <v>110</v>
      </c>
      <c r="B16" s="4" t="s">
        <v>111</v>
      </c>
      <c r="C16" s="4" t="s">
        <v>88</v>
      </c>
      <c r="D16" s="8" t="s">
        <v>73</v>
      </c>
      <c r="E16" s="4" t="s">
        <v>95</v>
      </c>
      <c r="F16" s="4">
        <v>250000.0</v>
      </c>
      <c r="G16" s="4">
        <v>211151.0</v>
      </c>
      <c r="H16" s="4">
        <v>38849.0</v>
      </c>
      <c r="I16" s="4">
        <v>15.5396</v>
      </c>
      <c r="J16" s="4">
        <v>133.0</v>
      </c>
      <c r="K16" s="4"/>
      <c r="L16" s="4"/>
      <c r="M16" s="4">
        <v>0.0</v>
      </c>
      <c r="N16" s="4">
        <v>14.0</v>
      </c>
      <c r="O16" s="4">
        <f t="array" ref="O16">IFERROR(INDEX(Data!$AB$2:$AB$81,MATCH(A16,Data!$A$2:$A$81,0)),1)</f>
        <v>1</v>
      </c>
      <c r="P16" s="4" t="str">
        <f t="shared" si="1"/>
        <v>#N/A</v>
      </c>
      <c r="Q16" s="4" t="str">
        <f t="shared" si="2"/>
        <v>#N/A</v>
      </c>
      <c r="R16" s="4" t="str">
        <f t="shared" si="3"/>
        <v/>
      </c>
      <c r="S16" s="4">
        <f t="shared" si="4"/>
        <v>15.5396</v>
      </c>
      <c r="T16" s="4" t="str">
        <f t="shared" si="5"/>
        <v>#N/A</v>
      </c>
      <c r="U16" s="4" t="str">
        <f t="shared" si="6"/>
        <v>#N/A</v>
      </c>
      <c r="V16" s="4" t="str">
        <f t="shared" si="7"/>
        <v>#N/A</v>
      </c>
      <c r="W16" s="4">
        <f t="shared" si="8"/>
        <v>250000</v>
      </c>
      <c r="X16" s="4">
        <f t="shared" si="9"/>
        <v>0</v>
      </c>
      <c r="Y16" s="4">
        <f t="shared" si="10"/>
        <v>14</v>
      </c>
      <c r="Z16" s="4" t="str">
        <f t="shared" si="11"/>
        <v>#N/A</v>
      </c>
      <c r="AA16" s="4" t="str">
        <f t="shared" si="12"/>
        <v>#N/A</v>
      </c>
      <c r="AB16" s="4" t="str">
        <f t="shared" si="13"/>
        <v>#N/A</v>
      </c>
      <c r="AC16" s="4" t="str">
        <f t="shared" si="14"/>
        <v>#N/A</v>
      </c>
      <c r="AD16" s="4" t="str">
        <f t="shared" si="15"/>
        <v>#N/A</v>
      </c>
      <c r="AE16" s="4" t="str">
        <f t="shared" si="16"/>
        <v>#N/A</v>
      </c>
      <c r="AF16" s="4"/>
      <c r="AG16" s="4" t="str">
        <f t="shared" si="17"/>
        <v>#N/A</v>
      </c>
      <c r="AH16" s="4" t="str">
        <f t="shared" si="18"/>
        <v>#N/A</v>
      </c>
      <c r="AI16" s="4" t="str">
        <f t="shared" si="19"/>
        <v>#N/A</v>
      </c>
      <c r="AJ16" s="4">
        <f t="shared" si="20"/>
        <v>250000</v>
      </c>
      <c r="AK16" s="4">
        <f t="shared" si="21"/>
        <v>0</v>
      </c>
      <c r="AL16" s="4">
        <f t="shared" si="22"/>
        <v>14</v>
      </c>
      <c r="AM16" s="4" t="str">
        <f t="shared" si="23"/>
        <v>#N/A</v>
      </c>
      <c r="AN16" s="4" t="str">
        <f t="shared" si="24"/>
        <v>#N/A</v>
      </c>
      <c r="AO16" s="4" t="str">
        <f t="shared" si="25"/>
        <v>#N/A</v>
      </c>
      <c r="AP16" s="4" t="str">
        <f t="shared" si="26"/>
        <v>#N/A</v>
      </c>
      <c r="AQ16" s="4" t="str">
        <f t="shared" si="27"/>
        <v>#N/A</v>
      </c>
      <c r="AR16" s="4" t="str">
        <f t="shared" si="28"/>
        <v>#N/A</v>
      </c>
      <c r="AS16" s="4">
        <f t="shared" si="29"/>
        <v>133</v>
      </c>
      <c r="AT16" s="4" t="str">
        <f t="shared" si="30"/>
        <v>#N/A</v>
      </c>
    </row>
    <row r="17">
      <c r="A17" s="4" t="s">
        <v>112</v>
      </c>
      <c r="B17" s="4" t="s">
        <v>113</v>
      </c>
      <c r="C17" s="4" t="s">
        <v>101</v>
      </c>
      <c r="D17" s="6" t="s">
        <v>67</v>
      </c>
      <c r="E17" s="4" t="s">
        <v>74</v>
      </c>
      <c r="F17" s="4">
        <v>1000000.0</v>
      </c>
      <c r="G17" s="4">
        <v>866455.0</v>
      </c>
      <c r="H17" s="4">
        <v>133545.0</v>
      </c>
      <c r="I17" s="4">
        <v>13.3545</v>
      </c>
      <c r="J17" s="4">
        <v>39.0</v>
      </c>
      <c r="K17" s="4"/>
      <c r="L17" s="4"/>
      <c r="M17" s="4">
        <v>0.0</v>
      </c>
      <c r="N17" s="4">
        <v>12.0</v>
      </c>
      <c r="O17" s="4">
        <f t="array" ref="O17">IFERROR(INDEX(Data!$AB$2:$AB$81,MATCH(A17,Data!$A$2:$A$81,0)),1)</f>
        <v>1</v>
      </c>
      <c r="P17" s="4" t="str">
        <f t="shared" si="1"/>
        <v>#N/A</v>
      </c>
      <c r="Q17" s="4" t="str">
        <f t="shared" si="2"/>
        <v>#N/A</v>
      </c>
      <c r="R17" s="4" t="str">
        <f t="shared" si="3"/>
        <v/>
      </c>
      <c r="S17" s="4">
        <f t="shared" si="4"/>
        <v>13.3545</v>
      </c>
      <c r="T17" s="4" t="str">
        <f t="shared" si="5"/>
        <v>#N/A</v>
      </c>
      <c r="U17" s="4" t="str">
        <f t="shared" si="6"/>
        <v>#N/A</v>
      </c>
      <c r="V17" s="4" t="str">
        <f t="shared" si="7"/>
        <v>#N/A</v>
      </c>
      <c r="W17" s="4" t="str">
        <f t="shared" si="8"/>
        <v>#N/A</v>
      </c>
      <c r="X17" s="4" t="str">
        <f t="shared" si="9"/>
        <v>#N/A</v>
      </c>
      <c r="Y17" s="4" t="str">
        <f t="shared" si="10"/>
        <v>#N/A</v>
      </c>
      <c r="Z17" s="4" t="str">
        <f t="shared" si="11"/>
        <v>#N/A</v>
      </c>
      <c r="AA17" s="4" t="str">
        <f t="shared" si="12"/>
        <v>#N/A</v>
      </c>
      <c r="AB17" s="4" t="str">
        <f t="shared" si="13"/>
        <v>#N/A</v>
      </c>
      <c r="AC17" s="4">
        <f t="shared" si="14"/>
        <v>1000000</v>
      </c>
      <c r="AD17" s="4">
        <f t="shared" si="15"/>
        <v>0</v>
      </c>
      <c r="AE17" s="4">
        <f t="shared" si="16"/>
        <v>12</v>
      </c>
      <c r="AF17" s="4"/>
      <c r="AG17" s="4" t="str">
        <f t="shared" si="17"/>
        <v>#N/A</v>
      </c>
      <c r="AH17" s="4" t="str">
        <f t="shared" si="18"/>
        <v>#N/A</v>
      </c>
      <c r="AI17" s="4" t="str">
        <f t="shared" si="19"/>
        <v>#N/A</v>
      </c>
      <c r="AJ17" s="4" t="str">
        <f t="shared" si="20"/>
        <v>#N/A</v>
      </c>
      <c r="AK17" s="4" t="str">
        <f t="shared" si="21"/>
        <v>#N/A</v>
      </c>
      <c r="AL17" s="4" t="str">
        <f t="shared" si="22"/>
        <v>#N/A</v>
      </c>
      <c r="AM17" s="4" t="str">
        <f t="shared" si="23"/>
        <v>#N/A</v>
      </c>
      <c r="AN17" s="4" t="str">
        <f t="shared" si="24"/>
        <v>#N/A</v>
      </c>
      <c r="AO17" s="4" t="str">
        <f t="shared" si="25"/>
        <v>#N/A</v>
      </c>
      <c r="AP17" s="4">
        <f t="shared" si="26"/>
        <v>1000000</v>
      </c>
      <c r="AQ17" s="4">
        <f t="shared" si="27"/>
        <v>0</v>
      </c>
      <c r="AR17" s="4">
        <f t="shared" si="28"/>
        <v>12</v>
      </c>
      <c r="AS17" s="4">
        <f t="shared" si="29"/>
        <v>39</v>
      </c>
      <c r="AT17" s="4" t="str">
        <f t="shared" si="30"/>
        <v>#N/A</v>
      </c>
    </row>
    <row r="18">
      <c r="A18" s="4" t="s">
        <v>114</v>
      </c>
      <c r="B18" s="4" t="s">
        <v>115</v>
      </c>
      <c r="C18" s="4" t="s">
        <v>88</v>
      </c>
      <c r="D18" s="8" t="s">
        <v>73</v>
      </c>
      <c r="E18" s="4" t="s">
        <v>74</v>
      </c>
      <c r="F18" s="4">
        <v>100000.0</v>
      </c>
      <c r="G18" s="4">
        <v>97251.0</v>
      </c>
      <c r="H18" s="4">
        <v>2749.0</v>
      </c>
      <c r="I18" s="4">
        <v>2.749</v>
      </c>
      <c r="J18" s="4">
        <v>106.0</v>
      </c>
      <c r="K18" s="4"/>
      <c r="L18" s="4"/>
      <c r="M18" s="4">
        <v>0.0</v>
      </c>
      <c r="N18" s="4">
        <v>11.0</v>
      </c>
      <c r="O18" s="4">
        <f t="array" ref="O18">IFERROR(INDEX(Data!$AB$2:$AB$81,MATCH(A18,Data!$A$2:$A$81,0)),1)</f>
        <v>1</v>
      </c>
      <c r="P18" s="4" t="str">
        <f t="shared" si="1"/>
        <v>#N/A</v>
      </c>
      <c r="Q18" s="4" t="str">
        <f t="shared" si="2"/>
        <v>#N/A</v>
      </c>
      <c r="R18" s="4" t="str">
        <f t="shared" si="3"/>
        <v/>
      </c>
      <c r="S18" s="4">
        <f t="shared" si="4"/>
        <v>2.749</v>
      </c>
      <c r="T18" s="4" t="str">
        <f t="shared" si="5"/>
        <v>#N/A</v>
      </c>
      <c r="U18" s="4" t="str">
        <f t="shared" si="6"/>
        <v>#N/A</v>
      </c>
      <c r="V18" s="4" t="str">
        <f t="shared" si="7"/>
        <v>#N/A</v>
      </c>
      <c r="W18" s="4" t="str">
        <f t="shared" si="8"/>
        <v>#N/A</v>
      </c>
      <c r="X18" s="4" t="str">
        <f t="shared" si="9"/>
        <v>#N/A</v>
      </c>
      <c r="Y18" s="4" t="str">
        <f t="shared" si="10"/>
        <v>#N/A</v>
      </c>
      <c r="Z18" s="4" t="str">
        <f t="shared" si="11"/>
        <v>#N/A</v>
      </c>
      <c r="AA18" s="4" t="str">
        <f t="shared" si="12"/>
        <v>#N/A</v>
      </c>
      <c r="AB18" s="4" t="str">
        <f t="shared" si="13"/>
        <v>#N/A</v>
      </c>
      <c r="AC18" s="4">
        <f t="shared" si="14"/>
        <v>100000</v>
      </c>
      <c r="AD18" s="4">
        <f t="shared" si="15"/>
        <v>0</v>
      </c>
      <c r="AE18" s="4">
        <f t="shared" si="16"/>
        <v>11</v>
      </c>
      <c r="AF18" s="4"/>
      <c r="AG18" s="4" t="str">
        <f t="shared" si="17"/>
        <v>#N/A</v>
      </c>
      <c r="AH18" s="4" t="str">
        <f t="shared" si="18"/>
        <v>#N/A</v>
      </c>
      <c r="AI18" s="4" t="str">
        <f t="shared" si="19"/>
        <v>#N/A</v>
      </c>
      <c r="AJ18" s="4" t="str">
        <f t="shared" si="20"/>
        <v>#N/A</v>
      </c>
      <c r="AK18" s="4" t="str">
        <f t="shared" si="21"/>
        <v>#N/A</v>
      </c>
      <c r="AL18" s="4" t="str">
        <f t="shared" si="22"/>
        <v>#N/A</v>
      </c>
      <c r="AM18" s="4" t="str">
        <f t="shared" si="23"/>
        <v>#N/A</v>
      </c>
      <c r="AN18" s="4" t="str">
        <f t="shared" si="24"/>
        <v>#N/A</v>
      </c>
      <c r="AO18" s="4" t="str">
        <f t="shared" si="25"/>
        <v>#N/A</v>
      </c>
      <c r="AP18" s="4">
        <f t="shared" si="26"/>
        <v>100000</v>
      </c>
      <c r="AQ18" s="4">
        <f t="shared" si="27"/>
        <v>0</v>
      </c>
      <c r="AR18" s="4">
        <f t="shared" si="28"/>
        <v>11</v>
      </c>
      <c r="AS18" s="4">
        <f t="shared" si="29"/>
        <v>106</v>
      </c>
      <c r="AT18" s="4" t="str">
        <f t="shared" si="30"/>
        <v>#N/A</v>
      </c>
    </row>
    <row r="19">
      <c r="A19" s="4" t="s">
        <v>116</v>
      </c>
      <c r="B19" s="4" t="s">
        <v>117</v>
      </c>
      <c r="C19" s="4" t="s">
        <v>72</v>
      </c>
      <c r="D19" s="9" t="s">
        <v>92</v>
      </c>
      <c r="E19" s="4" t="s">
        <v>95</v>
      </c>
      <c r="F19" s="4">
        <v>50000.0</v>
      </c>
      <c r="G19" s="4">
        <v>23890.0</v>
      </c>
      <c r="H19" s="4">
        <v>26110.0</v>
      </c>
      <c r="I19" s="4">
        <v>52.22</v>
      </c>
      <c r="J19" s="4">
        <v>76.0</v>
      </c>
      <c r="K19" s="4">
        <v>102.0</v>
      </c>
      <c r="L19" s="4">
        <v>26.0</v>
      </c>
      <c r="M19" s="4">
        <v>0.0</v>
      </c>
      <c r="N19" s="4">
        <v>6.0</v>
      </c>
      <c r="O19" s="4">
        <f t="array" ref="O19">IFERROR(INDEX(Data!$AB$2:$AB$81,MATCH(A19,Data!$A$2:$A$81,0)),1)</f>
        <v>1</v>
      </c>
      <c r="P19" s="4" t="str">
        <f t="shared" si="1"/>
        <v>#N/A</v>
      </c>
      <c r="Q19" s="4" t="str">
        <f t="shared" si="2"/>
        <v>#N/A</v>
      </c>
      <c r="R19" s="4">
        <f t="shared" si="3"/>
        <v>26</v>
      </c>
      <c r="S19" s="4">
        <f t="shared" si="4"/>
        <v>52.22</v>
      </c>
      <c r="T19" s="4" t="str">
        <f t="shared" si="5"/>
        <v>#N/A</v>
      </c>
      <c r="U19" s="4" t="str">
        <f t="shared" si="6"/>
        <v>#N/A</v>
      </c>
      <c r="V19" s="4" t="str">
        <f t="shared" si="7"/>
        <v>#N/A</v>
      </c>
      <c r="W19" s="4">
        <f t="shared" si="8"/>
        <v>50000</v>
      </c>
      <c r="X19" s="4">
        <f t="shared" si="9"/>
        <v>0</v>
      </c>
      <c r="Y19" s="4">
        <f t="shared" si="10"/>
        <v>6</v>
      </c>
      <c r="Z19" s="4" t="str">
        <f t="shared" si="11"/>
        <v>#N/A</v>
      </c>
      <c r="AA19" s="4" t="str">
        <f t="shared" si="12"/>
        <v>#N/A</v>
      </c>
      <c r="AB19" s="4" t="str">
        <f t="shared" si="13"/>
        <v>#N/A</v>
      </c>
      <c r="AC19" s="4" t="str">
        <f t="shared" si="14"/>
        <v>#N/A</v>
      </c>
      <c r="AD19" s="4" t="str">
        <f t="shared" si="15"/>
        <v>#N/A</v>
      </c>
      <c r="AE19" s="4" t="str">
        <f t="shared" si="16"/>
        <v>#N/A</v>
      </c>
      <c r="AF19" s="4"/>
      <c r="AG19" s="4" t="str">
        <f t="shared" si="17"/>
        <v>#N/A</v>
      </c>
      <c r="AH19" s="4" t="str">
        <f t="shared" si="18"/>
        <v>#N/A</v>
      </c>
      <c r="AI19" s="4" t="str">
        <f t="shared" si="19"/>
        <v>#N/A</v>
      </c>
      <c r="AJ19" s="4">
        <f t="shared" si="20"/>
        <v>50000</v>
      </c>
      <c r="AK19" s="4">
        <f t="shared" si="21"/>
        <v>0</v>
      </c>
      <c r="AL19" s="4">
        <f t="shared" si="22"/>
        <v>6</v>
      </c>
      <c r="AM19" s="4" t="str">
        <f t="shared" si="23"/>
        <v>#N/A</v>
      </c>
      <c r="AN19" s="4" t="str">
        <f t="shared" si="24"/>
        <v>#N/A</v>
      </c>
      <c r="AO19" s="4" t="str">
        <f t="shared" si="25"/>
        <v>#N/A</v>
      </c>
      <c r="AP19" s="4" t="str">
        <f t="shared" si="26"/>
        <v>#N/A</v>
      </c>
      <c r="AQ19" s="4" t="str">
        <f t="shared" si="27"/>
        <v>#N/A</v>
      </c>
      <c r="AR19" s="4" t="str">
        <f t="shared" si="28"/>
        <v>#N/A</v>
      </c>
      <c r="AS19" s="4">
        <f t="shared" si="29"/>
        <v>76</v>
      </c>
      <c r="AT19" s="4">
        <f t="shared" si="30"/>
        <v>102</v>
      </c>
    </row>
    <row r="20">
      <c r="A20" s="4" t="s">
        <v>118</v>
      </c>
      <c r="B20" s="4" t="s">
        <v>119</v>
      </c>
      <c r="C20" s="4" t="s">
        <v>101</v>
      </c>
      <c r="D20" s="6" t="s">
        <v>67</v>
      </c>
      <c r="E20" s="4" t="s">
        <v>68</v>
      </c>
      <c r="F20" s="4">
        <v>50000.0</v>
      </c>
      <c r="G20" s="4">
        <v>33821.0</v>
      </c>
      <c r="H20" s="4">
        <v>16179.0</v>
      </c>
      <c r="I20" s="4">
        <v>32.358</v>
      </c>
      <c r="J20" s="4">
        <v>148.0</v>
      </c>
      <c r="K20" s="4"/>
      <c r="L20" s="4"/>
      <c r="M20" s="4">
        <v>0.0</v>
      </c>
      <c r="N20" s="4">
        <v>13.0</v>
      </c>
      <c r="O20" s="4">
        <f t="array" ref="O20">IFERROR(INDEX(Data!$AB$2:$AB$81,MATCH(A20,Data!$A$2:$A$81,0)),1)</f>
        <v>1</v>
      </c>
      <c r="P20" s="4" t="str">
        <f t="shared" si="1"/>
        <v>#N/A</v>
      </c>
      <c r="Q20" s="4" t="str">
        <f t="shared" si="2"/>
        <v>#N/A</v>
      </c>
      <c r="R20" s="4" t="str">
        <f t="shared" si="3"/>
        <v/>
      </c>
      <c r="S20" s="4">
        <f t="shared" si="4"/>
        <v>32.358</v>
      </c>
      <c r="T20" s="4" t="str">
        <f t="shared" si="5"/>
        <v>#N/A</v>
      </c>
      <c r="U20" s="4" t="str">
        <f t="shared" si="6"/>
        <v>#N/A</v>
      </c>
      <c r="V20" s="4" t="str">
        <f t="shared" si="7"/>
        <v>#N/A</v>
      </c>
      <c r="W20" s="4" t="str">
        <f t="shared" si="8"/>
        <v>#N/A</v>
      </c>
      <c r="X20" s="4" t="str">
        <f t="shared" si="9"/>
        <v>#N/A</v>
      </c>
      <c r="Y20" s="4" t="str">
        <f t="shared" si="10"/>
        <v>#N/A</v>
      </c>
      <c r="Z20" s="4">
        <f t="shared" si="11"/>
        <v>50000</v>
      </c>
      <c r="AA20" s="4">
        <f t="shared" si="12"/>
        <v>0</v>
      </c>
      <c r="AB20" s="4">
        <f t="shared" si="13"/>
        <v>13</v>
      </c>
      <c r="AC20" s="4" t="str">
        <f t="shared" si="14"/>
        <v>#N/A</v>
      </c>
      <c r="AD20" s="4" t="str">
        <f t="shared" si="15"/>
        <v>#N/A</v>
      </c>
      <c r="AE20" s="4" t="str">
        <f t="shared" si="16"/>
        <v>#N/A</v>
      </c>
      <c r="AF20" s="4"/>
      <c r="AG20" s="4" t="str">
        <f t="shared" si="17"/>
        <v>#N/A</v>
      </c>
      <c r="AH20" s="4" t="str">
        <f t="shared" si="18"/>
        <v>#N/A</v>
      </c>
      <c r="AI20" s="4" t="str">
        <f t="shared" si="19"/>
        <v>#N/A</v>
      </c>
      <c r="AJ20" s="4" t="str">
        <f t="shared" si="20"/>
        <v>#N/A</v>
      </c>
      <c r="AK20" s="4" t="str">
        <f t="shared" si="21"/>
        <v>#N/A</v>
      </c>
      <c r="AL20" s="4" t="str">
        <f t="shared" si="22"/>
        <v>#N/A</v>
      </c>
      <c r="AM20" s="4">
        <f t="shared" si="23"/>
        <v>50000</v>
      </c>
      <c r="AN20" s="4">
        <f t="shared" si="24"/>
        <v>0</v>
      </c>
      <c r="AO20" s="4">
        <f t="shared" si="25"/>
        <v>13</v>
      </c>
      <c r="AP20" s="4" t="str">
        <f t="shared" si="26"/>
        <v>#N/A</v>
      </c>
      <c r="AQ20" s="4" t="str">
        <f t="shared" si="27"/>
        <v>#N/A</v>
      </c>
      <c r="AR20" s="4" t="str">
        <f t="shared" si="28"/>
        <v>#N/A</v>
      </c>
      <c r="AS20" s="4">
        <f t="shared" si="29"/>
        <v>148</v>
      </c>
      <c r="AT20" s="4" t="str">
        <f t="shared" si="30"/>
        <v>#N/A</v>
      </c>
    </row>
    <row r="21" ht="15.75" customHeight="1">
      <c r="A21" s="4" t="s">
        <v>120</v>
      </c>
      <c r="B21" s="4" t="s">
        <v>121</v>
      </c>
      <c r="C21" s="4" t="s">
        <v>85</v>
      </c>
      <c r="D21" s="6" t="s">
        <v>81</v>
      </c>
      <c r="E21" s="4" t="s">
        <v>98</v>
      </c>
      <c r="F21" s="4">
        <v>500000.0</v>
      </c>
      <c r="G21" s="4">
        <v>171624.0</v>
      </c>
      <c r="H21" s="4">
        <v>328376.0</v>
      </c>
      <c r="I21" s="4">
        <v>65.6752</v>
      </c>
      <c r="J21" s="4">
        <v>106.0</v>
      </c>
      <c r="K21" s="4"/>
      <c r="L21" s="4"/>
      <c r="M21" s="4">
        <v>0.0</v>
      </c>
      <c r="N21" s="4">
        <v>5.0</v>
      </c>
      <c r="O21" s="4">
        <f t="array" ref="O21">IFERROR(INDEX(Data!$AB$2:$AB$81,MATCH(A21,Data!$A$2:$A$81,0)),1)</f>
        <v>1</v>
      </c>
      <c r="P21" s="4" t="str">
        <f t="shared" si="1"/>
        <v>#N/A</v>
      </c>
      <c r="Q21" s="4" t="str">
        <f t="shared" si="2"/>
        <v>#N/A</v>
      </c>
      <c r="R21" s="4" t="str">
        <f t="shared" si="3"/>
        <v/>
      </c>
      <c r="S21" s="4">
        <f t="shared" si="4"/>
        <v>65.6752</v>
      </c>
      <c r="T21" s="4">
        <f t="shared" si="5"/>
        <v>500000</v>
      </c>
      <c r="U21" s="4">
        <f t="shared" si="6"/>
        <v>0</v>
      </c>
      <c r="V21" s="4">
        <f t="shared" si="7"/>
        <v>5</v>
      </c>
      <c r="W21" s="4" t="str">
        <f t="shared" si="8"/>
        <v>#N/A</v>
      </c>
      <c r="X21" s="4" t="str">
        <f t="shared" si="9"/>
        <v>#N/A</v>
      </c>
      <c r="Y21" s="4" t="str">
        <f t="shared" si="10"/>
        <v>#N/A</v>
      </c>
      <c r="Z21" s="4" t="str">
        <f t="shared" si="11"/>
        <v>#N/A</v>
      </c>
      <c r="AA21" s="4" t="str">
        <f t="shared" si="12"/>
        <v>#N/A</v>
      </c>
      <c r="AB21" s="4" t="str">
        <f t="shared" si="13"/>
        <v>#N/A</v>
      </c>
      <c r="AC21" s="4" t="str">
        <f t="shared" si="14"/>
        <v>#N/A</v>
      </c>
      <c r="AD21" s="4" t="str">
        <f t="shared" si="15"/>
        <v>#N/A</v>
      </c>
      <c r="AE21" s="4" t="str">
        <f t="shared" si="16"/>
        <v>#N/A</v>
      </c>
      <c r="AF21" s="4"/>
      <c r="AG21" s="4">
        <f t="shared" si="17"/>
        <v>500000</v>
      </c>
      <c r="AH21" s="4">
        <f t="shared" si="18"/>
        <v>0</v>
      </c>
      <c r="AI21" s="4">
        <f t="shared" si="19"/>
        <v>5</v>
      </c>
      <c r="AJ21" s="4" t="str">
        <f t="shared" si="20"/>
        <v>#N/A</v>
      </c>
      <c r="AK21" s="4" t="str">
        <f t="shared" si="21"/>
        <v>#N/A</v>
      </c>
      <c r="AL21" s="4" t="str">
        <f t="shared" si="22"/>
        <v>#N/A</v>
      </c>
      <c r="AM21" s="4" t="str">
        <f t="shared" si="23"/>
        <v>#N/A</v>
      </c>
      <c r="AN21" s="4" t="str">
        <f t="shared" si="24"/>
        <v>#N/A</v>
      </c>
      <c r="AO21" s="4" t="str">
        <f t="shared" si="25"/>
        <v>#N/A</v>
      </c>
      <c r="AP21" s="4" t="str">
        <f t="shared" si="26"/>
        <v>#N/A</v>
      </c>
      <c r="AQ21" s="4" t="str">
        <f t="shared" si="27"/>
        <v>#N/A</v>
      </c>
      <c r="AR21" s="4" t="str">
        <f t="shared" si="28"/>
        <v>#N/A</v>
      </c>
      <c r="AS21" s="4">
        <f t="shared" si="29"/>
        <v>106</v>
      </c>
      <c r="AT21" s="4" t="str">
        <f t="shared" si="30"/>
        <v>#N/A</v>
      </c>
    </row>
    <row r="22" ht="15.75" customHeight="1">
      <c r="A22" s="4" t="s">
        <v>122</v>
      </c>
      <c r="B22" s="4" t="s">
        <v>123</v>
      </c>
      <c r="C22" s="4" t="s">
        <v>101</v>
      </c>
      <c r="D22" s="9" t="s">
        <v>92</v>
      </c>
      <c r="E22" s="4" t="s">
        <v>74</v>
      </c>
      <c r="F22" s="4">
        <v>250000.0</v>
      </c>
      <c r="G22" s="4">
        <v>201206.0</v>
      </c>
      <c r="H22" s="4">
        <v>48794.0</v>
      </c>
      <c r="I22" s="4">
        <v>19.5176</v>
      </c>
      <c r="J22" s="4">
        <v>76.0</v>
      </c>
      <c r="K22" s="4">
        <v>112.0</v>
      </c>
      <c r="L22" s="4">
        <v>36.0</v>
      </c>
      <c r="M22" s="4">
        <v>0.0</v>
      </c>
      <c r="N22" s="4">
        <v>5.0</v>
      </c>
      <c r="O22" s="4">
        <f t="array" ref="O22">IFERROR(INDEX(Data!$AB$2:$AB$81,MATCH(A22,Data!$A$2:$A$81,0)),1)</f>
        <v>1</v>
      </c>
      <c r="P22" s="4" t="str">
        <f t="shared" si="1"/>
        <v>#N/A</v>
      </c>
      <c r="Q22" s="4" t="str">
        <f t="shared" si="2"/>
        <v>#N/A</v>
      </c>
      <c r="R22" s="4">
        <f t="shared" si="3"/>
        <v>36</v>
      </c>
      <c r="S22" s="4">
        <f t="shared" si="4"/>
        <v>19.5176</v>
      </c>
      <c r="T22" s="4" t="str">
        <f t="shared" si="5"/>
        <v>#N/A</v>
      </c>
      <c r="U22" s="4" t="str">
        <f t="shared" si="6"/>
        <v>#N/A</v>
      </c>
      <c r="V22" s="4" t="str">
        <f t="shared" si="7"/>
        <v>#N/A</v>
      </c>
      <c r="W22" s="4" t="str">
        <f t="shared" si="8"/>
        <v>#N/A</v>
      </c>
      <c r="X22" s="4" t="str">
        <f t="shared" si="9"/>
        <v>#N/A</v>
      </c>
      <c r="Y22" s="4" t="str">
        <f t="shared" si="10"/>
        <v>#N/A</v>
      </c>
      <c r="Z22" s="4" t="str">
        <f t="shared" si="11"/>
        <v>#N/A</v>
      </c>
      <c r="AA22" s="4" t="str">
        <f t="shared" si="12"/>
        <v>#N/A</v>
      </c>
      <c r="AB22" s="4" t="str">
        <f t="shared" si="13"/>
        <v>#N/A</v>
      </c>
      <c r="AC22" s="4">
        <f t="shared" si="14"/>
        <v>250000</v>
      </c>
      <c r="AD22" s="4">
        <f t="shared" si="15"/>
        <v>0</v>
      </c>
      <c r="AE22" s="4">
        <f t="shared" si="16"/>
        <v>5</v>
      </c>
      <c r="AF22" s="4"/>
      <c r="AG22" s="4" t="str">
        <f t="shared" si="17"/>
        <v>#N/A</v>
      </c>
      <c r="AH22" s="4" t="str">
        <f t="shared" si="18"/>
        <v>#N/A</v>
      </c>
      <c r="AI22" s="4" t="str">
        <f t="shared" si="19"/>
        <v>#N/A</v>
      </c>
      <c r="AJ22" s="4" t="str">
        <f t="shared" si="20"/>
        <v>#N/A</v>
      </c>
      <c r="AK22" s="4" t="str">
        <f t="shared" si="21"/>
        <v>#N/A</v>
      </c>
      <c r="AL22" s="4" t="str">
        <f t="shared" si="22"/>
        <v>#N/A</v>
      </c>
      <c r="AM22" s="4" t="str">
        <f t="shared" si="23"/>
        <v>#N/A</v>
      </c>
      <c r="AN22" s="4" t="str">
        <f t="shared" si="24"/>
        <v>#N/A</v>
      </c>
      <c r="AO22" s="4" t="str">
        <f t="shared" si="25"/>
        <v>#N/A</v>
      </c>
      <c r="AP22" s="4">
        <f t="shared" si="26"/>
        <v>250000</v>
      </c>
      <c r="AQ22" s="4">
        <f t="shared" si="27"/>
        <v>0</v>
      </c>
      <c r="AR22" s="4">
        <f t="shared" si="28"/>
        <v>5</v>
      </c>
      <c r="AS22" s="4">
        <f t="shared" si="29"/>
        <v>76</v>
      </c>
      <c r="AT22" s="4">
        <f t="shared" si="30"/>
        <v>112</v>
      </c>
    </row>
    <row r="23" ht="15.75" customHeight="1">
      <c r="A23" s="4" t="s">
        <v>125</v>
      </c>
      <c r="B23" s="4" t="s">
        <v>126</v>
      </c>
      <c r="C23" s="4" t="s">
        <v>101</v>
      </c>
      <c r="D23" s="6" t="s">
        <v>81</v>
      </c>
      <c r="E23" s="4" t="s">
        <v>95</v>
      </c>
      <c r="F23" s="4">
        <v>50000.0</v>
      </c>
      <c r="G23" s="4">
        <v>20176.0</v>
      </c>
      <c r="H23" s="4">
        <v>29824.0</v>
      </c>
      <c r="I23" s="4">
        <v>59.648</v>
      </c>
      <c r="J23" s="4">
        <v>155.0</v>
      </c>
      <c r="K23" s="4"/>
      <c r="L23" s="4"/>
      <c r="M23" s="4">
        <v>0.0</v>
      </c>
      <c r="N23" s="4">
        <v>9.0</v>
      </c>
      <c r="O23" s="4">
        <f t="array" ref="O23">IFERROR(INDEX(Data!$AB$2:$AB$81,MATCH(A23,Data!$A$2:$A$81,0)),1)</f>
        <v>1</v>
      </c>
      <c r="P23" s="4" t="str">
        <f t="shared" si="1"/>
        <v>#N/A</v>
      </c>
      <c r="Q23" s="4" t="str">
        <f t="shared" si="2"/>
        <v>#N/A</v>
      </c>
      <c r="R23" s="4" t="str">
        <f t="shared" si="3"/>
        <v/>
      </c>
      <c r="S23" s="4">
        <f t="shared" si="4"/>
        <v>59.648</v>
      </c>
      <c r="T23" s="4" t="str">
        <f t="shared" si="5"/>
        <v>#N/A</v>
      </c>
      <c r="U23" s="4" t="str">
        <f t="shared" si="6"/>
        <v>#N/A</v>
      </c>
      <c r="V23" s="4" t="str">
        <f t="shared" si="7"/>
        <v>#N/A</v>
      </c>
      <c r="W23" s="4">
        <f t="shared" si="8"/>
        <v>50000</v>
      </c>
      <c r="X23" s="4">
        <f t="shared" si="9"/>
        <v>0</v>
      </c>
      <c r="Y23" s="4">
        <f t="shared" si="10"/>
        <v>9</v>
      </c>
      <c r="Z23" s="4" t="str">
        <f t="shared" si="11"/>
        <v>#N/A</v>
      </c>
      <c r="AA23" s="4" t="str">
        <f t="shared" si="12"/>
        <v>#N/A</v>
      </c>
      <c r="AB23" s="4" t="str">
        <f t="shared" si="13"/>
        <v>#N/A</v>
      </c>
      <c r="AC23" s="4" t="str">
        <f t="shared" si="14"/>
        <v>#N/A</v>
      </c>
      <c r="AD23" s="4" t="str">
        <f t="shared" si="15"/>
        <v>#N/A</v>
      </c>
      <c r="AE23" s="4" t="str">
        <f t="shared" si="16"/>
        <v>#N/A</v>
      </c>
      <c r="AF23" s="4"/>
      <c r="AG23" s="4" t="str">
        <f t="shared" si="17"/>
        <v>#N/A</v>
      </c>
      <c r="AH23" s="4" t="str">
        <f t="shared" si="18"/>
        <v>#N/A</v>
      </c>
      <c r="AI23" s="4" t="str">
        <f t="shared" si="19"/>
        <v>#N/A</v>
      </c>
      <c r="AJ23" s="4">
        <f t="shared" si="20"/>
        <v>50000</v>
      </c>
      <c r="AK23" s="4">
        <f t="shared" si="21"/>
        <v>0</v>
      </c>
      <c r="AL23" s="4">
        <f t="shared" si="22"/>
        <v>9</v>
      </c>
      <c r="AM23" s="4" t="str">
        <f t="shared" si="23"/>
        <v>#N/A</v>
      </c>
      <c r="AN23" s="4" t="str">
        <f t="shared" si="24"/>
        <v>#N/A</v>
      </c>
      <c r="AO23" s="4" t="str">
        <f t="shared" si="25"/>
        <v>#N/A</v>
      </c>
      <c r="AP23" s="4" t="str">
        <f t="shared" si="26"/>
        <v>#N/A</v>
      </c>
      <c r="AQ23" s="4" t="str">
        <f t="shared" si="27"/>
        <v>#N/A</v>
      </c>
      <c r="AR23" s="4" t="str">
        <f t="shared" si="28"/>
        <v>#N/A</v>
      </c>
      <c r="AS23" s="4">
        <f t="shared" si="29"/>
        <v>155</v>
      </c>
      <c r="AT23" s="4" t="str">
        <f t="shared" si="30"/>
        <v>#N/A</v>
      </c>
    </row>
    <row r="24" ht="15.75" customHeight="1">
      <c r="A24" s="4" t="s">
        <v>127</v>
      </c>
      <c r="B24" s="4" t="s">
        <v>128</v>
      </c>
      <c r="C24" s="4" t="s">
        <v>85</v>
      </c>
      <c r="D24" s="9" t="s">
        <v>92</v>
      </c>
      <c r="E24" s="4" t="s">
        <v>74</v>
      </c>
      <c r="F24" s="4">
        <v>50000.0</v>
      </c>
      <c r="G24" s="4">
        <v>50680.0</v>
      </c>
      <c r="H24" s="4">
        <v>-680.0</v>
      </c>
      <c r="I24" s="4">
        <v>-1.36</v>
      </c>
      <c r="J24" s="4">
        <v>39.0</v>
      </c>
      <c r="K24" s="4">
        <v>39.0</v>
      </c>
      <c r="L24" s="4">
        <v>0.0</v>
      </c>
      <c r="M24" s="4">
        <v>1.0</v>
      </c>
      <c r="N24" s="4">
        <v>15.0</v>
      </c>
      <c r="O24" s="4">
        <f t="array" ref="O24">IFERROR(INDEX(Data!$AB$2:$AB$81,MATCH(A24,Data!$A$2:$A$81,0)),1)</f>
        <v>1</v>
      </c>
      <c r="P24" s="4">
        <f t="shared" si="1"/>
        <v>0</v>
      </c>
      <c r="Q24" s="4">
        <f t="shared" si="2"/>
        <v>-1.36</v>
      </c>
      <c r="R24" s="4" t="str">
        <f t="shared" si="3"/>
        <v>#N/A</v>
      </c>
      <c r="S24" s="4" t="str">
        <f t="shared" si="4"/>
        <v>#N/A</v>
      </c>
      <c r="T24" s="4" t="str">
        <f t="shared" si="5"/>
        <v>#N/A</v>
      </c>
      <c r="U24" s="4" t="str">
        <f t="shared" si="6"/>
        <v>#N/A</v>
      </c>
      <c r="V24" s="4" t="str">
        <f t="shared" si="7"/>
        <v>#N/A</v>
      </c>
      <c r="W24" s="4" t="str">
        <f t="shared" si="8"/>
        <v>#N/A</v>
      </c>
      <c r="X24" s="4" t="str">
        <f t="shared" si="9"/>
        <v>#N/A</v>
      </c>
      <c r="Y24" s="4" t="str">
        <f t="shared" si="10"/>
        <v>#N/A</v>
      </c>
      <c r="Z24" s="4" t="str">
        <f t="shared" si="11"/>
        <v>#N/A</v>
      </c>
      <c r="AA24" s="4" t="str">
        <f t="shared" si="12"/>
        <v>#N/A</v>
      </c>
      <c r="AB24" s="4" t="str">
        <f t="shared" si="13"/>
        <v>#N/A</v>
      </c>
      <c r="AC24" s="4">
        <f t="shared" si="14"/>
        <v>50000</v>
      </c>
      <c r="AD24" s="4">
        <f t="shared" si="15"/>
        <v>1</v>
      </c>
      <c r="AE24" s="4">
        <f t="shared" si="16"/>
        <v>15</v>
      </c>
      <c r="AF24" s="4"/>
      <c r="AG24" s="4" t="str">
        <f t="shared" si="17"/>
        <v>#N/A</v>
      </c>
      <c r="AH24" s="4" t="str">
        <f t="shared" si="18"/>
        <v>#N/A</v>
      </c>
      <c r="AI24" s="4" t="str">
        <f t="shared" si="19"/>
        <v>#N/A</v>
      </c>
      <c r="AJ24" s="4" t="str">
        <f t="shared" si="20"/>
        <v>#N/A</v>
      </c>
      <c r="AK24" s="4" t="str">
        <f t="shared" si="21"/>
        <v>#N/A</v>
      </c>
      <c r="AL24" s="4" t="str">
        <f t="shared" si="22"/>
        <v>#N/A</v>
      </c>
      <c r="AM24" s="4" t="str">
        <f t="shared" si="23"/>
        <v>#N/A</v>
      </c>
      <c r="AN24" s="4" t="str">
        <f t="shared" si="24"/>
        <v>#N/A</v>
      </c>
      <c r="AO24" s="4" t="str">
        <f t="shared" si="25"/>
        <v>#N/A</v>
      </c>
      <c r="AP24" s="4">
        <f t="shared" si="26"/>
        <v>50000</v>
      </c>
      <c r="AQ24" s="4">
        <f t="shared" si="27"/>
        <v>1</v>
      </c>
      <c r="AR24" s="4">
        <f t="shared" si="28"/>
        <v>15</v>
      </c>
      <c r="AS24" s="4">
        <f t="shared" si="29"/>
        <v>39</v>
      </c>
      <c r="AT24" s="4">
        <f t="shared" si="30"/>
        <v>39</v>
      </c>
    </row>
    <row r="25" ht="15.75" customHeight="1">
      <c r="A25" s="4" t="s">
        <v>129</v>
      </c>
      <c r="B25" s="4" t="s">
        <v>130</v>
      </c>
      <c r="C25" s="4" t="s">
        <v>72</v>
      </c>
      <c r="D25" s="6" t="s">
        <v>81</v>
      </c>
      <c r="E25" s="4" t="s">
        <v>95</v>
      </c>
      <c r="F25" s="4">
        <v>50000.0</v>
      </c>
      <c r="G25" s="4">
        <v>30342.0</v>
      </c>
      <c r="H25" s="4">
        <v>19658.0</v>
      </c>
      <c r="I25" s="4">
        <v>39.316</v>
      </c>
      <c r="J25" s="4">
        <v>63.0</v>
      </c>
      <c r="K25" s="4"/>
      <c r="L25" s="4"/>
      <c r="M25" s="4">
        <v>0.0</v>
      </c>
      <c r="N25" s="4">
        <v>12.0</v>
      </c>
      <c r="O25" s="4">
        <f t="array" ref="O25">IFERROR(INDEX(Data!$AB$2:$AB$81,MATCH(A25,Data!$A$2:$A$81,0)),1)</f>
        <v>1</v>
      </c>
      <c r="P25" s="4" t="str">
        <f t="shared" si="1"/>
        <v>#N/A</v>
      </c>
      <c r="Q25" s="4" t="str">
        <f t="shared" si="2"/>
        <v>#N/A</v>
      </c>
      <c r="R25" s="4" t="str">
        <f t="shared" si="3"/>
        <v/>
      </c>
      <c r="S25" s="4">
        <f t="shared" si="4"/>
        <v>39.316</v>
      </c>
      <c r="T25" s="4" t="str">
        <f t="shared" si="5"/>
        <v>#N/A</v>
      </c>
      <c r="U25" s="4" t="str">
        <f t="shared" si="6"/>
        <v>#N/A</v>
      </c>
      <c r="V25" s="4" t="str">
        <f t="shared" si="7"/>
        <v>#N/A</v>
      </c>
      <c r="W25" s="4">
        <f t="shared" si="8"/>
        <v>50000</v>
      </c>
      <c r="X25" s="4">
        <f t="shared" si="9"/>
        <v>0</v>
      </c>
      <c r="Y25" s="4">
        <f t="shared" si="10"/>
        <v>12</v>
      </c>
      <c r="Z25" s="4" t="str">
        <f t="shared" si="11"/>
        <v>#N/A</v>
      </c>
      <c r="AA25" s="4" t="str">
        <f t="shared" si="12"/>
        <v>#N/A</v>
      </c>
      <c r="AB25" s="4" t="str">
        <f t="shared" si="13"/>
        <v>#N/A</v>
      </c>
      <c r="AC25" s="4" t="str">
        <f t="shared" si="14"/>
        <v>#N/A</v>
      </c>
      <c r="AD25" s="4" t="str">
        <f t="shared" si="15"/>
        <v>#N/A</v>
      </c>
      <c r="AE25" s="4" t="str">
        <f t="shared" si="16"/>
        <v>#N/A</v>
      </c>
      <c r="AF25" s="4"/>
      <c r="AG25" s="4" t="str">
        <f t="shared" si="17"/>
        <v>#N/A</v>
      </c>
      <c r="AH25" s="4" t="str">
        <f t="shared" si="18"/>
        <v>#N/A</v>
      </c>
      <c r="AI25" s="4" t="str">
        <f t="shared" si="19"/>
        <v>#N/A</v>
      </c>
      <c r="AJ25" s="4">
        <f t="shared" si="20"/>
        <v>50000</v>
      </c>
      <c r="AK25" s="4">
        <f t="shared" si="21"/>
        <v>0</v>
      </c>
      <c r="AL25" s="4">
        <f t="shared" si="22"/>
        <v>12</v>
      </c>
      <c r="AM25" s="4" t="str">
        <f t="shared" si="23"/>
        <v>#N/A</v>
      </c>
      <c r="AN25" s="4" t="str">
        <f t="shared" si="24"/>
        <v>#N/A</v>
      </c>
      <c r="AO25" s="4" t="str">
        <f t="shared" si="25"/>
        <v>#N/A</v>
      </c>
      <c r="AP25" s="4" t="str">
        <f t="shared" si="26"/>
        <v>#N/A</v>
      </c>
      <c r="AQ25" s="4" t="str">
        <f t="shared" si="27"/>
        <v>#N/A</v>
      </c>
      <c r="AR25" s="4" t="str">
        <f t="shared" si="28"/>
        <v>#N/A</v>
      </c>
      <c r="AS25" s="4">
        <f t="shared" si="29"/>
        <v>63</v>
      </c>
      <c r="AT25" s="4" t="str">
        <f t="shared" si="30"/>
        <v>#N/A</v>
      </c>
    </row>
    <row r="26" ht="15.75" customHeight="1">
      <c r="A26" s="4" t="s">
        <v>131</v>
      </c>
      <c r="B26" s="4" t="s">
        <v>132</v>
      </c>
      <c r="C26" s="4" t="s">
        <v>72</v>
      </c>
      <c r="D26" s="6" t="s">
        <v>77</v>
      </c>
      <c r="E26" s="4" t="s">
        <v>68</v>
      </c>
      <c r="F26" s="4">
        <v>1000000.0</v>
      </c>
      <c r="G26" s="4">
        <v>719294.0</v>
      </c>
      <c r="H26" s="4">
        <v>280706.0</v>
      </c>
      <c r="I26" s="4">
        <v>28.0706</v>
      </c>
      <c r="J26" s="4">
        <v>163.0</v>
      </c>
      <c r="K26" s="4"/>
      <c r="L26" s="4"/>
      <c r="M26" s="4">
        <v>0.0</v>
      </c>
      <c r="N26" s="4">
        <v>9.0</v>
      </c>
      <c r="O26" s="4">
        <f t="array" ref="O26">IFERROR(INDEX(Data!$AB$2:$AB$81,MATCH(A26,Data!$A$2:$A$81,0)),1)</f>
        <v>1</v>
      </c>
      <c r="P26" s="4" t="str">
        <f t="shared" si="1"/>
        <v>#N/A</v>
      </c>
      <c r="Q26" s="4" t="str">
        <f t="shared" si="2"/>
        <v>#N/A</v>
      </c>
      <c r="R26" s="4" t="str">
        <f t="shared" si="3"/>
        <v/>
      </c>
      <c r="S26" s="4">
        <f t="shared" si="4"/>
        <v>28.0706</v>
      </c>
      <c r="T26" s="4" t="str">
        <f t="shared" si="5"/>
        <v>#N/A</v>
      </c>
      <c r="U26" s="4" t="str">
        <f t="shared" si="6"/>
        <v>#N/A</v>
      </c>
      <c r="V26" s="4" t="str">
        <f t="shared" si="7"/>
        <v>#N/A</v>
      </c>
      <c r="W26" s="4" t="str">
        <f t="shared" si="8"/>
        <v>#N/A</v>
      </c>
      <c r="X26" s="4" t="str">
        <f t="shared" si="9"/>
        <v>#N/A</v>
      </c>
      <c r="Y26" s="4" t="str">
        <f t="shared" si="10"/>
        <v>#N/A</v>
      </c>
      <c r="Z26" s="4">
        <f t="shared" si="11"/>
        <v>1000000</v>
      </c>
      <c r="AA26" s="4">
        <f t="shared" si="12"/>
        <v>0</v>
      </c>
      <c r="AB26" s="4">
        <f t="shared" si="13"/>
        <v>9</v>
      </c>
      <c r="AC26" s="4" t="str">
        <f t="shared" si="14"/>
        <v>#N/A</v>
      </c>
      <c r="AD26" s="4" t="str">
        <f t="shared" si="15"/>
        <v>#N/A</v>
      </c>
      <c r="AE26" s="4" t="str">
        <f t="shared" si="16"/>
        <v>#N/A</v>
      </c>
      <c r="AF26" s="4"/>
      <c r="AG26" s="4" t="str">
        <f t="shared" si="17"/>
        <v>#N/A</v>
      </c>
      <c r="AH26" s="4" t="str">
        <f t="shared" si="18"/>
        <v>#N/A</v>
      </c>
      <c r="AI26" s="4" t="str">
        <f t="shared" si="19"/>
        <v>#N/A</v>
      </c>
      <c r="AJ26" s="4" t="str">
        <f t="shared" si="20"/>
        <v>#N/A</v>
      </c>
      <c r="AK26" s="4" t="str">
        <f t="shared" si="21"/>
        <v>#N/A</v>
      </c>
      <c r="AL26" s="4" t="str">
        <f t="shared" si="22"/>
        <v>#N/A</v>
      </c>
      <c r="AM26" s="4">
        <f t="shared" si="23"/>
        <v>1000000</v>
      </c>
      <c r="AN26" s="4">
        <f t="shared" si="24"/>
        <v>0</v>
      </c>
      <c r="AO26" s="4">
        <f t="shared" si="25"/>
        <v>9</v>
      </c>
      <c r="AP26" s="4" t="str">
        <f t="shared" si="26"/>
        <v>#N/A</v>
      </c>
      <c r="AQ26" s="4" t="str">
        <f t="shared" si="27"/>
        <v>#N/A</v>
      </c>
      <c r="AR26" s="4" t="str">
        <f t="shared" si="28"/>
        <v>#N/A</v>
      </c>
      <c r="AS26" s="4">
        <f t="shared" si="29"/>
        <v>163</v>
      </c>
      <c r="AT26" s="4" t="str">
        <f t="shared" si="30"/>
        <v>#N/A</v>
      </c>
    </row>
    <row r="27" ht="15.75" customHeight="1">
      <c r="A27" s="4" t="s">
        <v>133</v>
      </c>
      <c r="B27" s="4" t="s">
        <v>134</v>
      </c>
      <c r="C27" s="4" t="s">
        <v>85</v>
      </c>
      <c r="D27" s="6" t="s">
        <v>67</v>
      </c>
      <c r="E27" s="4" t="s">
        <v>95</v>
      </c>
      <c r="F27" s="4">
        <v>100000.0</v>
      </c>
      <c r="G27" s="4">
        <v>47945.0</v>
      </c>
      <c r="H27" s="4">
        <v>52055.0</v>
      </c>
      <c r="I27" s="4">
        <v>52.05499999999999</v>
      </c>
      <c r="J27" s="4">
        <v>34.0</v>
      </c>
      <c r="K27" s="4"/>
      <c r="L27" s="4"/>
      <c r="M27" s="4">
        <v>0.0</v>
      </c>
      <c r="N27" s="4">
        <v>5.0</v>
      </c>
      <c r="O27" s="4">
        <f t="array" ref="O27">IFERROR(INDEX(Data!$AB$2:$AB$81,MATCH(A27,Data!$A$2:$A$81,0)),1)</f>
        <v>1</v>
      </c>
      <c r="P27" s="4" t="str">
        <f t="shared" si="1"/>
        <v>#N/A</v>
      </c>
      <c r="Q27" s="4" t="str">
        <f t="shared" si="2"/>
        <v>#N/A</v>
      </c>
      <c r="R27" s="4" t="str">
        <f t="shared" si="3"/>
        <v/>
      </c>
      <c r="S27" s="4">
        <f t="shared" si="4"/>
        <v>52.055</v>
      </c>
      <c r="T27" s="4" t="str">
        <f t="shared" si="5"/>
        <v>#N/A</v>
      </c>
      <c r="U27" s="4" t="str">
        <f t="shared" si="6"/>
        <v>#N/A</v>
      </c>
      <c r="V27" s="4" t="str">
        <f t="shared" si="7"/>
        <v>#N/A</v>
      </c>
      <c r="W27" s="4">
        <f t="shared" si="8"/>
        <v>100000</v>
      </c>
      <c r="X27" s="4">
        <f t="shared" si="9"/>
        <v>0</v>
      </c>
      <c r="Y27" s="4">
        <f t="shared" si="10"/>
        <v>5</v>
      </c>
      <c r="Z27" s="4" t="str">
        <f t="shared" si="11"/>
        <v>#N/A</v>
      </c>
      <c r="AA27" s="4" t="str">
        <f t="shared" si="12"/>
        <v>#N/A</v>
      </c>
      <c r="AB27" s="4" t="str">
        <f t="shared" si="13"/>
        <v>#N/A</v>
      </c>
      <c r="AC27" s="4" t="str">
        <f t="shared" si="14"/>
        <v>#N/A</v>
      </c>
      <c r="AD27" s="4" t="str">
        <f t="shared" si="15"/>
        <v>#N/A</v>
      </c>
      <c r="AE27" s="4" t="str">
        <f t="shared" si="16"/>
        <v>#N/A</v>
      </c>
      <c r="AF27" s="4"/>
      <c r="AG27" s="4" t="str">
        <f t="shared" si="17"/>
        <v>#N/A</v>
      </c>
      <c r="AH27" s="4" t="str">
        <f t="shared" si="18"/>
        <v>#N/A</v>
      </c>
      <c r="AI27" s="4" t="str">
        <f t="shared" si="19"/>
        <v>#N/A</v>
      </c>
      <c r="AJ27" s="4">
        <f t="shared" si="20"/>
        <v>100000</v>
      </c>
      <c r="AK27" s="4">
        <f t="shared" si="21"/>
        <v>0</v>
      </c>
      <c r="AL27" s="4">
        <f t="shared" si="22"/>
        <v>5</v>
      </c>
      <c r="AM27" s="4" t="str">
        <f t="shared" si="23"/>
        <v>#N/A</v>
      </c>
      <c r="AN27" s="4" t="str">
        <f t="shared" si="24"/>
        <v>#N/A</v>
      </c>
      <c r="AO27" s="4" t="str">
        <f t="shared" si="25"/>
        <v>#N/A</v>
      </c>
      <c r="AP27" s="4" t="str">
        <f t="shared" si="26"/>
        <v>#N/A</v>
      </c>
      <c r="AQ27" s="4" t="str">
        <f t="shared" si="27"/>
        <v>#N/A</v>
      </c>
      <c r="AR27" s="4" t="str">
        <f t="shared" si="28"/>
        <v>#N/A</v>
      </c>
      <c r="AS27" s="4">
        <f t="shared" si="29"/>
        <v>34</v>
      </c>
      <c r="AT27" s="4" t="str">
        <f t="shared" si="30"/>
        <v>#N/A</v>
      </c>
    </row>
    <row r="28" ht="15.75" customHeight="1">
      <c r="A28" s="4" t="s">
        <v>135</v>
      </c>
      <c r="B28" s="4" t="s">
        <v>136</v>
      </c>
      <c r="C28" s="4" t="s">
        <v>66</v>
      </c>
      <c r="D28" s="8" t="s">
        <v>73</v>
      </c>
      <c r="E28" s="4" t="s">
        <v>95</v>
      </c>
      <c r="F28" s="4">
        <v>500000.0</v>
      </c>
      <c r="G28" s="4">
        <v>500617.0</v>
      </c>
      <c r="H28" s="4">
        <v>-617.0</v>
      </c>
      <c r="I28" s="4">
        <v>-0.1234</v>
      </c>
      <c r="J28" s="4">
        <v>39.0</v>
      </c>
      <c r="K28" s="4"/>
      <c r="L28" s="4"/>
      <c r="M28" s="4">
        <v>0.0</v>
      </c>
      <c r="N28" s="4">
        <v>7.0</v>
      </c>
      <c r="O28" s="4">
        <f t="array" ref="O28">IFERROR(INDEX(Data!$AB$2:$AB$81,MATCH(A28,Data!$A$2:$A$81,0)),1)</f>
        <v>1</v>
      </c>
      <c r="P28" s="4" t="str">
        <f t="shared" si="1"/>
        <v>#N/A</v>
      </c>
      <c r="Q28" s="4" t="str">
        <f t="shared" si="2"/>
        <v>#N/A</v>
      </c>
      <c r="R28" s="4" t="str">
        <f t="shared" si="3"/>
        <v/>
      </c>
      <c r="S28" s="4">
        <f t="shared" si="4"/>
        <v>-0.1234</v>
      </c>
      <c r="T28" s="4" t="str">
        <f t="shared" si="5"/>
        <v>#N/A</v>
      </c>
      <c r="U28" s="4" t="str">
        <f t="shared" si="6"/>
        <v>#N/A</v>
      </c>
      <c r="V28" s="4" t="str">
        <f t="shared" si="7"/>
        <v>#N/A</v>
      </c>
      <c r="W28" s="4">
        <f t="shared" si="8"/>
        <v>500000</v>
      </c>
      <c r="X28" s="4">
        <f t="shared" si="9"/>
        <v>0</v>
      </c>
      <c r="Y28" s="4">
        <f t="shared" si="10"/>
        <v>7</v>
      </c>
      <c r="Z28" s="4" t="str">
        <f t="shared" si="11"/>
        <v>#N/A</v>
      </c>
      <c r="AA28" s="4" t="str">
        <f t="shared" si="12"/>
        <v>#N/A</v>
      </c>
      <c r="AB28" s="4" t="str">
        <f t="shared" si="13"/>
        <v>#N/A</v>
      </c>
      <c r="AC28" s="4" t="str">
        <f t="shared" si="14"/>
        <v>#N/A</v>
      </c>
      <c r="AD28" s="4" t="str">
        <f t="shared" si="15"/>
        <v>#N/A</v>
      </c>
      <c r="AE28" s="4" t="str">
        <f t="shared" si="16"/>
        <v>#N/A</v>
      </c>
      <c r="AF28" s="4"/>
      <c r="AG28" s="4" t="str">
        <f t="shared" si="17"/>
        <v>#N/A</v>
      </c>
      <c r="AH28" s="4" t="str">
        <f t="shared" si="18"/>
        <v>#N/A</v>
      </c>
      <c r="AI28" s="4" t="str">
        <f t="shared" si="19"/>
        <v>#N/A</v>
      </c>
      <c r="AJ28" s="4">
        <f t="shared" si="20"/>
        <v>500000</v>
      </c>
      <c r="AK28" s="4">
        <f t="shared" si="21"/>
        <v>0</v>
      </c>
      <c r="AL28" s="4">
        <f t="shared" si="22"/>
        <v>7</v>
      </c>
      <c r="AM28" s="4" t="str">
        <f t="shared" si="23"/>
        <v>#N/A</v>
      </c>
      <c r="AN28" s="4" t="str">
        <f t="shared" si="24"/>
        <v>#N/A</v>
      </c>
      <c r="AO28" s="4" t="str">
        <f t="shared" si="25"/>
        <v>#N/A</v>
      </c>
      <c r="AP28" s="4" t="str">
        <f t="shared" si="26"/>
        <v>#N/A</v>
      </c>
      <c r="AQ28" s="4" t="str">
        <f t="shared" si="27"/>
        <v>#N/A</v>
      </c>
      <c r="AR28" s="4" t="str">
        <f t="shared" si="28"/>
        <v>#N/A</v>
      </c>
      <c r="AS28" s="4">
        <f t="shared" si="29"/>
        <v>39</v>
      </c>
      <c r="AT28" s="4" t="str">
        <f t="shared" si="30"/>
        <v>#N/A</v>
      </c>
    </row>
    <row r="29" ht="15.75" customHeight="1">
      <c r="A29" s="4" t="s">
        <v>137</v>
      </c>
      <c r="B29" s="4" t="s">
        <v>138</v>
      </c>
      <c r="C29" s="4" t="s">
        <v>66</v>
      </c>
      <c r="D29" s="6" t="s">
        <v>77</v>
      </c>
      <c r="E29" s="4" t="s">
        <v>98</v>
      </c>
      <c r="F29" s="4">
        <v>500000.0</v>
      </c>
      <c r="G29" s="4">
        <v>327725.0</v>
      </c>
      <c r="H29" s="4">
        <v>172275.0</v>
      </c>
      <c r="I29" s="4">
        <v>34.45500000000001</v>
      </c>
      <c r="J29" s="4">
        <v>59.0</v>
      </c>
      <c r="K29" s="4"/>
      <c r="L29" s="4"/>
      <c r="M29" s="4">
        <v>0.0</v>
      </c>
      <c r="N29" s="4">
        <v>4.0</v>
      </c>
      <c r="O29" s="4">
        <f t="array" ref="O29">IFERROR(INDEX(Data!$AB$2:$AB$81,MATCH(A29,Data!$A$2:$A$81,0)),1)</f>
        <v>1</v>
      </c>
      <c r="P29" s="4" t="str">
        <f t="shared" si="1"/>
        <v>#N/A</v>
      </c>
      <c r="Q29" s="4" t="str">
        <f t="shared" si="2"/>
        <v>#N/A</v>
      </c>
      <c r="R29" s="4" t="str">
        <f t="shared" si="3"/>
        <v/>
      </c>
      <c r="S29" s="4">
        <f t="shared" si="4"/>
        <v>34.455</v>
      </c>
      <c r="T29" s="4">
        <f t="shared" si="5"/>
        <v>500000</v>
      </c>
      <c r="U29" s="4">
        <f t="shared" si="6"/>
        <v>0</v>
      </c>
      <c r="V29" s="4">
        <f t="shared" si="7"/>
        <v>4</v>
      </c>
      <c r="W29" s="4" t="str">
        <f t="shared" si="8"/>
        <v>#N/A</v>
      </c>
      <c r="X29" s="4" t="str">
        <f t="shared" si="9"/>
        <v>#N/A</v>
      </c>
      <c r="Y29" s="4" t="str">
        <f t="shared" si="10"/>
        <v>#N/A</v>
      </c>
      <c r="Z29" s="4" t="str">
        <f t="shared" si="11"/>
        <v>#N/A</v>
      </c>
      <c r="AA29" s="4" t="str">
        <f t="shared" si="12"/>
        <v>#N/A</v>
      </c>
      <c r="AB29" s="4" t="str">
        <f t="shared" si="13"/>
        <v>#N/A</v>
      </c>
      <c r="AC29" s="4" t="str">
        <f t="shared" si="14"/>
        <v>#N/A</v>
      </c>
      <c r="AD29" s="4" t="str">
        <f t="shared" si="15"/>
        <v>#N/A</v>
      </c>
      <c r="AE29" s="4" t="str">
        <f t="shared" si="16"/>
        <v>#N/A</v>
      </c>
      <c r="AF29" s="4"/>
      <c r="AG29" s="4">
        <f t="shared" si="17"/>
        <v>500000</v>
      </c>
      <c r="AH29" s="4">
        <f t="shared" si="18"/>
        <v>0</v>
      </c>
      <c r="AI29" s="4">
        <f t="shared" si="19"/>
        <v>4</v>
      </c>
      <c r="AJ29" s="4" t="str">
        <f t="shared" si="20"/>
        <v>#N/A</v>
      </c>
      <c r="AK29" s="4" t="str">
        <f t="shared" si="21"/>
        <v>#N/A</v>
      </c>
      <c r="AL29" s="4" t="str">
        <f t="shared" si="22"/>
        <v>#N/A</v>
      </c>
      <c r="AM29" s="4" t="str">
        <f t="shared" si="23"/>
        <v>#N/A</v>
      </c>
      <c r="AN29" s="4" t="str">
        <f t="shared" si="24"/>
        <v>#N/A</v>
      </c>
      <c r="AO29" s="4" t="str">
        <f t="shared" si="25"/>
        <v>#N/A</v>
      </c>
      <c r="AP29" s="4" t="str">
        <f t="shared" si="26"/>
        <v>#N/A</v>
      </c>
      <c r="AQ29" s="4" t="str">
        <f t="shared" si="27"/>
        <v>#N/A</v>
      </c>
      <c r="AR29" s="4" t="str">
        <f t="shared" si="28"/>
        <v>#N/A</v>
      </c>
      <c r="AS29" s="4">
        <f t="shared" si="29"/>
        <v>59</v>
      </c>
      <c r="AT29" s="4" t="str">
        <f t="shared" si="30"/>
        <v>#N/A</v>
      </c>
    </row>
    <row r="30" ht="15.75" customHeight="1">
      <c r="A30" s="4" t="s">
        <v>139</v>
      </c>
      <c r="B30" s="4" t="s">
        <v>140</v>
      </c>
      <c r="C30" s="4" t="s">
        <v>85</v>
      </c>
      <c r="D30" s="6" t="s">
        <v>81</v>
      </c>
      <c r="E30" s="4" t="s">
        <v>95</v>
      </c>
      <c r="F30" s="4">
        <v>50000.0</v>
      </c>
      <c r="G30" s="4">
        <v>41499.0</v>
      </c>
      <c r="H30" s="4">
        <v>8501.0</v>
      </c>
      <c r="I30" s="4">
        <v>17.002</v>
      </c>
      <c r="J30" s="4">
        <v>137.0</v>
      </c>
      <c r="K30" s="4"/>
      <c r="L30" s="4"/>
      <c r="M30" s="4">
        <v>0.0</v>
      </c>
      <c r="N30" s="4">
        <v>7.0</v>
      </c>
      <c r="O30" s="4">
        <f t="array" ref="O30">IFERROR(INDEX(Data!$AB$2:$AB$81,MATCH(A30,Data!$A$2:$A$81,0)),1)</f>
        <v>1</v>
      </c>
      <c r="P30" s="4" t="str">
        <f t="shared" si="1"/>
        <v>#N/A</v>
      </c>
      <c r="Q30" s="4" t="str">
        <f t="shared" si="2"/>
        <v>#N/A</v>
      </c>
      <c r="R30" s="4" t="str">
        <f t="shared" si="3"/>
        <v/>
      </c>
      <c r="S30" s="4">
        <f t="shared" si="4"/>
        <v>17.002</v>
      </c>
      <c r="T30" s="4" t="str">
        <f t="shared" si="5"/>
        <v>#N/A</v>
      </c>
      <c r="U30" s="4" t="str">
        <f t="shared" si="6"/>
        <v>#N/A</v>
      </c>
      <c r="V30" s="4" t="str">
        <f t="shared" si="7"/>
        <v>#N/A</v>
      </c>
      <c r="W30" s="4">
        <f t="shared" si="8"/>
        <v>50000</v>
      </c>
      <c r="X30" s="4">
        <f t="shared" si="9"/>
        <v>0</v>
      </c>
      <c r="Y30" s="4">
        <f t="shared" si="10"/>
        <v>7</v>
      </c>
      <c r="Z30" s="4" t="str">
        <f t="shared" si="11"/>
        <v>#N/A</v>
      </c>
      <c r="AA30" s="4" t="str">
        <f t="shared" si="12"/>
        <v>#N/A</v>
      </c>
      <c r="AB30" s="4" t="str">
        <f t="shared" si="13"/>
        <v>#N/A</v>
      </c>
      <c r="AC30" s="4" t="str">
        <f t="shared" si="14"/>
        <v>#N/A</v>
      </c>
      <c r="AD30" s="4" t="str">
        <f t="shared" si="15"/>
        <v>#N/A</v>
      </c>
      <c r="AE30" s="4" t="str">
        <f t="shared" si="16"/>
        <v>#N/A</v>
      </c>
      <c r="AF30" s="4"/>
      <c r="AG30" s="4" t="str">
        <f t="shared" si="17"/>
        <v>#N/A</v>
      </c>
      <c r="AH30" s="4" t="str">
        <f t="shared" si="18"/>
        <v>#N/A</v>
      </c>
      <c r="AI30" s="4" t="str">
        <f t="shared" si="19"/>
        <v>#N/A</v>
      </c>
      <c r="AJ30" s="4">
        <f t="shared" si="20"/>
        <v>50000</v>
      </c>
      <c r="AK30" s="4">
        <f t="shared" si="21"/>
        <v>0</v>
      </c>
      <c r="AL30" s="4">
        <f t="shared" si="22"/>
        <v>7</v>
      </c>
      <c r="AM30" s="4" t="str">
        <f t="shared" si="23"/>
        <v>#N/A</v>
      </c>
      <c r="AN30" s="4" t="str">
        <f t="shared" si="24"/>
        <v>#N/A</v>
      </c>
      <c r="AO30" s="4" t="str">
        <f t="shared" si="25"/>
        <v>#N/A</v>
      </c>
      <c r="AP30" s="4" t="str">
        <f t="shared" si="26"/>
        <v>#N/A</v>
      </c>
      <c r="AQ30" s="4" t="str">
        <f t="shared" si="27"/>
        <v>#N/A</v>
      </c>
      <c r="AR30" s="4" t="str">
        <f t="shared" si="28"/>
        <v>#N/A</v>
      </c>
      <c r="AS30" s="4">
        <f t="shared" si="29"/>
        <v>137</v>
      </c>
      <c r="AT30" s="4" t="str">
        <f t="shared" si="30"/>
        <v>#N/A</v>
      </c>
    </row>
    <row r="31" ht="15.75" customHeight="1">
      <c r="A31" s="4" t="s">
        <v>141</v>
      </c>
      <c r="B31" s="4" t="s">
        <v>142</v>
      </c>
      <c r="C31" s="4" t="s">
        <v>85</v>
      </c>
      <c r="D31" s="6" t="s">
        <v>77</v>
      </c>
      <c r="E31" s="4" t="s">
        <v>98</v>
      </c>
      <c r="F31" s="4">
        <v>500000.0</v>
      </c>
      <c r="G31" s="4">
        <v>229458.0</v>
      </c>
      <c r="H31" s="4">
        <v>270542.0</v>
      </c>
      <c r="I31" s="4">
        <v>54.1084</v>
      </c>
      <c r="J31" s="4">
        <v>57.0</v>
      </c>
      <c r="K31" s="4"/>
      <c r="L31" s="4"/>
      <c r="M31" s="4">
        <v>0.0</v>
      </c>
      <c r="N31" s="4">
        <v>6.0</v>
      </c>
      <c r="O31" s="4">
        <f t="array" ref="O31">IFERROR(INDEX(Data!$AB$2:$AB$81,MATCH(A31,Data!$A$2:$A$81,0)),1)</f>
        <v>1</v>
      </c>
      <c r="P31" s="4" t="str">
        <f t="shared" si="1"/>
        <v>#N/A</v>
      </c>
      <c r="Q31" s="4" t="str">
        <f t="shared" si="2"/>
        <v>#N/A</v>
      </c>
      <c r="R31" s="4" t="str">
        <f t="shared" si="3"/>
        <v/>
      </c>
      <c r="S31" s="4">
        <f t="shared" si="4"/>
        <v>54.1084</v>
      </c>
      <c r="T31" s="4">
        <f t="shared" si="5"/>
        <v>500000</v>
      </c>
      <c r="U31" s="4">
        <f t="shared" si="6"/>
        <v>0</v>
      </c>
      <c r="V31" s="4">
        <f t="shared" si="7"/>
        <v>6</v>
      </c>
      <c r="W31" s="4" t="str">
        <f t="shared" si="8"/>
        <v>#N/A</v>
      </c>
      <c r="X31" s="4" t="str">
        <f t="shared" si="9"/>
        <v>#N/A</v>
      </c>
      <c r="Y31" s="4" t="str">
        <f t="shared" si="10"/>
        <v>#N/A</v>
      </c>
      <c r="Z31" s="4" t="str">
        <f t="shared" si="11"/>
        <v>#N/A</v>
      </c>
      <c r="AA31" s="4" t="str">
        <f t="shared" si="12"/>
        <v>#N/A</v>
      </c>
      <c r="AB31" s="4" t="str">
        <f t="shared" si="13"/>
        <v>#N/A</v>
      </c>
      <c r="AC31" s="4" t="str">
        <f t="shared" si="14"/>
        <v>#N/A</v>
      </c>
      <c r="AD31" s="4" t="str">
        <f t="shared" si="15"/>
        <v>#N/A</v>
      </c>
      <c r="AE31" s="4" t="str">
        <f t="shared" si="16"/>
        <v>#N/A</v>
      </c>
      <c r="AF31" s="4"/>
      <c r="AG31" s="4">
        <f t="shared" si="17"/>
        <v>500000</v>
      </c>
      <c r="AH31" s="4">
        <f t="shared" si="18"/>
        <v>0</v>
      </c>
      <c r="AI31" s="4">
        <f t="shared" si="19"/>
        <v>6</v>
      </c>
      <c r="AJ31" s="4" t="str">
        <f t="shared" si="20"/>
        <v>#N/A</v>
      </c>
      <c r="AK31" s="4" t="str">
        <f t="shared" si="21"/>
        <v>#N/A</v>
      </c>
      <c r="AL31" s="4" t="str">
        <f t="shared" si="22"/>
        <v>#N/A</v>
      </c>
      <c r="AM31" s="4" t="str">
        <f t="shared" si="23"/>
        <v>#N/A</v>
      </c>
      <c r="AN31" s="4" t="str">
        <f t="shared" si="24"/>
        <v>#N/A</v>
      </c>
      <c r="AO31" s="4" t="str">
        <f t="shared" si="25"/>
        <v>#N/A</v>
      </c>
      <c r="AP31" s="4" t="str">
        <f t="shared" si="26"/>
        <v>#N/A</v>
      </c>
      <c r="AQ31" s="4" t="str">
        <f t="shared" si="27"/>
        <v>#N/A</v>
      </c>
      <c r="AR31" s="4" t="str">
        <f t="shared" si="28"/>
        <v>#N/A</v>
      </c>
      <c r="AS31" s="4">
        <f t="shared" si="29"/>
        <v>57</v>
      </c>
      <c r="AT31" s="4" t="str">
        <f t="shared" si="30"/>
        <v>#N/A</v>
      </c>
    </row>
    <row r="32" ht="15.75" customHeight="1">
      <c r="A32" s="4" t="s">
        <v>143</v>
      </c>
      <c r="B32" s="4" t="s">
        <v>144</v>
      </c>
      <c r="C32" s="4" t="s">
        <v>101</v>
      </c>
      <c r="D32" s="9" t="s">
        <v>92</v>
      </c>
      <c r="E32" s="4" t="s">
        <v>68</v>
      </c>
      <c r="F32" s="4">
        <v>500000.0</v>
      </c>
      <c r="G32" s="4">
        <v>282241.0</v>
      </c>
      <c r="H32" s="4">
        <v>217759.0</v>
      </c>
      <c r="I32" s="4">
        <v>43.5518</v>
      </c>
      <c r="J32" s="4">
        <v>170.0</v>
      </c>
      <c r="K32" s="4">
        <v>168.0</v>
      </c>
      <c r="L32" s="4">
        <v>-2.0</v>
      </c>
      <c r="M32" s="4">
        <v>1.0</v>
      </c>
      <c r="N32" s="4">
        <v>3.0</v>
      </c>
      <c r="O32" s="4">
        <f t="array" ref="O32">IFERROR(INDEX(Data!$AB$2:$AB$81,MATCH(A32,Data!$A$2:$A$81,0)),1)</f>
        <v>1</v>
      </c>
      <c r="P32" s="4">
        <f t="shared" si="1"/>
        <v>-2</v>
      </c>
      <c r="Q32" s="4">
        <f t="shared" si="2"/>
        <v>43.5518</v>
      </c>
      <c r="R32" s="4" t="str">
        <f t="shared" si="3"/>
        <v>#N/A</v>
      </c>
      <c r="S32" s="4" t="str">
        <f t="shared" si="4"/>
        <v>#N/A</v>
      </c>
      <c r="T32" s="4" t="str">
        <f t="shared" si="5"/>
        <v>#N/A</v>
      </c>
      <c r="U32" s="4" t="str">
        <f t="shared" si="6"/>
        <v>#N/A</v>
      </c>
      <c r="V32" s="4" t="str">
        <f t="shared" si="7"/>
        <v>#N/A</v>
      </c>
      <c r="W32" s="4" t="str">
        <f t="shared" si="8"/>
        <v>#N/A</v>
      </c>
      <c r="X32" s="4" t="str">
        <f t="shared" si="9"/>
        <v>#N/A</v>
      </c>
      <c r="Y32" s="4" t="str">
        <f t="shared" si="10"/>
        <v>#N/A</v>
      </c>
      <c r="Z32" s="4">
        <f t="shared" si="11"/>
        <v>500000</v>
      </c>
      <c r="AA32" s="4">
        <f t="shared" si="12"/>
        <v>1</v>
      </c>
      <c r="AB32" s="4">
        <f t="shared" si="13"/>
        <v>3</v>
      </c>
      <c r="AC32" s="4" t="str">
        <f t="shared" si="14"/>
        <v>#N/A</v>
      </c>
      <c r="AD32" s="4" t="str">
        <f t="shared" si="15"/>
        <v>#N/A</v>
      </c>
      <c r="AE32" s="4" t="str">
        <f t="shared" si="16"/>
        <v>#N/A</v>
      </c>
      <c r="AF32" s="4"/>
      <c r="AG32" s="4" t="str">
        <f t="shared" si="17"/>
        <v>#N/A</v>
      </c>
      <c r="AH32" s="4" t="str">
        <f t="shared" si="18"/>
        <v>#N/A</v>
      </c>
      <c r="AI32" s="4" t="str">
        <f t="shared" si="19"/>
        <v>#N/A</v>
      </c>
      <c r="AJ32" s="4" t="str">
        <f t="shared" si="20"/>
        <v>#N/A</v>
      </c>
      <c r="AK32" s="4" t="str">
        <f t="shared" si="21"/>
        <v>#N/A</v>
      </c>
      <c r="AL32" s="4" t="str">
        <f t="shared" si="22"/>
        <v>#N/A</v>
      </c>
      <c r="AM32" s="4">
        <f t="shared" si="23"/>
        <v>500000</v>
      </c>
      <c r="AN32" s="4">
        <f t="shared" si="24"/>
        <v>1</v>
      </c>
      <c r="AO32" s="4">
        <f t="shared" si="25"/>
        <v>3</v>
      </c>
      <c r="AP32" s="4" t="str">
        <f t="shared" si="26"/>
        <v>#N/A</v>
      </c>
      <c r="AQ32" s="4" t="str">
        <f t="shared" si="27"/>
        <v>#N/A</v>
      </c>
      <c r="AR32" s="4" t="str">
        <f t="shared" si="28"/>
        <v>#N/A</v>
      </c>
      <c r="AS32" s="4">
        <f t="shared" si="29"/>
        <v>170</v>
      </c>
      <c r="AT32" s="4">
        <f t="shared" si="30"/>
        <v>168</v>
      </c>
    </row>
    <row r="33" ht="15.75" customHeight="1">
      <c r="A33" s="4" t="s">
        <v>145</v>
      </c>
      <c r="B33" s="4" t="s">
        <v>146</v>
      </c>
      <c r="C33" s="4" t="s">
        <v>66</v>
      </c>
      <c r="D33" s="9" t="s">
        <v>92</v>
      </c>
      <c r="E33" s="4" t="s">
        <v>95</v>
      </c>
      <c r="F33" s="4">
        <v>250000.0</v>
      </c>
      <c r="G33" s="4">
        <v>203867.0</v>
      </c>
      <c r="H33" s="4">
        <v>46133.0</v>
      </c>
      <c r="I33" s="4">
        <v>18.4532</v>
      </c>
      <c r="J33" s="4">
        <v>49.0</v>
      </c>
      <c r="K33" s="4">
        <v>60.0</v>
      </c>
      <c r="L33" s="4">
        <v>11.0</v>
      </c>
      <c r="M33" s="4">
        <v>0.0</v>
      </c>
      <c r="N33" s="4">
        <v>10.0</v>
      </c>
      <c r="O33" s="4">
        <f t="array" ref="O33">IFERROR(INDEX(Data!$AB$2:$AB$81,MATCH(A33,Data!$A$2:$A$81,0)),1)</f>
        <v>1</v>
      </c>
      <c r="P33" s="4" t="str">
        <f t="shared" si="1"/>
        <v>#N/A</v>
      </c>
      <c r="Q33" s="4" t="str">
        <f t="shared" si="2"/>
        <v>#N/A</v>
      </c>
      <c r="R33" s="4">
        <f t="shared" si="3"/>
        <v>11</v>
      </c>
      <c r="S33" s="4">
        <f t="shared" si="4"/>
        <v>18.4532</v>
      </c>
      <c r="T33" s="4" t="str">
        <f t="shared" si="5"/>
        <v>#N/A</v>
      </c>
      <c r="U33" s="4" t="str">
        <f t="shared" si="6"/>
        <v>#N/A</v>
      </c>
      <c r="V33" s="4" t="str">
        <f t="shared" si="7"/>
        <v>#N/A</v>
      </c>
      <c r="W33" s="4">
        <f t="shared" si="8"/>
        <v>250000</v>
      </c>
      <c r="X33" s="4">
        <f t="shared" si="9"/>
        <v>0</v>
      </c>
      <c r="Y33" s="4">
        <f t="shared" si="10"/>
        <v>10</v>
      </c>
      <c r="Z33" s="4" t="str">
        <f t="shared" si="11"/>
        <v>#N/A</v>
      </c>
      <c r="AA33" s="4" t="str">
        <f t="shared" si="12"/>
        <v>#N/A</v>
      </c>
      <c r="AB33" s="4" t="str">
        <f t="shared" si="13"/>
        <v>#N/A</v>
      </c>
      <c r="AC33" s="4" t="str">
        <f t="shared" si="14"/>
        <v>#N/A</v>
      </c>
      <c r="AD33" s="4" t="str">
        <f t="shared" si="15"/>
        <v>#N/A</v>
      </c>
      <c r="AE33" s="4" t="str">
        <f t="shared" si="16"/>
        <v>#N/A</v>
      </c>
      <c r="AF33" s="4"/>
      <c r="AG33" s="4" t="str">
        <f t="shared" si="17"/>
        <v>#N/A</v>
      </c>
      <c r="AH33" s="4" t="str">
        <f t="shared" si="18"/>
        <v>#N/A</v>
      </c>
      <c r="AI33" s="4" t="str">
        <f t="shared" si="19"/>
        <v>#N/A</v>
      </c>
      <c r="AJ33" s="4">
        <f t="shared" si="20"/>
        <v>250000</v>
      </c>
      <c r="AK33" s="4">
        <f t="shared" si="21"/>
        <v>0</v>
      </c>
      <c r="AL33" s="4">
        <f t="shared" si="22"/>
        <v>10</v>
      </c>
      <c r="AM33" s="4" t="str">
        <f t="shared" si="23"/>
        <v>#N/A</v>
      </c>
      <c r="AN33" s="4" t="str">
        <f t="shared" si="24"/>
        <v>#N/A</v>
      </c>
      <c r="AO33" s="4" t="str">
        <f t="shared" si="25"/>
        <v>#N/A</v>
      </c>
      <c r="AP33" s="4" t="str">
        <f t="shared" si="26"/>
        <v>#N/A</v>
      </c>
      <c r="AQ33" s="4" t="str">
        <f t="shared" si="27"/>
        <v>#N/A</v>
      </c>
      <c r="AR33" s="4" t="str">
        <f t="shared" si="28"/>
        <v>#N/A</v>
      </c>
      <c r="AS33" s="4">
        <f t="shared" si="29"/>
        <v>49</v>
      </c>
      <c r="AT33" s="4">
        <f t="shared" si="30"/>
        <v>60</v>
      </c>
    </row>
    <row r="34" ht="15.75" customHeight="1">
      <c r="A34" s="4" t="s">
        <v>147</v>
      </c>
      <c r="B34" s="4" t="s">
        <v>148</v>
      </c>
      <c r="C34" s="4" t="s">
        <v>72</v>
      </c>
      <c r="D34" s="6" t="s">
        <v>81</v>
      </c>
      <c r="E34" s="4" t="s">
        <v>98</v>
      </c>
      <c r="F34" s="4">
        <v>500000.0</v>
      </c>
      <c r="G34" s="4">
        <v>445416.0</v>
      </c>
      <c r="H34" s="4">
        <v>54584.0</v>
      </c>
      <c r="I34" s="4">
        <v>10.9168</v>
      </c>
      <c r="J34" s="4">
        <v>110.0</v>
      </c>
      <c r="K34" s="4"/>
      <c r="L34" s="4"/>
      <c r="M34" s="4">
        <v>0.0</v>
      </c>
      <c r="N34" s="4">
        <v>4.0</v>
      </c>
      <c r="O34" s="4">
        <f t="array" ref="O34">IFERROR(INDEX(Data!$AB$2:$AB$81,MATCH(A34,Data!$A$2:$A$81,0)),1)</f>
        <v>1</v>
      </c>
      <c r="P34" s="4" t="str">
        <f t="shared" si="1"/>
        <v>#N/A</v>
      </c>
      <c r="Q34" s="4" t="str">
        <f t="shared" si="2"/>
        <v>#N/A</v>
      </c>
      <c r="R34" s="4" t="str">
        <f t="shared" si="3"/>
        <v/>
      </c>
      <c r="S34" s="4">
        <f t="shared" si="4"/>
        <v>10.9168</v>
      </c>
      <c r="T34" s="4">
        <f t="shared" si="5"/>
        <v>500000</v>
      </c>
      <c r="U34" s="4">
        <f t="shared" si="6"/>
        <v>0</v>
      </c>
      <c r="V34" s="4">
        <f t="shared" si="7"/>
        <v>4</v>
      </c>
      <c r="W34" s="4" t="str">
        <f t="shared" si="8"/>
        <v>#N/A</v>
      </c>
      <c r="X34" s="4" t="str">
        <f t="shared" si="9"/>
        <v>#N/A</v>
      </c>
      <c r="Y34" s="4" t="str">
        <f t="shared" si="10"/>
        <v>#N/A</v>
      </c>
      <c r="Z34" s="4" t="str">
        <f t="shared" si="11"/>
        <v>#N/A</v>
      </c>
      <c r="AA34" s="4" t="str">
        <f t="shared" si="12"/>
        <v>#N/A</v>
      </c>
      <c r="AB34" s="4" t="str">
        <f t="shared" si="13"/>
        <v>#N/A</v>
      </c>
      <c r="AC34" s="4" t="str">
        <f t="shared" si="14"/>
        <v>#N/A</v>
      </c>
      <c r="AD34" s="4" t="str">
        <f t="shared" si="15"/>
        <v>#N/A</v>
      </c>
      <c r="AE34" s="4" t="str">
        <f t="shared" si="16"/>
        <v>#N/A</v>
      </c>
      <c r="AF34" s="4"/>
      <c r="AG34" s="4">
        <f t="shared" si="17"/>
        <v>500000</v>
      </c>
      <c r="AH34" s="4">
        <f t="shared" si="18"/>
        <v>0</v>
      </c>
      <c r="AI34" s="4">
        <f t="shared" si="19"/>
        <v>4</v>
      </c>
      <c r="AJ34" s="4" t="str">
        <f t="shared" si="20"/>
        <v>#N/A</v>
      </c>
      <c r="AK34" s="4" t="str">
        <f t="shared" si="21"/>
        <v>#N/A</v>
      </c>
      <c r="AL34" s="4" t="str">
        <f t="shared" si="22"/>
        <v>#N/A</v>
      </c>
      <c r="AM34" s="4" t="str">
        <f t="shared" si="23"/>
        <v>#N/A</v>
      </c>
      <c r="AN34" s="4" t="str">
        <f t="shared" si="24"/>
        <v>#N/A</v>
      </c>
      <c r="AO34" s="4" t="str">
        <f t="shared" si="25"/>
        <v>#N/A</v>
      </c>
      <c r="AP34" s="4" t="str">
        <f t="shared" si="26"/>
        <v>#N/A</v>
      </c>
      <c r="AQ34" s="4" t="str">
        <f t="shared" si="27"/>
        <v>#N/A</v>
      </c>
      <c r="AR34" s="4" t="str">
        <f t="shared" si="28"/>
        <v>#N/A</v>
      </c>
      <c r="AS34" s="4">
        <f t="shared" si="29"/>
        <v>110</v>
      </c>
      <c r="AT34" s="4" t="str">
        <f t="shared" si="30"/>
        <v>#N/A</v>
      </c>
    </row>
    <row r="35" ht="15.75" customHeight="1">
      <c r="A35" s="4" t="s">
        <v>149</v>
      </c>
      <c r="B35" s="4" t="s">
        <v>150</v>
      </c>
      <c r="C35" s="4" t="s">
        <v>88</v>
      </c>
      <c r="D35" s="6" t="s">
        <v>81</v>
      </c>
      <c r="E35" s="4" t="s">
        <v>68</v>
      </c>
      <c r="F35" s="4">
        <v>50000.0</v>
      </c>
      <c r="G35" s="4">
        <v>29904.0</v>
      </c>
      <c r="H35" s="4">
        <v>20096.0</v>
      </c>
      <c r="I35" s="4">
        <v>40.192</v>
      </c>
      <c r="J35" s="4">
        <v>98.0</v>
      </c>
      <c r="K35" s="4"/>
      <c r="L35" s="4"/>
      <c r="M35" s="4">
        <v>0.0</v>
      </c>
      <c r="N35" s="4">
        <v>8.0</v>
      </c>
      <c r="O35" s="4">
        <f t="array" ref="O35">IFERROR(INDEX(Data!$AB$2:$AB$81,MATCH(A35,Data!$A$2:$A$81,0)),1)</f>
        <v>1</v>
      </c>
      <c r="P35" s="4" t="str">
        <f t="shared" si="1"/>
        <v>#N/A</v>
      </c>
      <c r="Q35" s="4" t="str">
        <f t="shared" si="2"/>
        <v>#N/A</v>
      </c>
      <c r="R35" s="4" t="str">
        <f t="shared" si="3"/>
        <v/>
      </c>
      <c r="S35" s="4">
        <f t="shared" si="4"/>
        <v>40.192</v>
      </c>
      <c r="T35" s="4" t="str">
        <f t="shared" si="5"/>
        <v>#N/A</v>
      </c>
      <c r="U35" s="4" t="str">
        <f t="shared" si="6"/>
        <v>#N/A</v>
      </c>
      <c r="V35" s="4" t="str">
        <f t="shared" si="7"/>
        <v>#N/A</v>
      </c>
      <c r="W35" s="4" t="str">
        <f t="shared" si="8"/>
        <v>#N/A</v>
      </c>
      <c r="X35" s="4" t="str">
        <f t="shared" si="9"/>
        <v>#N/A</v>
      </c>
      <c r="Y35" s="4" t="str">
        <f t="shared" si="10"/>
        <v>#N/A</v>
      </c>
      <c r="Z35" s="4">
        <f t="shared" si="11"/>
        <v>50000</v>
      </c>
      <c r="AA35" s="4">
        <f t="shared" si="12"/>
        <v>0</v>
      </c>
      <c r="AB35" s="4">
        <f t="shared" si="13"/>
        <v>8</v>
      </c>
      <c r="AC35" s="4" t="str">
        <f t="shared" si="14"/>
        <v>#N/A</v>
      </c>
      <c r="AD35" s="4" t="str">
        <f t="shared" si="15"/>
        <v>#N/A</v>
      </c>
      <c r="AE35" s="4" t="str">
        <f t="shared" si="16"/>
        <v>#N/A</v>
      </c>
      <c r="AF35" s="4"/>
      <c r="AG35" s="4" t="str">
        <f t="shared" si="17"/>
        <v>#N/A</v>
      </c>
      <c r="AH35" s="4" t="str">
        <f t="shared" si="18"/>
        <v>#N/A</v>
      </c>
      <c r="AI35" s="4" t="str">
        <f t="shared" si="19"/>
        <v>#N/A</v>
      </c>
      <c r="AJ35" s="4" t="str">
        <f t="shared" si="20"/>
        <v>#N/A</v>
      </c>
      <c r="AK35" s="4" t="str">
        <f t="shared" si="21"/>
        <v>#N/A</v>
      </c>
      <c r="AL35" s="4" t="str">
        <f t="shared" si="22"/>
        <v>#N/A</v>
      </c>
      <c r="AM35" s="4">
        <f t="shared" si="23"/>
        <v>50000</v>
      </c>
      <c r="AN35" s="4">
        <f t="shared" si="24"/>
        <v>0</v>
      </c>
      <c r="AO35" s="4">
        <f t="shared" si="25"/>
        <v>8</v>
      </c>
      <c r="AP35" s="4" t="str">
        <f t="shared" si="26"/>
        <v>#N/A</v>
      </c>
      <c r="AQ35" s="4" t="str">
        <f t="shared" si="27"/>
        <v>#N/A</v>
      </c>
      <c r="AR35" s="4" t="str">
        <f t="shared" si="28"/>
        <v>#N/A</v>
      </c>
      <c r="AS35" s="4">
        <f t="shared" si="29"/>
        <v>98</v>
      </c>
      <c r="AT35" s="4" t="str">
        <f t="shared" si="30"/>
        <v>#N/A</v>
      </c>
    </row>
    <row r="36" ht="15.75" customHeight="1">
      <c r="A36" s="4" t="s">
        <v>151</v>
      </c>
      <c r="B36" s="4" t="s">
        <v>152</v>
      </c>
      <c r="C36" s="4" t="s">
        <v>85</v>
      </c>
      <c r="D36" s="9" t="s">
        <v>92</v>
      </c>
      <c r="E36" s="4" t="s">
        <v>74</v>
      </c>
      <c r="F36" s="4">
        <v>100000.0</v>
      </c>
      <c r="G36" s="4">
        <v>39044.0</v>
      </c>
      <c r="H36" s="4">
        <v>60956.0</v>
      </c>
      <c r="I36" s="4">
        <v>60.956</v>
      </c>
      <c r="J36" s="4">
        <v>152.0</v>
      </c>
      <c r="K36" s="4">
        <v>198.0</v>
      </c>
      <c r="L36" s="4">
        <v>46.0</v>
      </c>
      <c r="M36" s="4">
        <v>0.0</v>
      </c>
      <c r="N36" s="4">
        <v>14.0</v>
      </c>
      <c r="O36" s="4">
        <f t="array" ref="O36">IFERROR(INDEX(Data!$AB$2:$AB$81,MATCH(A36,Data!$A$2:$A$81,0)),1)</f>
        <v>1</v>
      </c>
      <c r="P36" s="4" t="str">
        <f t="shared" si="1"/>
        <v>#N/A</v>
      </c>
      <c r="Q36" s="4" t="str">
        <f t="shared" si="2"/>
        <v>#N/A</v>
      </c>
      <c r="R36" s="4">
        <f t="shared" si="3"/>
        <v>46</v>
      </c>
      <c r="S36" s="4">
        <f t="shared" si="4"/>
        <v>60.956</v>
      </c>
      <c r="T36" s="4" t="str">
        <f t="shared" si="5"/>
        <v>#N/A</v>
      </c>
      <c r="U36" s="4" t="str">
        <f t="shared" si="6"/>
        <v>#N/A</v>
      </c>
      <c r="V36" s="4" t="str">
        <f t="shared" si="7"/>
        <v>#N/A</v>
      </c>
      <c r="W36" s="4" t="str">
        <f t="shared" si="8"/>
        <v>#N/A</v>
      </c>
      <c r="X36" s="4" t="str">
        <f t="shared" si="9"/>
        <v>#N/A</v>
      </c>
      <c r="Y36" s="4" t="str">
        <f t="shared" si="10"/>
        <v>#N/A</v>
      </c>
      <c r="Z36" s="4" t="str">
        <f t="shared" si="11"/>
        <v>#N/A</v>
      </c>
      <c r="AA36" s="4" t="str">
        <f t="shared" si="12"/>
        <v>#N/A</v>
      </c>
      <c r="AB36" s="4" t="str">
        <f t="shared" si="13"/>
        <v>#N/A</v>
      </c>
      <c r="AC36" s="4">
        <f t="shared" si="14"/>
        <v>100000</v>
      </c>
      <c r="AD36" s="4">
        <f t="shared" si="15"/>
        <v>0</v>
      </c>
      <c r="AE36" s="4">
        <f t="shared" si="16"/>
        <v>14</v>
      </c>
      <c r="AF36" s="4"/>
      <c r="AG36" s="4" t="str">
        <f t="shared" si="17"/>
        <v>#N/A</v>
      </c>
      <c r="AH36" s="4" t="str">
        <f t="shared" si="18"/>
        <v>#N/A</v>
      </c>
      <c r="AI36" s="4" t="str">
        <f t="shared" si="19"/>
        <v>#N/A</v>
      </c>
      <c r="AJ36" s="4" t="str">
        <f t="shared" si="20"/>
        <v>#N/A</v>
      </c>
      <c r="AK36" s="4" t="str">
        <f t="shared" si="21"/>
        <v>#N/A</v>
      </c>
      <c r="AL36" s="4" t="str">
        <f t="shared" si="22"/>
        <v>#N/A</v>
      </c>
      <c r="AM36" s="4" t="str">
        <f t="shared" si="23"/>
        <v>#N/A</v>
      </c>
      <c r="AN36" s="4" t="str">
        <f t="shared" si="24"/>
        <v>#N/A</v>
      </c>
      <c r="AO36" s="4" t="str">
        <f t="shared" si="25"/>
        <v>#N/A</v>
      </c>
      <c r="AP36" s="4">
        <f t="shared" si="26"/>
        <v>100000</v>
      </c>
      <c r="AQ36" s="4">
        <f t="shared" si="27"/>
        <v>0</v>
      </c>
      <c r="AR36" s="4">
        <f t="shared" si="28"/>
        <v>14</v>
      </c>
      <c r="AS36" s="4">
        <f t="shared" si="29"/>
        <v>152</v>
      </c>
      <c r="AT36" s="4">
        <f t="shared" si="30"/>
        <v>198</v>
      </c>
    </row>
    <row r="37" ht="15.75" customHeight="1">
      <c r="A37" s="4" t="s">
        <v>153</v>
      </c>
      <c r="B37" s="4" t="s">
        <v>154</v>
      </c>
      <c r="C37" s="4" t="s">
        <v>66</v>
      </c>
      <c r="D37" s="9" t="s">
        <v>92</v>
      </c>
      <c r="E37" s="4" t="s">
        <v>74</v>
      </c>
      <c r="F37" s="4">
        <v>50000.0</v>
      </c>
      <c r="G37" s="4">
        <v>49503.0</v>
      </c>
      <c r="H37" s="4">
        <v>497.0</v>
      </c>
      <c r="I37" s="4">
        <v>0.9939999999999999</v>
      </c>
      <c r="J37" s="4">
        <v>127.0</v>
      </c>
      <c r="K37" s="4">
        <v>171.0</v>
      </c>
      <c r="L37" s="4">
        <v>44.0</v>
      </c>
      <c r="M37" s="4">
        <v>0.0</v>
      </c>
      <c r="N37" s="4">
        <v>14.0</v>
      </c>
      <c r="O37" s="4">
        <f t="array" ref="O37">IFERROR(INDEX(Data!$AB$2:$AB$81,MATCH(A37,Data!$A$2:$A$81,0)),1)</f>
        <v>1</v>
      </c>
      <c r="P37" s="4" t="str">
        <f t="shared" si="1"/>
        <v>#N/A</v>
      </c>
      <c r="Q37" s="4" t="str">
        <f t="shared" si="2"/>
        <v>#N/A</v>
      </c>
      <c r="R37" s="4">
        <f t="shared" si="3"/>
        <v>44</v>
      </c>
      <c r="S37" s="4">
        <f t="shared" si="4"/>
        <v>0.994</v>
      </c>
      <c r="T37" s="4" t="str">
        <f t="shared" si="5"/>
        <v>#N/A</v>
      </c>
      <c r="U37" s="4" t="str">
        <f t="shared" si="6"/>
        <v>#N/A</v>
      </c>
      <c r="V37" s="4" t="str">
        <f t="shared" si="7"/>
        <v>#N/A</v>
      </c>
      <c r="W37" s="4" t="str">
        <f t="shared" si="8"/>
        <v>#N/A</v>
      </c>
      <c r="X37" s="4" t="str">
        <f t="shared" si="9"/>
        <v>#N/A</v>
      </c>
      <c r="Y37" s="4" t="str">
        <f t="shared" si="10"/>
        <v>#N/A</v>
      </c>
      <c r="Z37" s="4" t="str">
        <f t="shared" si="11"/>
        <v>#N/A</v>
      </c>
      <c r="AA37" s="4" t="str">
        <f t="shared" si="12"/>
        <v>#N/A</v>
      </c>
      <c r="AB37" s="4" t="str">
        <f t="shared" si="13"/>
        <v>#N/A</v>
      </c>
      <c r="AC37" s="4">
        <f t="shared" si="14"/>
        <v>50000</v>
      </c>
      <c r="AD37" s="4">
        <f t="shared" si="15"/>
        <v>0</v>
      </c>
      <c r="AE37" s="4">
        <f t="shared" si="16"/>
        <v>14</v>
      </c>
      <c r="AF37" s="4"/>
      <c r="AG37" s="4" t="str">
        <f t="shared" si="17"/>
        <v>#N/A</v>
      </c>
      <c r="AH37" s="4" t="str">
        <f t="shared" si="18"/>
        <v>#N/A</v>
      </c>
      <c r="AI37" s="4" t="str">
        <f t="shared" si="19"/>
        <v>#N/A</v>
      </c>
      <c r="AJ37" s="4" t="str">
        <f t="shared" si="20"/>
        <v>#N/A</v>
      </c>
      <c r="AK37" s="4" t="str">
        <f t="shared" si="21"/>
        <v>#N/A</v>
      </c>
      <c r="AL37" s="4" t="str">
        <f t="shared" si="22"/>
        <v>#N/A</v>
      </c>
      <c r="AM37" s="4" t="str">
        <f t="shared" si="23"/>
        <v>#N/A</v>
      </c>
      <c r="AN37" s="4" t="str">
        <f t="shared" si="24"/>
        <v>#N/A</v>
      </c>
      <c r="AO37" s="4" t="str">
        <f t="shared" si="25"/>
        <v>#N/A</v>
      </c>
      <c r="AP37" s="4">
        <f t="shared" si="26"/>
        <v>50000</v>
      </c>
      <c r="AQ37" s="4">
        <f t="shared" si="27"/>
        <v>0</v>
      </c>
      <c r="AR37" s="4">
        <f t="shared" si="28"/>
        <v>14</v>
      </c>
      <c r="AS37" s="4">
        <f t="shared" si="29"/>
        <v>127</v>
      </c>
      <c r="AT37" s="4">
        <f t="shared" si="30"/>
        <v>171</v>
      </c>
    </row>
    <row r="38" ht="15.75" customHeight="1">
      <c r="A38" s="4" t="s">
        <v>155</v>
      </c>
      <c r="B38" s="4" t="s">
        <v>156</v>
      </c>
      <c r="C38" s="4" t="s">
        <v>72</v>
      </c>
      <c r="D38" s="9" t="s">
        <v>92</v>
      </c>
      <c r="E38" s="4" t="s">
        <v>74</v>
      </c>
      <c r="F38" s="4">
        <v>1000000.0</v>
      </c>
      <c r="G38" s="4">
        <v>914022.0</v>
      </c>
      <c r="H38" s="4">
        <v>85978.0</v>
      </c>
      <c r="I38" s="4">
        <v>8.5978</v>
      </c>
      <c r="J38" s="4">
        <v>96.0</v>
      </c>
      <c r="K38" s="4">
        <v>91.0</v>
      </c>
      <c r="L38" s="4">
        <v>-5.0</v>
      </c>
      <c r="M38" s="4">
        <v>1.0</v>
      </c>
      <c r="N38" s="4">
        <v>12.0</v>
      </c>
      <c r="O38" s="4">
        <f t="array" ref="O38">IFERROR(INDEX(Data!$AB$2:$AB$81,MATCH(A38,Data!$A$2:$A$81,0)),1)</f>
        <v>1</v>
      </c>
      <c r="P38" s="4">
        <f t="shared" si="1"/>
        <v>-5</v>
      </c>
      <c r="Q38" s="4">
        <f t="shared" si="2"/>
        <v>8.5978</v>
      </c>
      <c r="R38" s="4" t="str">
        <f t="shared" si="3"/>
        <v>#N/A</v>
      </c>
      <c r="S38" s="4" t="str">
        <f t="shared" si="4"/>
        <v>#N/A</v>
      </c>
      <c r="T38" s="4" t="str">
        <f t="shared" si="5"/>
        <v>#N/A</v>
      </c>
      <c r="U38" s="4" t="str">
        <f t="shared" si="6"/>
        <v>#N/A</v>
      </c>
      <c r="V38" s="4" t="str">
        <f t="shared" si="7"/>
        <v>#N/A</v>
      </c>
      <c r="W38" s="4" t="str">
        <f t="shared" si="8"/>
        <v>#N/A</v>
      </c>
      <c r="X38" s="4" t="str">
        <f t="shared" si="9"/>
        <v>#N/A</v>
      </c>
      <c r="Y38" s="4" t="str">
        <f t="shared" si="10"/>
        <v>#N/A</v>
      </c>
      <c r="Z38" s="4" t="str">
        <f t="shared" si="11"/>
        <v>#N/A</v>
      </c>
      <c r="AA38" s="4" t="str">
        <f t="shared" si="12"/>
        <v>#N/A</v>
      </c>
      <c r="AB38" s="4" t="str">
        <f t="shared" si="13"/>
        <v>#N/A</v>
      </c>
      <c r="AC38" s="4">
        <f t="shared" si="14"/>
        <v>1000000</v>
      </c>
      <c r="AD38" s="4">
        <f t="shared" si="15"/>
        <v>1</v>
      </c>
      <c r="AE38" s="4">
        <f t="shared" si="16"/>
        <v>12</v>
      </c>
      <c r="AF38" s="4"/>
      <c r="AG38" s="4" t="str">
        <f t="shared" si="17"/>
        <v>#N/A</v>
      </c>
      <c r="AH38" s="4" t="str">
        <f t="shared" si="18"/>
        <v>#N/A</v>
      </c>
      <c r="AI38" s="4" t="str">
        <f t="shared" si="19"/>
        <v>#N/A</v>
      </c>
      <c r="AJ38" s="4" t="str">
        <f t="shared" si="20"/>
        <v>#N/A</v>
      </c>
      <c r="AK38" s="4" t="str">
        <f t="shared" si="21"/>
        <v>#N/A</v>
      </c>
      <c r="AL38" s="4" t="str">
        <f t="shared" si="22"/>
        <v>#N/A</v>
      </c>
      <c r="AM38" s="4" t="str">
        <f t="shared" si="23"/>
        <v>#N/A</v>
      </c>
      <c r="AN38" s="4" t="str">
        <f t="shared" si="24"/>
        <v>#N/A</v>
      </c>
      <c r="AO38" s="4" t="str">
        <f t="shared" si="25"/>
        <v>#N/A</v>
      </c>
      <c r="AP38" s="4">
        <f t="shared" si="26"/>
        <v>1000000</v>
      </c>
      <c r="AQ38" s="4">
        <f t="shared" si="27"/>
        <v>1</v>
      </c>
      <c r="AR38" s="4">
        <f t="shared" si="28"/>
        <v>12</v>
      </c>
      <c r="AS38" s="4">
        <f t="shared" si="29"/>
        <v>96</v>
      </c>
      <c r="AT38" s="4">
        <f t="shared" si="30"/>
        <v>91</v>
      </c>
    </row>
    <row r="39" ht="15.75" customHeight="1">
      <c r="A39" s="4" t="s">
        <v>157</v>
      </c>
      <c r="B39" s="4" t="s">
        <v>158</v>
      </c>
      <c r="C39" s="4" t="s">
        <v>101</v>
      </c>
      <c r="D39" s="8" t="s">
        <v>73</v>
      </c>
      <c r="E39" s="4" t="s">
        <v>98</v>
      </c>
      <c r="F39" s="4">
        <v>500000.0</v>
      </c>
      <c r="G39" s="4">
        <v>288299.0</v>
      </c>
      <c r="H39" s="4">
        <v>211701.0</v>
      </c>
      <c r="I39" s="4">
        <v>42.3402</v>
      </c>
      <c r="J39" s="4">
        <v>93.0</v>
      </c>
      <c r="K39" s="4"/>
      <c r="L39" s="4"/>
      <c r="M39" s="4">
        <v>0.0</v>
      </c>
      <c r="N39" s="4">
        <v>13.0</v>
      </c>
      <c r="O39" s="4">
        <f t="array" ref="O39">IFERROR(INDEX(Data!$AB$2:$AB$81,MATCH(A39,Data!$A$2:$A$81,0)),1)</f>
        <v>1</v>
      </c>
      <c r="P39" s="4" t="str">
        <f t="shared" si="1"/>
        <v>#N/A</v>
      </c>
      <c r="Q39" s="4" t="str">
        <f t="shared" si="2"/>
        <v>#N/A</v>
      </c>
      <c r="R39" s="4" t="str">
        <f t="shared" si="3"/>
        <v/>
      </c>
      <c r="S39" s="4">
        <f t="shared" si="4"/>
        <v>42.3402</v>
      </c>
      <c r="T39" s="4">
        <f t="shared" si="5"/>
        <v>500000</v>
      </c>
      <c r="U39" s="4">
        <f t="shared" si="6"/>
        <v>0</v>
      </c>
      <c r="V39" s="4">
        <f t="shared" si="7"/>
        <v>13</v>
      </c>
      <c r="W39" s="4" t="str">
        <f t="shared" si="8"/>
        <v>#N/A</v>
      </c>
      <c r="X39" s="4" t="str">
        <f t="shared" si="9"/>
        <v>#N/A</v>
      </c>
      <c r="Y39" s="4" t="str">
        <f t="shared" si="10"/>
        <v>#N/A</v>
      </c>
      <c r="Z39" s="4" t="str">
        <f t="shared" si="11"/>
        <v>#N/A</v>
      </c>
      <c r="AA39" s="4" t="str">
        <f t="shared" si="12"/>
        <v>#N/A</v>
      </c>
      <c r="AB39" s="4" t="str">
        <f t="shared" si="13"/>
        <v>#N/A</v>
      </c>
      <c r="AC39" s="4" t="str">
        <f t="shared" si="14"/>
        <v>#N/A</v>
      </c>
      <c r="AD39" s="4" t="str">
        <f t="shared" si="15"/>
        <v>#N/A</v>
      </c>
      <c r="AE39" s="4" t="str">
        <f t="shared" si="16"/>
        <v>#N/A</v>
      </c>
      <c r="AF39" s="4"/>
      <c r="AG39" s="4">
        <f t="shared" si="17"/>
        <v>500000</v>
      </c>
      <c r="AH39" s="4">
        <f t="shared" si="18"/>
        <v>0</v>
      </c>
      <c r="AI39" s="4">
        <f t="shared" si="19"/>
        <v>13</v>
      </c>
      <c r="AJ39" s="4" t="str">
        <f t="shared" si="20"/>
        <v>#N/A</v>
      </c>
      <c r="AK39" s="4" t="str">
        <f t="shared" si="21"/>
        <v>#N/A</v>
      </c>
      <c r="AL39" s="4" t="str">
        <f t="shared" si="22"/>
        <v>#N/A</v>
      </c>
      <c r="AM39" s="4" t="str">
        <f t="shared" si="23"/>
        <v>#N/A</v>
      </c>
      <c r="AN39" s="4" t="str">
        <f t="shared" si="24"/>
        <v>#N/A</v>
      </c>
      <c r="AO39" s="4" t="str">
        <f t="shared" si="25"/>
        <v>#N/A</v>
      </c>
      <c r="AP39" s="4" t="str">
        <f t="shared" si="26"/>
        <v>#N/A</v>
      </c>
      <c r="AQ39" s="4" t="str">
        <f t="shared" si="27"/>
        <v>#N/A</v>
      </c>
      <c r="AR39" s="4" t="str">
        <f t="shared" si="28"/>
        <v>#N/A</v>
      </c>
      <c r="AS39" s="4">
        <f t="shared" si="29"/>
        <v>93</v>
      </c>
      <c r="AT39" s="4" t="str">
        <f t="shared" si="30"/>
        <v>#N/A</v>
      </c>
    </row>
    <row r="40" ht="15.75" customHeight="1">
      <c r="A40" s="4" t="s">
        <v>159</v>
      </c>
      <c r="B40" s="4" t="s">
        <v>160</v>
      </c>
      <c r="C40" s="4" t="s">
        <v>66</v>
      </c>
      <c r="D40" s="8" t="s">
        <v>73</v>
      </c>
      <c r="E40" s="4" t="s">
        <v>98</v>
      </c>
      <c r="F40" s="4">
        <v>1000000.0</v>
      </c>
      <c r="G40" s="4">
        <v>979076.0</v>
      </c>
      <c r="H40" s="4">
        <v>20924.0</v>
      </c>
      <c r="I40" s="4">
        <v>2.0924</v>
      </c>
      <c r="J40" s="4">
        <v>70.0</v>
      </c>
      <c r="K40" s="4"/>
      <c r="L40" s="4"/>
      <c r="M40" s="4">
        <v>0.0</v>
      </c>
      <c r="N40" s="4">
        <v>10.0</v>
      </c>
      <c r="O40" s="4">
        <f t="array" ref="O40">IFERROR(INDEX(Data!$AB$2:$AB$81,MATCH(A40,Data!$A$2:$A$81,0)),1)</f>
        <v>1</v>
      </c>
      <c r="P40" s="4" t="str">
        <f t="shared" si="1"/>
        <v>#N/A</v>
      </c>
      <c r="Q40" s="4" t="str">
        <f t="shared" si="2"/>
        <v>#N/A</v>
      </c>
      <c r="R40" s="4" t="str">
        <f t="shared" si="3"/>
        <v/>
      </c>
      <c r="S40" s="4">
        <f t="shared" si="4"/>
        <v>2.0924</v>
      </c>
      <c r="T40" s="4">
        <f t="shared" si="5"/>
        <v>1000000</v>
      </c>
      <c r="U40" s="4">
        <f t="shared" si="6"/>
        <v>0</v>
      </c>
      <c r="V40" s="4">
        <f t="shared" si="7"/>
        <v>10</v>
      </c>
      <c r="W40" s="4" t="str">
        <f t="shared" si="8"/>
        <v>#N/A</v>
      </c>
      <c r="X40" s="4" t="str">
        <f t="shared" si="9"/>
        <v>#N/A</v>
      </c>
      <c r="Y40" s="4" t="str">
        <f t="shared" si="10"/>
        <v>#N/A</v>
      </c>
      <c r="Z40" s="4" t="str">
        <f t="shared" si="11"/>
        <v>#N/A</v>
      </c>
      <c r="AA40" s="4" t="str">
        <f t="shared" si="12"/>
        <v>#N/A</v>
      </c>
      <c r="AB40" s="4" t="str">
        <f t="shared" si="13"/>
        <v>#N/A</v>
      </c>
      <c r="AC40" s="4" t="str">
        <f t="shared" si="14"/>
        <v>#N/A</v>
      </c>
      <c r="AD40" s="4" t="str">
        <f t="shared" si="15"/>
        <v>#N/A</v>
      </c>
      <c r="AE40" s="4" t="str">
        <f t="shared" si="16"/>
        <v>#N/A</v>
      </c>
      <c r="AF40" s="4"/>
      <c r="AG40" s="4">
        <f t="shared" si="17"/>
        <v>1000000</v>
      </c>
      <c r="AH40" s="4">
        <f t="shared" si="18"/>
        <v>0</v>
      </c>
      <c r="AI40" s="4">
        <f t="shared" si="19"/>
        <v>10</v>
      </c>
      <c r="AJ40" s="4" t="str">
        <f t="shared" si="20"/>
        <v>#N/A</v>
      </c>
      <c r="AK40" s="4" t="str">
        <f t="shared" si="21"/>
        <v>#N/A</v>
      </c>
      <c r="AL40" s="4" t="str">
        <f t="shared" si="22"/>
        <v>#N/A</v>
      </c>
      <c r="AM40" s="4" t="str">
        <f t="shared" si="23"/>
        <v>#N/A</v>
      </c>
      <c r="AN40" s="4" t="str">
        <f t="shared" si="24"/>
        <v>#N/A</v>
      </c>
      <c r="AO40" s="4" t="str">
        <f t="shared" si="25"/>
        <v>#N/A</v>
      </c>
      <c r="AP40" s="4" t="str">
        <f t="shared" si="26"/>
        <v>#N/A</v>
      </c>
      <c r="AQ40" s="4" t="str">
        <f t="shared" si="27"/>
        <v>#N/A</v>
      </c>
      <c r="AR40" s="4" t="str">
        <f t="shared" si="28"/>
        <v>#N/A</v>
      </c>
      <c r="AS40" s="4">
        <f t="shared" si="29"/>
        <v>70</v>
      </c>
      <c r="AT40" s="4" t="str">
        <f t="shared" si="30"/>
        <v>#N/A</v>
      </c>
    </row>
    <row r="41" ht="15.75" customHeight="1">
      <c r="A41" s="4" t="s">
        <v>161</v>
      </c>
      <c r="B41" s="4" t="s">
        <v>162</v>
      </c>
      <c r="C41" s="4" t="s">
        <v>85</v>
      </c>
      <c r="D41" s="6" t="s">
        <v>67</v>
      </c>
      <c r="E41" s="4" t="s">
        <v>95</v>
      </c>
      <c r="F41" s="4">
        <v>1000000.0</v>
      </c>
      <c r="G41" s="4">
        <v>478165.0</v>
      </c>
      <c r="H41" s="4">
        <v>521835.0</v>
      </c>
      <c r="I41" s="4">
        <v>52.1835</v>
      </c>
      <c r="J41" s="4">
        <v>42.0</v>
      </c>
      <c r="K41" s="4"/>
      <c r="L41" s="4"/>
      <c r="M41" s="4">
        <v>0.0</v>
      </c>
      <c r="N41" s="4">
        <v>13.0</v>
      </c>
      <c r="O41" s="4">
        <f t="array" ref="O41">IFERROR(INDEX(Data!$AB$2:$AB$81,MATCH(A41,Data!$A$2:$A$81,0)),1)</f>
        <v>1</v>
      </c>
      <c r="P41" s="4" t="str">
        <f t="shared" si="1"/>
        <v>#N/A</v>
      </c>
      <c r="Q41" s="4" t="str">
        <f t="shared" si="2"/>
        <v>#N/A</v>
      </c>
      <c r="R41" s="4" t="str">
        <f t="shared" si="3"/>
        <v/>
      </c>
      <c r="S41" s="4">
        <f t="shared" si="4"/>
        <v>52.1835</v>
      </c>
      <c r="T41" s="4" t="str">
        <f t="shared" si="5"/>
        <v>#N/A</v>
      </c>
      <c r="U41" s="4" t="str">
        <f t="shared" si="6"/>
        <v>#N/A</v>
      </c>
      <c r="V41" s="4" t="str">
        <f t="shared" si="7"/>
        <v>#N/A</v>
      </c>
      <c r="W41" s="4">
        <f t="shared" si="8"/>
        <v>1000000</v>
      </c>
      <c r="X41" s="4">
        <f t="shared" si="9"/>
        <v>0</v>
      </c>
      <c r="Y41" s="4">
        <f t="shared" si="10"/>
        <v>13</v>
      </c>
      <c r="Z41" s="4" t="str">
        <f t="shared" si="11"/>
        <v>#N/A</v>
      </c>
      <c r="AA41" s="4" t="str">
        <f t="shared" si="12"/>
        <v>#N/A</v>
      </c>
      <c r="AB41" s="4" t="str">
        <f t="shared" si="13"/>
        <v>#N/A</v>
      </c>
      <c r="AC41" s="4" t="str">
        <f t="shared" si="14"/>
        <v>#N/A</v>
      </c>
      <c r="AD41" s="4" t="str">
        <f t="shared" si="15"/>
        <v>#N/A</v>
      </c>
      <c r="AE41" s="4" t="str">
        <f t="shared" si="16"/>
        <v>#N/A</v>
      </c>
      <c r="AF41" s="4"/>
      <c r="AG41" s="4" t="str">
        <f t="shared" si="17"/>
        <v>#N/A</v>
      </c>
      <c r="AH41" s="4" t="str">
        <f t="shared" si="18"/>
        <v>#N/A</v>
      </c>
      <c r="AI41" s="4" t="str">
        <f t="shared" si="19"/>
        <v>#N/A</v>
      </c>
      <c r="AJ41" s="4">
        <f t="shared" si="20"/>
        <v>1000000</v>
      </c>
      <c r="AK41" s="4">
        <f t="shared" si="21"/>
        <v>0</v>
      </c>
      <c r="AL41" s="4">
        <f t="shared" si="22"/>
        <v>13</v>
      </c>
      <c r="AM41" s="4" t="str">
        <f t="shared" si="23"/>
        <v>#N/A</v>
      </c>
      <c r="AN41" s="4" t="str">
        <f t="shared" si="24"/>
        <v>#N/A</v>
      </c>
      <c r="AO41" s="4" t="str">
        <f t="shared" si="25"/>
        <v>#N/A</v>
      </c>
      <c r="AP41" s="4" t="str">
        <f t="shared" si="26"/>
        <v>#N/A</v>
      </c>
      <c r="AQ41" s="4" t="str">
        <f t="shared" si="27"/>
        <v>#N/A</v>
      </c>
      <c r="AR41" s="4" t="str">
        <f t="shared" si="28"/>
        <v>#N/A</v>
      </c>
      <c r="AS41" s="4">
        <f t="shared" si="29"/>
        <v>42</v>
      </c>
      <c r="AT41" s="4" t="str">
        <f t="shared" si="30"/>
        <v>#N/A</v>
      </c>
    </row>
    <row r="42" ht="15.75" customHeight="1">
      <c r="A42" s="4" t="s">
        <v>163</v>
      </c>
      <c r="B42" s="4" t="s">
        <v>164</v>
      </c>
      <c r="C42" s="4" t="s">
        <v>88</v>
      </c>
      <c r="D42" s="6" t="s">
        <v>77</v>
      </c>
      <c r="E42" s="4" t="s">
        <v>74</v>
      </c>
      <c r="F42" s="4">
        <v>50000.0</v>
      </c>
      <c r="G42" s="4">
        <v>49263.0</v>
      </c>
      <c r="H42" s="4">
        <v>737.0</v>
      </c>
      <c r="I42" s="4">
        <v>1.474</v>
      </c>
      <c r="J42" s="4">
        <v>144.0</v>
      </c>
      <c r="K42" s="4"/>
      <c r="L42" s="4"/>
      <c r="M42" s="4">
        <v>0.0</v>
      </c>
      <c r="N42" s="4">
        <v>10.0</v>
      </c>
      <c r="O42" s="4">
        <f t="array" ref="O42">IFERROR(INDEX(Data!$AB$2:$AB$81,MATCH(A42,Data!$A$2:$A$81,0)),1)</f>
        <v>1</v>
      </c>
      <c r="P42" s="4" t="str">
        <f t="shared" si="1"/>
        <v>#N/A</v>
      </c>
      <c r="Q42" s="4" t="str">
        <f t="shared" si="2"/>
        <v>#N/A</v>
      </c>
      <c r="R42" s="4" t="str">
        <f t="shared" si="3"/>
        <v/>
      </c>
      <c r="S42" s="4">
        <f t="shared" si="4"/>
        <v>1.474</v>
      </c>
      <c r="T42" s="4" t="str">
        <f t="shared" si="5"/>
        <v>#N/A</v>
      </c>
      <c r="U42" s="4" t="str">
        <f t="shared" si="6"/>
        <v>#N/A</v>
      </c>
      <c r="V42" s="4" t="str">
        <f t="shared" si="7"/>
        <v>#N/A</v>
      </c>
      <c r="W42" s="4" t="str">
        <f t="shared" si="8"/>
        <v>#N/A</v>
      </c>
      <c r="X42" s="4" t="str">
        <f t="shared" si="9"/>
        <v>#N/A</v>
      </c>
      <c r="Y42" s="4" t="str">
        <f t="shared" si="10"/>
        <v>#N/A</v>
      </c>
      <c r="Z42" s="4" t="str">
        <f t="shared" si="11"/>
        <v>#N/A</v>
      </c>
      <c r="AA42" s="4" t="str">
        <f t="shared" si="12"/>
        <v>#N/A</v>
      </c>
      <c r="AB42" s="4" t="str">
        <f t="shared" si="13"/>
        <v>#N/A</v>
      </c>
      <c r="AC42" s="4">
        <f t="shared" si="14"/>
        <v>50000</v>
      </c>
      <c r="AD42" s="4">
        <f t="shared" si="15"/>
        <v>0</v>
      </c>
      <c r="AE42" s="4">
        <f t="shared" si="16"/>
        <v>10</v>
      </c>
      <c r="AF42" s="4"/>
      <c r="AG42" s="4" t="str">
        <f t="shared" si="17"/>
        <v>#N/A</v>
      </c>
      <c r="AH42" s="4" t="str">
        <f t="shared" si="18"/>
        <v>#N/A</v>
      </c>
      <c r="AI42" s="4" t="str">
        <f t="shared" si="19"/>
        <v>#N/A</v>
      </c>
      <c r="AJ42" s="4" t="str">
        <f t="shared" si="20"/>
        <v>#N/A</v>
      </c>
      <c r="AK42" s="4" t="str">
        <f t="shared" si="21"/>
        <v>#N/A</v>
      </c>
      <c r="AL42" s="4" t="str">
        <f t="shared" si="22"/>
        <v>#N/A</v>
      </c>
      <c r="AM42" s="4" t="str">
        <f t="shared" si="23"/>
        <v>#N/A</v>
      </c>
      <c r="AN42" s="4" t="str">
        <f t="shared" si="24"/>
        <v>#N/A</v>
      </c>
      <c r="AO42" s="4" t="str">
        <f t="shared" si="25"/>
        <v>#N/A</v>
      </c>
      <c r="AP42" s="4">
        <f t="shared" si="26"/>
        <v>50000</v>
      </c>
      <c r="AQ42" s="4">
        <f t="shared" si="27"/>
        <v>0</v>
      </c>
      <c r="AR42" s="4">
        <f t="shared" si="28"/>
        <v>10</v>
      </c>
      <c r="AS42" s="4">
        <f t="shared" si="29"/>
        <v>144</v>
      </c>
      <c r="AT42" s="4" t="str">
        <f t="shared" si="30"/>
        <v>#N/A</v>
      </c>
    </row>
    <row r="43" ht="15.75" customHeight="1">
      <c r="A43" s="4" t="s">
        <v>165</v>
      </c>
      <c r="B43" s="4" t="s">
        <v>166</v>
      </c>
      <c r="C43" s="4" t="s">
        <v>85</v>
      </c>
      <c r="D43" s="6" t="s">
        <v>77</v>
      </c>
      <c r="E43" s="4" t="s">
        <v>98</v>
      </c>
      <c r="F43" s="4">
        <v>1000000.0</v>
      </c>
      <c r="G43" s="4">
        <v>739279.0</v>
      </c>
      <c r="H43" s="4">
        <v>260721.0</v>
      </c>
      <c r="I43" s="4">
        <v>26.0721</v>
      </c>
      <c r="J43" s="4">
        <v>39.0</v>
      </c>
      <c r="K43" s="4"/>
      <c r="L43" s="4"/>
      <c r="M43" s="4">
        <v>0.0</v>
      </c>
      <c r="N43" s="4">
        <v>4.0</v>
      </c>
      <c r="O43" s="4">
        <f t="array" ref="O43">IFERROR(INDEX(Data!$AB$2:$AB$81,MATCH(A43,Data!$A$2:$A$81,0)),1)</f>
        <v>1</v>
      </c>
      <c r="P43" s="4" t="str">
        <f t="shared" si="1"/>
        <v>#N/A</v>
      </c>
      <c r="Q43" s="4" t="str">
        <f t="shared" si="2"/>
        <v>#N/A</v>
      </c>
      <c r="R43" s="4" t="str">
        <f t="shared" si="3"/>
        <v/>
      </c>
      <c r="S43" s="4">
        <f t="shared" si="4"/>
        <v>26.0721</v>
      </c>
      <c r="T43" s="4">
        <f t="shared" si="5"/>
        <v>1000000</v>
      </c>
      <c r="U43" s="4">
        <f t="shared" si="6"/>
        <v>0</v>
      </c>
      <c r="V43" s="4">
        <f t="shared" si="7"/>
        <v>4</v>
      </c>
      <c r="W43" s="4" t="str">
        <f t="shared" si="8"/>
        <v>#N/A</v>
      </c>
      <c r="X43" s="4" t="str">
        <f t="shared" si="9"/>
        <v>#N/A</v>
      </c>
      <c r="Y43" s="4" t="str">
        <f t="shared" si="10"/>
        <v>#N/A</v>
      </c>
      <c r="Z43" s="4" t="str">
        <f t="shared" si="11"/>
        <v>#N/A</v>
      </c>
      <c r="AA43" s="4" t="str">
        <f t="shared" si="12"/>
        <v>#N/A</v>
      </c>
      <c r="AB43" s="4" t="str">
        <f t="shared" si="13"/>
        <v>#N/A</v>
      </c>
      <c r="AC43" s="4" t="str">
        <f t="shared" si="14"/>
        <v>#N/A</v>
      </c>
      <c r="AD43" s="4" t="str">
        <f t="shared" si="15"/>
        <v>#N/A</v>
      </c>
      <c r="AE43" s="4" t="str">
        <f t="shared" si="16"/>
        <v>#N/A</v>
      </c>
      <c r="AF43" s="4"/>
      <c r="AG43" s="4">
        <f t="shared" si="17"/>
        <v>1000000</v>
      </c>
      <c r="AH43" s="4">
        <f t="shared" si="18"/>
        <v>0</v>
      </c>
      <c r="AI43" s="4">
        <f t="shared" si="19"/>
        <v>4</v>
      </c>
      <c r="AJ43" s="4" t="str">
        <f t="shared" si="20"/>
        <v>#N/A</v>
      </c>
      <c r="AK43" s="4" t="str">
        <f t="shared" si="21"/>
        <v>#N/A</v>
      </c>
      <c r="AL43" s="4" t="str">
        <f t="shared" si="22"/>
        <v>#N/A</v>
      </c>
      <c r="AM43" s="4" t="str">
        <f t="shared" si="23"/>
        <v>#N/A</v>
      </c>
      <c r="AN43" s="4" t="str">
        <f t="shared" si="24"/>
        <v>#N/A</v>
      </c>
      <c r="AO43" s="4" t="str">
        <f t="shared" si="25"/>
        <v>#N/A</v>
      </c>
      <c r="AP43" s="4" t="str">
        <f t="shared" si="26"/>
        <v>#N/A</v>
      </c>
      <c r="AQ43" s="4" t="str">
        <f t="shared" si="27"/>
        <v>#N/A</v>
      </c>
      <c r="AR43" s="4" t="str">
        <f t="shared" si="28"/>
        <v>#N/A</v>
      </c>
      <c r="AS43" s="4">
        <f t="shared" si="29"/>
        <v>39</v>
      </c>
      <c r="AT43" s="4" t="str">
        <f t="shared" si="30"/>
        <v>#N/A</v>
      </c>
    </row>
    <row r="44" ht="15.75" customHeight="1">
      <c r="A44" s="4" t="s">
        <v>167</v>
      </c>
      <c r="B44" s="4" t="s">
        <v>168</v>
      </c>
      <c r="C44" s="4" t="s">
        <v>66</v>
      </c>
      <c r="D44" s="8" t="s">
        <v>73</v>
      </c>
      <c r="E44" s="4" t="s">
        <v>95</v>
      </c>
      <c r="F44" s="4">
        <v>50000.0</v>
      </c>
      <c r="G44" s="4">
        <v>47663.0</v>
      </c>
      <c r="H44" s="4">
        <v>2337.0</v>
      </c>
      <c r="I44" s="4">
        <v>4.673999999999999</v>
      </c>
      <c r="J44" s="4">
        <v>123.0</v>
      </c>
      <c r="K44" s="4"/>
      <c r="L44" s="4"/>
      <c r="M44" s="4">
        <v>0.0</v>
      </c>
      <c r="N44" s="4">
        <v>10.0</v>
      </c>
      <c r="O44" s="4">
        <f t="array" ref="O44">IFERROR(INDEX(Data!$AB$2:$AB$81,MATCH(A44,Data!$A$2:$A$81,0)),1)</f>
        <v>1</v>
      </c>
      <c r="P44" s="4" t="str">
        <f t="shared" si="1"/>
        <v>#N/A</v>
      </c>
      <c r="Q44" s="4" t="str">
        <f t="shared" si="2"/>
        <v>#N/A</v>
      </c>
      <c r="R44" s="4" t="str">
        <f t="shared" si="3"/>
        <v/>
      </c>
      <c r="S44" s="4">
        <f t="shared" si="4"/>
        <v>4.674</v>
      </c>
      <c r="T44" s="4" t="str">
        <f t="shared" si="5"/>
        <v>#N/A</v>
      </c>
      <c r="U44" s="4" t="str">
        <f t="shared" si="6"/>
        <v>#N/A</v>
      </c>
      <c r="V44" s="4" t="str">
        <f t="shared" si="7"/>
        <v>#N/A</v>
      </c>
      <c r="W44" s="4">
        <f t="shared" si="8"/>
        <v>50000</v>
      </c>
      <c r="X44" s="4">
        <f t="shared" si="9"/>
        <v>0</v>
      </c>
      <c r="Y44" s="4">
        <f t="shared" si="10"/>
        <v>10</v>
      </c>
      <c r="Z44" s="4" t="str">
        <f t="shared" si="11"/>
        <v>#N/A</v>
      </c>
      <c r="AA44" s="4" t="str">
        <f t="shared" si="12"/>
        <v>#N/A</v>
      </c>
      <c r="AB44" s="4" t="str">
        <f t="shared" si="13"/>
        <v>#N/A</v>
      </c>
      <c r="AC44" s="4" t="str">
        <f t="shared" si="14"/>
        <v>#N/A</v>
      </c>
      <c r="AD44" s="4" t="str">
        <f t="shared" si="15"/>
        <v>#N/A</v>
      </c>
      <c r="AE44" s="4" t="str">
        <f t="shared" si="16"/>
        <v>#N/A</v>
      </c>
      <c r="AF44" s="4"/>
      <c r="AG44" s="4" t="str">
        <f t="shared" si="17"/>
        <v>#N/A</v>
      </c>
      <c r="AH44" s="4" t="str">
        <f t="shared" si="18"/>
        <v>#N/A</v>
      </c>
      <c r="AI44" s="4" t="str">
        <f t="shared" si="19"/>
        <v>#N/A</v>
      </c>
      <c r="AJ44" s="4">
        <f t="shared" si="20"/>
        <v>50000</v>
      </c>
      <c r="AK44" s="4">
        <f t="shared" si="21"/>
        <v>0</v>
      </c>
      <c r="AL44" s="4">
        <f t="shared" si="22"/>
        <v>10</v>
      </c>
      <c r="AM44" s="4" t="str">
        <f t="shared" si="23"/>
        <v>#N/A</v>
      </c>
      <c r="AN44" s="4" t="str">
        <f t="shared" si="24"/>
        <v>#N/A</v>
      </c>
      <c r="AO44" s="4" t="str">
        <f t="shared" si="25"/>
        <v>#N/A</v>
      </c>
      <c r="AP44" s="4" t="str">
        <f t="shared" si="26"/>
        <v>#N/A</v>
      </c>
      <c r="AQ44" s="4" t="str">
        <f t="shared" si="27"/>
        <v>#N/A</v>
      </c>
      <c r="AR44" s="4" t="str">
        <f t="shared" si="28"/>
        <v>#N/A</v>
      </c>
      <c r="AS44" s="4">
        <f t="shared" si="29"/>
        <v>123</v>
      </c>
      <c r="AT44" s="4" t="str">
        <f t="shared" si="30"/>
        <v>#N/A</v>
      </c>
    </row>
    <row r="45" ht="15.75" customHeight="1">
      <c r="A45" s="4" t="s">
        <v>169</v>
      </c>
      <c r="B45" s="4" t="s">
        <v>170</v>
      </c>
      <c r="C45" s="4" t="s">
        <v>101</v>
      </c>
      <c r="D45" s="9" t="s">
        <v>92</v>
      </c>
      <c r="E45" s="4" t="s">
        <v>98</v>
      </c>
      <c r="F45" s="4">
        <v>250000.0</v>
      </c>
      <c r="G45" s="4">
        <v>184538.0</v>
      </c>
      <c r="H45" s="4">
        <v>65462.0</v>
      </c>
      <c r="I45" s="4">
        <v>26.1848</v>
      </c>
      <c r="J45" s="4">
        <v>86.0</v>
      </c>
      <c r="K45" s="4">
        <v>86.0</v>
      </c>
      <c r="L45" s="4">
        <v>0.0</v>
      </c>
      <c r="M45" s="4">
        <v>1.0</v>
      </c>
      <c r="N45" s="4">
        <v>8.0</v>
      </c>
      <c r="O45" s="4">
        <f t="array" ref="O45">IFERROR(INDEX(Data!$AB$2:$AB$81,MATCH(A45,Data!$A$2:$A$81,0)),1)</f>
        <v>1</v>
      </c>
      <c r="P45" s="4">
        <f t="shared" si="1"/>
        <v>0</v>
      </c>
      <c r="Q45" s="4">
        <f t="shared" si="2"/>
        <v>26.1848</v>
      </c>
      <c r="R45" s="4" t="str">
        <f t="shared" si="3"/>
        <v>#N/A</v>
      </c>
      <c r="S45" s="4" t="str">
        <f t="shared" si="4"/>
        <v>#N/A</v>
      </c>
      <c r="T45" s="4">
        <f t="shared" si="5"/>
        <v>250000</v>
      </c>
      <c r="U45" s="4">
        <f t="shared" si="6"/>
        <v>1</v>
      </c>
      <c r="V45" s="4">
        <f t="shared" si="7"/>
        <v>8</v>
      </c>
      <c r="W45" s="4" t="str">
        <f t="shared" si="8"/>
        <v>#N/A</v>
      </c>
      <c r="X45" s="4" t="str">
        <f t="shared" si="9"/>
        <v>#N/A</v>
      </c>
      <c r="Y45" s="4" t="str">
        <f t="shared" si="10"/>
        <v>#N/A</v>
      </c>
      <c r="Z45" s="4" t="str">
        <f t="shared" si="11"/>
        <v>#N/A</v>
      </c>
      <c r="AA45" s="4" t="str">
        <f t="shared" si="12"/>
        <v>#N/A</v>
      </c>
      <c r="AB45" s="4" t="str">
        <f t="shared" si="13"/>
        <v>#N/A</v>
      </c>
      <c r="AC45" s="4" t="str">
        <f t="shared" si="14"/>
        <v>#N/A</v>
      </c>
      <c r="AD45" s="4" t="str">
        <f t="shared" si="15"/>
        <v>#N/A</v>
      </c>
      <c r="AE45" s="4" t="str">
        <f t="shared" si="16"/>
        <v>#N/A</v>
      </c>
      <c r="AF45" s="4"/>
      <c r="AG45" s="4">
        <f t="shared" si="17"/>
        <v>250000</v>
      </c>
      <c r="AH45" s="4">
        <f t="shared" si="18"/>
        <v>1</v>
      </c>
      <c r="AI45" s="4">
        <f t="shared" si="19"/>
        <v>8</v>
      </c>
      <c r="AJ45" s="4" t="str">
        <f t="shared" si="20"/>
        <v>#N/A</v>
      </c>
      <c r="AK45" s="4" t="str">
        <f t="shared" si="21"/>
        <v>#N/A</v>
      </c>
      <c r="AL45" s="4" t="str">
        <f t="shared" si="22"/>
        <v>#N/A</v>
      </c>
      <c r="AM45" s="4" t="str">
        <f t="shared" si="23"/>
        <v>#N/A</v>
      </c>
      <c r="AN45" s="4" t="str">
        <f t="shared" si="24"/>
        <v>#N/A</v>
      </c>
      <c r="AO45" s="4" t="str">
        <f t="shared" si="25"/>
        <v>#N/A</v>
      </c>
      <c r="AP45" s="4" t="str">
        <f t="shared" si="26"/>
        <v>#N/A</v>
      </c>
      <c r="AQ45" s="4" t="str">
        <f t="shared" si="27"/>
        <v>#N/A</v>
      </c>
      <c r="AR45" s="4" t="str">
        <f t="shared" si="28"/>
        <v>#N/A</v>
      </c>
      <c r="AS45" s="4">
        <f t="shared" si="29"/>
        <v>86</v>
      </c>
      <c r="AT45" s="4">
        <f t="shared" si="30"/>
        <v>86</v>
      </c>
    </row>
    <row r="46" ht="15.75" customHeight="1">
      <c r="A46" s="4" t="s">
        <v>171</v>
      </c>
      <c r="B46" s="4" t="s">
        <v>172</v>
      </c>
      <c r="C46" s="4" t="s">
        <v>85</v>
      </c>
      <c r="D46" s="6" t="s">
        <v>81</v>
      </c>
      <c r="E46" s="4" t="s">
        <v>74</v>
      </c>
      <c r="F46" s="4">
        <v>100000.0</v>
      </c>
      <c r="G46" s="4">
        <v>39659.0</v>
      </c>
      <c r="H46" s="4">
        <v>60341.0</v>
      </c>
      <c r="I46" s="4">
        <v>60.341</v>
      </c>
      <c r="J46" s="4">
        <v>80.0</v>
      </c>
      <c r="K46" s="4"/>
      <c r="L46" s="4"/>
      <c r="M46" s="4">
        <v>0.0</v>
      </c>
      <c r="N46" s="4">
        <v>9.0</v>
      </c>
      <c r="O46" s="4">
        <f t="array" ref="O46">IFERROR(INDEX(Data!$AB$2:$AB$81,MATCH(A46,Data!$A$2:$A$81,0)),1)</f>
        <v>1</v>
      </c>
      <c r="P46" s="4" t="str">
        <f t="shared" si="1"/>
        <v>#N/A</v>
      </c>
      <c r="Q46" s="4" t="str">
        <f t="shared" si="2"/>
        <v>#N/A</v>
      </c>
      <c r="R46" s="4" t="str">
        <f t="shared" si="3"/>
        <v/>
      </c>
      <c r="S46" s="4">
        <f t="shared" si="4"/>
        <v>60.341</v>
      </c>
      <c r="T46" s="4" t="str">
        <f t="shared" si="5"/>
        <v>#N/A</v>
      </c>
      <c r="U46" s="4" t="str">
        <f t="shared" si="6"/>
        <v>#N/A</v>
      </c>
      <c r="V46" s="4" t="str">
        <f t="shared" si="7"/>
        <v>#N/A</v>
      </c>
      <c r="W46" s="4" t="str">
        <f t="shared" si="8"/>
        <v>#N/A</v>
      </c>
      <c r="X46" s="4" t="str">
        <f t="shared" si="9"/>
        <v>#N/A</v>
      </c>
      <c r="Y46" s="4" t="str">
        <f t="shared" si="10"/>
        <v>#N/A</v>
      </c>
      <c r="Z46" s="4" t="str">
        <f t="shared" si="11"/>
        <v>#N/A</v>
      </c>
      <c r="AA46" s="4" t="str">
        <f t="shared" si="12"/>
        <v>#N/A</v>
      </c>
      <c r="AB46" s="4" t="str">
        <f t="shared" si="13"/>
        <v>#N/A</v>
      </c>
      <c r="AC46" s="4">
        <f t="shared" si="14"/>
        <v>100000</v>
      </c>
      <c r="AD46" s="4">
        <f t="shared" si="15"/>
        <v>0</v>
      </c>
      <c r="AE46" s="4">
        <f t="shared" si="16"/>
        <v>9</v>
      </c>
      <c r="AF46" s="4"/>
      <c r="AG46" s="4" t="str">
        <f t="shared" si="17"/>
        <v>#N/A</v>
      </c>
      <c r="AH46" s="4" t="str">
        <f t="shared" si="18"/>
        <v>#N/A</v>
      </c>
      <c r="AI46" s="4" t="str">
        <f t="shared" si="19"/>
        <v>#N/A</v>
      </c>
      <c r="AJ46" s="4" t="str">
        <f t="shared" si="20"/>
        <v>#N/A</v>
      </c>
      <c r="AK46" s="4" t="str">
        <f t="shared" si="21"/>
        <v>#N/A</v>
      </c>
      <c r="AL46" s="4" t="str">
        <f t="shared" si="22"/>
        <v>#N/A</v>
      </c>
      <c r="AM46" s="4" t="str">
        <f t="shared" si="23"/>
        <v>#N/A</v>
      </c>
      <c r="AN46" s="4" t="str">
        <f t="shared" si="24"/>
        <v>#N/A</v>
      </c>
      <c r="AO46" s="4" t="str">
        <f t="shared" si="25"/>
        <v>#N/A</v>
      </c>
      <c r="AP46" s="4">
        <f t="shared" si="26"/>
        <v>100000</v>
      </c>
      <c r="AQ46" s="4">
        <f t="shared" si="27"/>
        <v>0</v>
      </c>
      <c r="AR46" s="4">
        <f t="shared" si="28"/>
        <v>9</v>
      </c>
      <c r="AS46" s="4">
        <f t="shared" si="29"/>
        <v>80</v>
      </c>
      <c r="AT46" s="4" t="str">
        <f t="shared" si="30"/>
        <v>#N/A</v>
      </c>
    </row>
    <row r="47" ht="15.75" customHeight="1">
      <c r="A47" s="4" t="s">
        <v>173</v>
      </c>
      <c r="B47" s="4" t="s">
        <v>174</v>
      </c>
      <c r="C47" s="4" t="s">
        <v>88</v>
      </c>
      <c r="D47" s="6" t="s">
        <v>67</v>
      </c>
      <c r="E47" s="4" t="s">
        <v>98</v>
      </c>
      <c r="F47" s="4">
        <v>50000.0</v>
      </c>
      <c r="G47" s="4">
        <v>45885.0</v>
      </c>
      <c r="H47" s="4">
        <v>4115.0</v>
      </c>
      <c r="I47" s="4">
        <v>8.23</v>
      </c>
      <c r="J47" s="4">
        <v>180.0</v>
      </c>
      <c r="K47" s="4"/>
      <c r="L47" s="4"/>
      <c r="M47" s="4">
        <v>0.0</v>
      </c>
      <c r="N47" s="4">
        <v>10.0</v>
      </c>
      <c r="O47" s="4">
        <f t="array" ref="O47">IFERROR(INDEX(Data!$AB$2:$AB$81,MATCH(A47,Data!$A$2:$A$81,0)),1)</f>
        <v>1</v>
      </c>
      <c r="P47" s="4" t="str">
        <f t="shared" si="1"/>
        <v>#N/A</v>
      </c>
      <c r="Q47" s="4" t="str">
        <f t="shared" si="2"/>
        <v>#N/A</v>
      </c>
      <c r="R47" s="4" t="str">
        <f t="shared" si="3"/>
        <v/>
      </c>
      <c r="S47" s="4">
        <f t="shared" si="4"/>
        <v>8.23</v>
      </c>
      <c r="T47" s="4">
        <f t="shared" si="5"/>
        <v>50000</v>
      </c>
      <c r="U47" s="4">
        <f t="shared" si="6"/>
        <v>0</v>
      </c>
      <c r="V47" s="4">
        <f t="shared" si="7"/>
        <v>10</v>
      </c>
      <c r="W47" s="4" t="str">
        <f t="shared" si="8"/>
        <v>#N/A</v>
      </c>
      <c r="X47" s="4" t="str">
        <f t="shared" si="9"/>
        <v>#N/A</v>
      </c>
      <c r="Y47" s="4" t="str">
        <f t="shared" si="10"/>
        <v>#N/A</v>
      </c>
      <c r="Z47" s="4" t="str">
        <f t="shared" si="11"/>
        <v>#N/A</v>
      </c>
      <c r="AA47" s="4" t="str">
        <f t="shared" si="12"/>
        <v>#N/A</v>
      </c>
      <c r="AB47" s="4" t="str">
        <f t="shared" si="13"/>
        <v>#N/A</v>
      </c>
      <c r="AC47" s="4" t="str">
        <f t="shared" si="14"/>
        <v>#N/A</v>
      </c>
      <c r="AD47" s="4" t="str">
        <f t="shared" si="15"/>
        <v>#N/A</v>
      </c>
      <c r="AE47" s="4" t="str">
        <f t="shared" si="16"/>
        <v>#N/A</v>
      </c>
      <c r="AF47" s="4"/>
      <c r="AG47" s="4">
        <f t="shared" si="17"/>
        <v>50000</v>
      </c>
      <c r="AH47" s="4">
        <f t="shared" si="18"/>
        <v>0</v>
      </c>
      <c r="AI47" s="4">
        <f t="shared" si="19"/>
        <v>10</v>
      </c>
      <c r="AJ47" s="4" t="str">
        <f t="shared" si="20"/>
        <v>#N/A</v>
      </c>
      <c r="AK47" s="4" t="str">
        <f t="shared" si="21"/>
        <v>#N/A</v>
      </c>
      <c r="AL47" s="4" t="str">
        <f t="shared" si="22"/>
        <v>#N/A</v>
      </c>
      <c r="AM47" s="4" t="str">
        <f t="shared" si="23"/>
        <v>#N/A</v>
      </c>
      <c r="AN47" s="4" t="str">
        <f t="shared" si="24"/>
        <v>#N/A</v>
      </c>
      <c r="AO47" s="4" t="str">
        <f t="shared" si="25"/>
        <v>#N/A</v>
      </c>
      <c r="AP47" s="4" t="str">
        <f t="shared" si="26"/>
        <v>#N/A</v>
      </c>
      <c r="AQ47" s="4" t="str">
        <f t="shared" si="27"/>
        <v>#N/A</v>
      </c>
      <c r="AR47" s="4" t="str">
        <f t="shared" si="28"/>
        <v>#N/A</v>
      </c>
      <c r="AS47" s="4">
        <f t="shared" si="29"/>
        <v>180</v>
      </c>
      <c r="AT47" s="4" t="str">
        <f t="shared" si="30"/>
        <v>#N/A</v>
      </c>
    </row>
    <row r="48" ht="15.75" customHeight="1">
      <c r="A48" s="4" t="s">
        <v>175</v>
      </c>
      <c r="B48" s="4" t="s">
        <v>176</v>
      </c>
      <c r="C48" s="4" t="s">
        <v>85</v>
      </c>
      <c r="D48" s="6" t="s">
        <v>77</v>
      </c>
      <c r="E48" s="4" t="s">
        <v>98</v>
      </c>
      <c r="F48" s="4">
        <v>500000.0</v>
      </c>
      <c r="G48" s="4">
        <v>519748.0</v>
      </c>
      <c r="H48" s="4">
        <v>-19748.0</v>
      </c>
      <c r="I48" s="4">
        <v>-3.9496</v>
      </c>
      <c r="J48" s="4">
        <v>179.0</v>
      </c>
      <c r="K48" s="4"/>
      <c r="L48" s="4"/>
      <c r="M48" s="4">
        <v>0.0</v>
      </c>
      <c r="N48" s="4">
        <v>15.0</v>
      </c>
      <c r="O48" s="4">
        <f t="array" ref="O48">IFERROR(INDEX(Data!$AB$2:$AB$81,MATCH(A48,Data!$A$2:$A$81,0)),1)</f>
        <v>1</v>
      </c>
      <c r="P48" s="4" t="str">
        <f t="shared" si="1"/>
        <v>#N/A</v>
      </c>
      <c r="Q48" s="4" t="str">
        <f t="shared" si="2"/>
        <v>#N/A</v>
      </c>
      <c r="R48" s="4" t="str">
        <f t="shared" si="3"/>
        <v/>
      </c>
      <c r="S48" s="4">
        <f t="shared" si="4"/>
        <v>-3.9496</v>
      </c>
      <c r="T48" s="4">
        <f t="shared" si="5"/>
        <v>500000</v>
      </c>
      <c r="U48" s="4">
        <f t="shared" si="6"/>
        <v>0</v>
      </c>
      <c r="V48" s="4">
        <f t="shared" si="7"/>
        <v>15</v>
      </c>
      <c r="W48" s="4" t="str">
        <f t="shared" si="8"/>
        <v>#N/A</v>
      </c>
      <c r="X48" s="4" t="str">
        <f t="shared" si="9"/>
        <v>#N/A</v>
      </c>
      <c r="Y48" s="4" t="str">
        <f t="shared" si="10"/>
        <v>#N/A</v>
      </c>
      <c r="Z48" s="4" t="str">
        <f t="shared" si="11"/>
        <v>#N/A</v>
      </c>
      <c r="AA48" s="4" t="str">
        <f t="shared" si="12"/>
        <v>#N/A</v>
      </c>
      <c r="AB48" s="4" t="str">
        <f t="shared" si="13"/>
        <v>#N/A</v>
      </c>
      <c r="AC48" s="4" t="str">
        <f t="shared" si="14"/>
        <v>#N/A</v>
      </c>
      <c r="AD48" s="4" t="str">
        <f t="shared" si="15"/>
        <v>#N/A</v>
      </c>
      <c r="AE48" s="4" t="str">
        <f t="shared" si="16"/>
        <v>#N/A</v>
      </c>
      <c r="AF48" s="4"/>
      <c r="AG48" s="4">
        <f t="shared" si="17"/>
        <v>500000</v>
      </c>
      <c r="AH48" s="4">
        <f t="shared" si="18"/>
        <v>0</v>
      </c>
      <c r="AI48" s="4">
        <f t="shared" si="19"/>
        <v>15</v>
      </c>
      <c r="AJ48" s="4" t="str">
        <f t="shared" si="20"/>
        <v>#N/A</v>
      </c>
      <c r="AK48" s="4" t="str">
        <f t="shared" si="21"/>
        <v>#N/A</v>
      </c>
      <c r="AL48" s="4" t="str">
        <f t="shared" si="22"/>
        <v>#N/A</v>
      </c>
      <c r="AM48" s="4" t="str">
        <f t="shared" si="23"/>
        <v>#N/A</v>
      </c>
      <c r="AN48" s="4" t="str">
        <f t="shared" si="24"/>
        <v>#N/A</v>
      </c>
      <c r="AO48" s="4" t="str">
        <f t="shared" si="25"/>
        <v>#N/A</v>
      </c>
      <c r="AP48" s="4" t="str">
        <f t="shared" si="26"/>
        <v>#N/A</v>
      </c>
      <c r="AQ48" s="4" t="str">
        <f t="shared" si="27"/>
        <v>#N/A</v>
      </c>
      <c r="AR48" s="4" t="str">
        <f t="shared" si="28"/>
        <v>#N/A</v>
      </c>
      <c r="AS48" s="4">
        <f t="shared" si="29"/>
        <v>179</v>
      </c>
      <c r="AT48" s="4" t="str">
        <f t="shared" si="30"/>
        <v>#N/A</v>
      </c>
    </row>
    <row r="49" ht="15.75" customHeight="1">
      <c r="A49" s="4" t="s">
        <v>177</v>
      </c>
      <c r="B49" s="4" t="s">
        <v>178</v>
      </c>
      <c r="C49" s="4" t="s">
        <v>88</v>
      </c>
      <c r="D49" s="6" t="s">
        <v>77</v>
      </c>
      <c r="E49" s="4" t="s">
        <v>74</v>
      </c>
      <c r="F49" s="4">
        <v>1000000.0</v>
      </c>
      <c r="G49" s="4">
        <v>1005112.0</v>
      </c>
      <c r="H49" s="4">
        <v>-5112.0</v>
      </c>
      <c r="I49" s="4">
        <v>-0.5112</v>
      </c>
      <c r="J49" s="4">
        <v>112.0</v>
      </c>
      <c r="K49" s="4"/>
      <c r="L49" s="4"/>
      <c r="M49" s="4">
        <v>0.0</v>
      </c>
      <c r="N49" s="4">
        <v>9.0</v>
      </c>
      <c r="O49" s="4">
        <f t="array" ref="O49">IFERROR(INDEX(Data!$AB$2:$AB$81,MATCH(A49,Data!$A$2:$A$81,0)),1)</f>
        <v>1</v>
      </c>
      <c r="P49" s="4" t="str">
        <f t="shared" si="1"/>
        <v>#N/A</v>
      </c>
      <c r="Q49" s="4" t="str">
        <f t="shared" si="2"/>
        <v>#N/A</v>
      </c>
      <c r="R49" s="4" t="str">
        <f t="shared" si="3"/>
        <v/>
      </c>
      <c r="S49" s="4">
        <f t="shared" si="4"/>
        <v>-0.5112</v>
      </c>
      <c r="T49" s="4" t="str">
        <f t="shared" si="5"/>
        <v>#N/A</v>
      </c>
      <c r="U49" s="4" t="str">
        <f t="shared" si="6"/>
        <v>#N/A</v>
      </c>
      <c r="V49" s="4" t="str">
        <f t="shared" si="7"/>
        <v>#N/A</v>
      </c>
      <c r="W49" s="4" t="str">
        <f t="shared" si="8"/>
        <v>#N/A</v>
      </c>
      <c r="X49" s="4" t="str">
        <f t="shared" si="9"/>
        <v>#N/A</v>
      </c>
      <c r="Y49" s="4" t="str">
        <f t="shared" si="10"/>
        <v>#N/A</v>
      </c>
      <c r="Z49" s="4" t="str">
        <f t="shared" si="11"/>
        <v>#N/A</v>
      </c>
      <c r="AA49" s="4" t="str">
        <f t="shared" si="12"/>
        <v>#N/A</v>
      </c>
      <c r="AB49" s="4" t="str">
        <f t="shared" si="13"/>
        <v>#N/A</v>
      </c>
      <c r="AC49" s="4">
        <f t="shared" si="14"/>
        <v>1000000</v>
      </c>
      <c r="AD49" s="4">
        <f t="shared" si="15"/>
        <v>0</v>
      </c>
      <c r="AE49" s="4">
        <f t="shared" si="16"/>
        <v>9</v>
      </c>
      <c r="AF49" s="4"/>
      <c r="AG49" s="4" t="str">
        <f t="shared" si="17"/>
        <v>#N/A</v>
      </c>
      <c r="AH49" s="4" t="str">
        <f t="shared" si="18"/>
        <v>#N/A</v>
      </c>
      <c r="AI49" s="4" t="str">
        <f t="shared" si="19"/>
        <v>#N/A</v>
      </c>
      <c r="AJ49" s="4" t="str">
        <f t="shared" si="20"/>
        <v>#N/A</v>
      </c>
      <c r="AK49" s="4" t="str">
        <f t="shared" si="21"/>
        <v>#N/A</v>
      </c>
      <c r="AL49" s="4" t="str">
        <f t="shared" si="22"/>
        <v>#N/A</v>
      </c>
      <c r="AM49" s="4" t="str">
        <f t="shared" si="23"/>
        <v>#N/A</v>
      </c>
      <c r="AN49" s="4" t="str">
        <f t="shared" si="24"/>
        <v>#N/A</v>
      </c>
      <c r="AO49" s="4" t="str">
        <f t="shared" si="25"/>
        <v>#N/A</v>
      </c>
      <c r="AP49" s="4">
        <f t="shared" si="26"/>
        <v>1000000</v>
      </c>
      <c r="AQ49" s="4">
        <f t="shared" si="27"/>
        <v>0</v>
      </c>
      <c r="AR49" s="4">
        <f t="shared" si="28"/>
        <v>9</v>
      </c>
      <c r="AS49" s="4">
        <f t="shared" si="29"/>
        <v>112</v>
      </c>
      <c r="AT49" s="4" t="str">
        <f t="shared" si="30"/>
        <v>#N/A</v>
      </c>
    </row>
    <row r="50" ht="15.75" customHeight="1">
      <c r="A50" s="4" t="s">
        <v>179</v>
      </c>
      <c r="B50" s="4" t="s">
        <v>180</v>
      </c>
      <c r="C50" s="4" t="s">
        <v>101</v>
      </c>
      <c r="D50" s="9" t="s">
        <v>92</v>
      </c>
      <c r="E50" s="4" t="s">
        <v>68</v>
      </c>
      <c r="F50" s="4">
        <v>1000000.0</v>
      </c>
      <c r="G50" s="4">
        <v>539130.0</v>
      </c>
      <c r="H50" s="4">
        <v>460870.0</v>
      </c>
      <c r="I50" s="4">
        <v>46.087</v>
      </c>
      <c r="J50" s="4">
        <v>64.0</v>
      </c>
      <c r="K50" s="4">
        <v>68.0</v>
      </c>
      <c r="L50" s="4">
        <v>4.0</v>
      </c>
      <c r="M50" s="4">
        <v>0.0</v>
      </c>
      <c r="N50" s="4">
        <v>14.0</v>
      </c>
      <c r="O50" s="4">
        <f t="array" ref="O50">IFERROR(INDEX(Data!$AB$2:$AB$81,MATCH(A50,Data!$A$2:$A$81,0)),1)</f>
        <v>1</v>
      </c>
      <c r="P50" s="4" t="str">
        <f t="shared" si="1"/>
        <v>#N/A</v>
      </c>
      <c r="Q50" s="4" t="str">
        <f t="shared" si="2"/>
        <v>#N/A</v>
      </c>
      <c r="R50" s="4">
        <f t="shared" si="3"/>
        <v>4</v>
      </c>
      <c r="S50" s="4">
        <f t="shared" si="4"/>
        <v>46.087</v>
      </c>
      <c r="T50" s="4" t="str">
        <f t="shared" si="5"/>
        <v>#N/A</v>
      </c>
      <c r="U50" s="4" t="str">
        <f t="shared" si="6"/>
        <v>#N/A</v>
      </c>
      <c r="V50" s="4" t="str">
        <f t="shared" si="7"/>
        <v>#N/A</v>
      </c>
      <c r="W50" s="4" t="str">
        <f t="shared" si="8"/>
        <v>#N/A</v>
      </c>
      <c r="X50" s="4" t="str">
        <f t="shared" si="9"/>
        <v>#N/A</v>
      </c>
      <c r="Y50" s="4" t="str">
        <f t="shared" si="10"/>
        <v>#N/A</v>
      </c>
      <c r="Z50" s="4">
        <f t="shared" si="11"/>
        <v>1000000</v>
      </c>
      <c r="AA50" s="4">
        <f t="shared" si="12"/>
        <v>0</v>
      </c>
      <c r="AB50" s="4">
        <f t="shared" si="13"/>
        <v>14</v>
      </c>
      <c r="AC50" s="4" t="str">
        <f t="shared" si="14"/>
        <v>#N/A</v>
      </c>
      <c r="AD50" s="4" t="str">
        <f t="shared" si="15"/>
        <v>#N/A</v>
      </c>
      <c r="AE50" s="4" t="str">
        <f t="shared" si="16"/>
        <v>#N/A</v>
      </c>
      <c r="AF50" s="4"/>
      <c r="AG50" s="4" t="str">
        <f t="shared" si="17"/>
        <v>#N/A</v>
      </c>
      <c r="AH50" s="4" t="str">
        <f t="shared" si="18"/>
        <v>#N/A</v>
      </c>
      <c r="AI50" s="4" t="str">
        <f t="shared" si="19"/>
        <v>#N/A</v>
      </c>
      <c r="AJ50" s="4" t="str">
        <f t="shared" si="20"/>
        <v>#N/A</v>
      </c>
      <c r="AK50" s="4" t="str">
        <f t="shared" si="21"/>
        <v>#N/A</v>
      </c>
      <c r="AL50" s="4" t="str">
        <f t="shared" si="22"/>
        <v>#N/A</v>
      </c>
      <c r="AM50" s="4">
        <f t="shared" si="23"/>
        <v>1000000</v>
      </c>
      <c r="AN50" s="4">
        <f t="shared" si="24"/>
        <v>0</v>
      </c>
      <c r="AO50" s="4">
        <f t="shared" si="25"/>
        <v>14</v>
      </c>
      <c r="AP50" s="4" t="str">
        <f t="shared" si="26"/>
        <v>#N/A</v>
      </c>
      <c r="AQ50" s="4" t="str">
        <f t="shared" si="27"/>
        <v>#N/A</v>
      </c>
      <c r="AR50" s="4" t="str">
        <f t="shared" si="28"/>
        <v>#N/A</v>
      </c>
      <c r="AS50" s="4">
        <f t="shared" si="29"/>
        <v>64</v>
      </c>
      <c r="AT50" s="4">
        <f t="shared" si="30"/>
        <v>68</v>
      </c>
    </row>
    <row r="51" ht="15.75" customHeight="1">
      <c r="A51" s="4" t="s">
        <v>181</v>
      </c>
      <c r="B51" s="4" t="s">
        <v>182</v>
      </c>
      <c r="C51" s="4" t="s">
        <v>66</v>
      </c>
      <c r="D51" s="6" t="s">
        <v>81</v>
      </c>
      <c r="E51" s="4" t="s">
        <v>95</v>
      </c>
      <c r="F51" s="4">
        <v>250000.0</v>
      </c>
      <c r="G51" s="4">
        <v>259238.0</v>
      </c>
      <c r="H51" s="4">
        <v>-9238.0</v>
      </c>
      <c r="I51" s="4">
        <v>-3.6952</v>
      </c>
      <c r="J51" s="4">
        <v>104.0</v>
      </c>
      <c r="K51" s="4"/>
      <c r="L51" s="4"/>
      <c r="M51" s="4">
        <v>0.0</v>
      </c>
      <c r="N51" s="4">
        <v>5.0</v>
      </c>
      <c r="O51" s="4">
        <f t="array" ref="O51">IFERROR(INDEX(Data!$AB$2:$AB$81,MATCH(A51,Data!$A$2:$A$81,0)),1)</f>
        <v>1</v>
      </c>
      <c r="P51" s="4" t="str">
        <f t="shared" si="1"/>
        <v>#N/A</v>
      </c>
      <c r="Q51" s="4" t="str">
        <f t="shared" si="2"/>
        <v>#N/A</v>
      </c>
      <c r="R51" s="4" t="str">
        <f t="shared" si="3"/>
        <v/>
      </c>
      <c r="S51" s="4">
        <f t="shared" si="4"/>
        <v>-3.6952</v>
      </c>
      <c r="T51" s="4" t="str">
        <f t="shared" si="5"/>
        <v>#N/A</v>
      </c>
      <c r="U51" s="4" t="str">
        <f t="shared" si="6"/>
        <v>#N/A</v>
      </c>
      <c r="V51" s="4" t="str">
        <f t="shared" si="7"/>
        <v>#N/A</v>
      </c>
      <c r="W51" s="4">
        <f t="shared" si="8"/>
        <v>250000</v>
      </c>
      <c r="X51" s="4">
        <f t="shared" si="9"/>
        <v>0</v>
      </c>
      <c r="Y51" s="4">
        <f t="shared" si="10"/>
        <v>5</v>
      </c>
      <c r="Z51" s="4" t="str">
        <f t="shared" si="11"/>
        <v>#N/A</v>
      </c>
      <c r="AA51" s="4" t="str">
        <f t="shared" si="12"/>
        <v>#N/A</v>
      </c>
      <c r="AB51" s="4" t="str">
        <f t="shared" si="13"/>
        <v>#N/A</v>
      </c>
      <c r="AC51" s="4" t="str">
        <f t="shared" si="14"/>
        <v>#N/A</v>
      </c>
      <c r="AD51" s="4" t="str">
        <f t="shared" si="15"/>
        <v>#N/A</v>
      </c>
      <c r="AE51" s="4" t="str">
        <f t="shared" si="16"/>
        <v>#N/A</v>
      </c>
      <c r="AF51" s="4"/>
      <c r="AG51" s="4" t="str">
        <f t="shared" si="17"/>
        <v>#N/A</v>
      </c>
      <c r="AH51" s="4" t="str">
        <f t="shared" si="18"/>
        <v>#N/A</v>
      </c>
      <c r="AI51" s="4" t="str">
        <f t="shared" si="19"/>
        <v>#N/A</v>
      </c>
      <c r="AJ51" s="4">
        <f t="shared" si="20"/>
        <v>250000</v>
      </c>
      <c r="AK51" s="4">
        <f t="shared" si="21"/>
        <v>0</v>
      </c>
      <c r="AL51" s="4">
        <f t="shared" si="22"/>
        <v>5</v>
      </c>
      <c r="AM51" s="4" t="str">
        <f t="shared" si="23"/>
        <v>#N/A</v>
      </c>
      <c r="AN51" s="4" t="str">
        <f t="shared" si="24"/>
        <v>#N/A</v>
      </c>
      <c r="AO51" s="4" t="str">
        <f t="shared" si="25"/>
        <v>#N/A</v>
      </c>
      <c r="AP51" s="4" t="str">
        <f t="shared" si="26"/>
        <v>#N/A</v>
      </c>
      <c r="AQ51" s="4" t="str">
        <f t="shared" si="27"/>
        <v>#N/A</v>
      </c>
      <c r="AR51" s="4" t="str">
        <f t="shared" si="28"/>
        <v>#N/A</v>
      </c>
      <c r="AS51" s="4">
        <f t="shared" si="29"/>
        <v>104</v>
      </c>
      <c r="AT51" s="4" t="str">
        <f t="shared" si="30"/>
        <v>#N/A</v>
      </c>
    </row>
    <row r="52" ht="15.75" customHeight="1">
      <c r="A52" s="4" t="s">
        <v>183</v>
      </c>
      <c r="B52" s="4" t="s">
        <v>184</v>
      </c>
      <c r="C52" s="4" t="s">
        <v>72</v>
      </c>
      <c r="D52" s="6" t="s">
        <v>67</v>
      </c>
      <c r="E52" s="4" t="s">
        <v>74</v>
      </c>
      <c r="F52" s="4">
        <v>1000000.0</v>
      </c>
      <c r="G52" s="4">
        <v>528742.0</v>
      </c>
      <c r="H52" s="4">
        <v>471258.0</v>
      </c>
      <c r="I52" s="4">
        <v>47.1258</v>
      </c>
      <c r="J52" s="4">
        <v>136.0</v>
      </c>
      <c r="K52" s="4"/>
      <c r="L52" s="4"/>
      <c r="M52" s="4">
        <v>0.0</v>
      </c>
      <c r="N52" s="4">
        <v>9.0</v>
      </c>
      <c r="O52" s="4">
        <f t="array" ref="O52">IFERROR(INDEX(Data!$AB$2:$AB$81,MATCH(A52,Data!$A$2:$A$81,0)),1)</f>
        <v>1</v>
      </c>
      <c r="P52" s="4" t="str">
        <f t="shared" si="1"/>
        <v>#N/A</v>
      </c>
      <c r="Q52" s="4" t="str">
        <f t="shared" si="2"/>
        <v>#N/A</v>
      </c>
      <c r="R52" s="4" t="str">
        <f t="shared" si="3"/>
        <v/>
      </c>
      <c r="S52" s="4">
        <f t="shared" si="4"/>
        <v>47.1258</v>
      </c>
      <c r="T52" s="4" t="str">
        <f t="shared" si="5"/>
        <v>#N/A</v>
      </c>
      <c r="U52" s="4" t="str">
        <f t="shared" si="6"/>
        <v>#N/A</v>
      </c>
      <c r="V52" s="4" t="str">
        <f t="shared" si="7"/>
        <v>#N/A</v>
      </c>
      <c r="W52" s="4" t="str">
        <f t="shared" si="8"/>
        <v>#N/A</v>
      </c>
      <c r="X52" s="4" t="str">
        <f t="shared" si="9"/>
        <v>#N/A</v>
      </c>
      <c r="Y52" s="4" t="str">
        <f t="shared" si="10"/>
        <v>#N/A</v>
      </c>
      <c r="Z52" s="4" t="str">
        <f t="shared" si="11"/>
        <v>#N/A</v>
      </c>
      <c r="AA52" s="4" t="str">
        <f t="shared" si="12"/>
        <v>#N/A</v>
      </c>
      <c r="AB52" s="4" t="str">
        <f t="shared" si="13"/>
        <v>#N/A</v>
      </c>
      <c r="AC52" s="4">
        <f t="shared" si="14"/>
        <v>1000000</v>
      </c>
      <c r="AD52" s="4">
        <f t="shared" si="15"/>
        <v>0</v>
      </c>
      <c r="AE52" s="4">
        <f t="shared" si="16"/>
        <v>9</v>
      </c>
      <c r="AF52" s="4"/>
      <c r="AG52" s="4" t="str">
        <f t="shared" si="17"/>
        <v>#N/A</v>
      </c>
      <c r="AH52" s="4" t="str">
        <f t="shared" si="18"/>
        <v>#N/A</v>
      </c>
      <c r="AI52" s="4" t="str">
        <f t="shared" si="19"/>
        <v>#N/A</v>
      </c>
      <c r="AJ52" s="4" t="str">
        <f t="shared" si="20"/>
        <v>#N/A</v>
      </c>
      <c r="AK52" s="4" t="str">
        <f t="shared" si="21"/>
        <v>#N/A</v>
      </c>
      <c r="AL52" s="4" t="str">
        <f t="shared" si="22"/>
        <v>#N/A</v>
      </c>
      <c r="AM52" s="4" t="str">
        <f t="shared" si="23"/>
        <v>#N/A</v>
      </c>
      <c r="AN52" s="4" t="str">
        <f t="shared" si="24"/>
        <v>#N/A</v>
      </c>
      <c r="AO52" s="4" t="str">
        <f t="shared" si="25"/>
        <v>#N/A</v>
      </c>
      <c r="AP52" s="4">
        <f t="shared" si="26"/>
        <v>1000000</v>
      </c>
      <c r="AQ52" s="4">
        <f t="shared" si="27"/>
        <v>0</v>
      </c>
      <c r="AR52" s="4">
        <f t="shared" si="28"/>
        <v>9</v>
      </c>
      <c r="AS52" s="4">
        <f t="shared" si="29"/>
        <v>136</v>
      </c>
      <c r="AT52" s="4" t="str">
        <f t="shared" si="30"/>
        <v>#N/A</v>
      </c>
    </row>
    <row r="53" ht="15.75" customHeight="1">
      <c r="A53" s="4" t="s">
        <v>185</v>
      </c>
      <c r="B53" s="4" t="s">
        <v>186</v>
      </c>
      <c r="C53" s="4" t="s">
        <v>72</v>
      </c>
      <c r="D53" s="9" t="s">
        <v>92</v>
      </c>
      <c r="E53" s="4" t="s">
        <v>95</v>
      </c>
      <c r="F53" s="4">
        <v>250000.0</v>
      </c>
      <c r="G53" s="4">
        <v>211678.0</v>
      </c>
      <c r="H53" s="4">
        <v>38322.0</v>
      </c>
      <c r="I53" s="4">
        <v>15.3288</v>
      </c>
      <c r="J53" s="4">
        <v>44.0</v>
      </c>
      <c r="K53" s="4">
        <v>41.0</v>
      </c>
      <c r="L53" s="4">
        <v>-3.0</v>
      </c>
      <c r="M53" s="4">
        <v>1.0</v>
      </c>
      <c r="N53" s="4">
        <v>5.0</v>
      </c>
      <c r="O53" s="4">
        <f t="array" ref="O53">IFERROR(INDEX(Data!$AB$2:$AB$81,MATCH(A53,Data!$A$2:$A$81,0)),1)</f>
        <v>1</v>
      </c>
      <c r="P53" s="4">
        <f t="shared" si="1"/>
        <v>-3</v>
      </c>
      <c r="Q53" s="4">
        <f t="shared" si="2"/>
        <v>15.3288</v>
      </c>
      <c r="R53" s="4" t="str">
        <f t="shared" si="3"/>
        <v>#N/A</v>
      </c>
      <c r="S53" s="4" t="str">
        <f t="shared" si="4"/>
        <v>#N/A</v>
      </c>
      <c r="T53" s="4" t="str">
        <f t="shared" si="5"/>
        <v>#N/A</v>
      </c>
      <c r="U53" s="4" t="str">
        <f t="shared" si="6"/>
        <v>#N/A</v>
      </c>
      <c r="V53" s="4" t="str">
        <f t="shared" si="7"/>
        <v>#N/A</v>
      </c>
      <c r="W53" s="4">
        <f t="shared" si="8"/>
        <v>250000</v>
      </c>
      <c r="X53" s="4">
        <f t="shared" si="9"/>
        <v>1</v>
      </c>
      <c r="Y53" s="4">
        <f t="shared" si="10"/>
        <v>5</v>
      </c>
      <c r="Z53" s="4" t="str">
        <f t="shared" si="11"/>
        <v>#N/A</v>
      </c>
      <c r="AA53" s="4" t="str">
        <f t="shared" si="12"/>
        <v>#N/A</v>
      </c>
      <c r="AB53" s="4" t="str">
        <f t="shared" si="13"/>
        <v>#N/A</v>
      </c>
      <c r="AC53" s="4" t="str">
        <f t="shared" si="14"/>
        <v>#N/A</v>
      </c>
      <c r="AD53" s="4" t="str">
        <f t="shared" si="15"/>
        <v>#N/A</v>
      </c>
      <c r="AE53" s="4" t="str">
        <f t="shared" si="16"/>
        <v>#N/A</v>
      </c>
      <c r="AF53" s="4"/>
      <c r="AG53" s="4" t="str">
        <f t="shared" si="17"/>
        <v>#N/A</v>
      </c>
      <c r="AH53" s="4" t="str">
        <f t="shared" si="18"/>
        <v>#N/A</v>
      </c>
      <c r="AI53" s="4" t="str">
        <f t="shared" si="19"/>
        <v>#N/A</v>
      </c>
      <c r="AJ53" s="4">
        <f t="shared" si="20"/>
        <v>250000</v>
      </c>
      <c r="AK53" s="4">
        <f t="shared" si="21"/>
        <v>1</v>
      </c>
      <c r="AL53" s="4">
        <f t="shared" si="22"/>
        <v>5</v>
      </c>
      <c r="AM53" s="4" t="str">
        <f t="shared" si="23"/>
        <v>#N/A</v>
      </c>
      <c r="AN53" s="4" t="str">
        <f t="shared" si="24"/>
        <v>#N/A</v>
      </c>
      <c r="AO53" s="4" t="str">
        <f t="shared" si="25"/>
        <v>#N/A</v>
      </c>
      <c r="AP53" s="4" t="str">
        <f t="shared" si="26"/>
        <v>#N/A</v>
      </c>
      <c r="AQ53" s="4" t="str">
        <f t="shared" si="27"/>
        <v>#N/A</v>
      </c>
      <c r="AR53" s="4" t="str">
        <f t="shared" si="28"/>
        <v>#N/A</v>
      </c>
      <c r="AS53" s="4">
        <f t="shared" si="29"/>
        <v>44</v>
      </c>
      <c r="AT53" s="4">
        <f t="shared" si="30"/>
        <v>41</v>
      </c>
    </row>
    <row r="54" ht="15.75" customHeight="1">
      <c r="A54" s="4" t="s">
        <v>187</v>
      </c>
      <c r="B54" s="4" t="s">
        <v>188</v>
      </c>
      <c r="C54" s="4" t="s">
        <v>66</v>
      </c>
      <c r="D54" s="6" t="s">
        <v>77</v>
      </c>
      <c r="E54" s="4" t="s">
        <v>68</v>
      </c>
      <c r="F54" s="4">
        <v>100000.0</v>
      </c>
      <c r="G54" s="4">
        <v>89393.0</v>
      </c>
      <c r="H54" s="4">
        <v>10607.0</v>
      </c>
      <c r="I54" s="4">
        <v>10.607</v>
      </c>
      <c r="J54" s="4">
        <v>173.0</v>
      </c>
      <c r="K54" s="4"/>
      <c r="L54" s="4"/>
      <c r="M54" s="4">
        <v>0.0</v>
      </c>
      <c r="N54" s="4">
        <v>11.0</v>
      </c>
      <c r="O54" s="4">
        <f t="array" ref="O54">IFERROR(INDEX(Data!$AB$2:$AB$81,MATCH(A54,Data!$A$2:$A$81,0)),1)</f>
        <v>1</v>
      </c>
      <c r="P54" s="4" t="str">
        <f t="shared" si="1"/>
        <v>#N/A</v>
      </c>
      <c r="Q54" s="4" t="str">
        <f t="shared" si="2"/>
        <v>#N/A</v>
      </c>
      <c r="R54" s="4" t="str">
        <f t="shared" si="3"/>
        <v/>
      </c>
      <c r="S54" s="4">
        <f t="shared" si="4"/>
        <v>10.607</v>
      </c>
      <c r="T54" s="4" t="str">
        <f t="shared" si="5"/>
        <v>#N/A</v>
      </c>
      <c r="U54" s="4" t="str">
        <f t="shared" si="6"/>
        <v>#N/A</v>
      </c>
      <c r="V54" s="4" t="str">
        <f t="shared" si="7"/>
        <v>#N/A</v>
      </c>
      <c r="W54" s="4" t="str">
        <f t="shared" si="8"/>
        <v>#N/A</v>
      </c>
      <c r="X54" s="4" t="str">
        <f t="shared" si="9"/>
        <v>#N/A</v>
      </c>
      <c r="Y54" s="4" t="str">
        <f t="shared" si="10"/>
        <v>#N/A</v>
      </c>
      <c r="Z54" s="4">
        <f t="shared" si="11"/>
        <v>100000</v>
      </c>
      <c r="AA54" s="4">
        <f t="shared" si="12"/>
        <v>0</v>
      </c>
      <c r="AB54" s="4">
        <f t="shared" si="13"/>
        <v>11</v>
      </c>
      <c r="AC54" s="4" t="str">
        <f t="shared" si="14"/>
        <v>#N/A</v>
      </c>
      <c r="AD54" s="4" t="str">
        <f t="shared" si="15"/>
        <v>#N/A</v>
      </c>
      <c r="AE54" s="4" t="str">
        <f t="shared" si="16"/>
        <v>#N/A</v>
      </c>
      <c r="AF54" s="4"/>
      <c r="AG54" s="4" t="str">
        <f t="shared" si="17"/>
        <v>#N/A</v>
      </c>
      <c r="AH54" s="4" t="str">
        <f t="shared" si="18"/>
        <v>#N/A</v>
      </c>
      <c r="AI54" s="4" t="str">
        <f t="shared" si="19"/>
        <v>#N/A</v>
      </c>
      <c r="AJ54" s="4" t="str">
        <f t="shared" si="20"/>
        <v>#N/A</v>
      </c>
      <c r="AK54" s="4" t="str">
        <f t="shared" si="21"/>
        <v>#N/A</v>
      </c>
      <c r="AL54" s="4" t="str">
        <f t="shared" si="22"/>
        <v>#N/A</v>
      </c>
      <c r="AM54" s="4">
        <f t="shared" si="23"/>
        <v>100000</v>
      </c>
      <c r="AN54" s="4">
        <f t="shared" si="24"/>
        <v>0</v>
      </c>
      <c r="AO54" s="4">
        <f t="shared" si="25"/>
        <v>11</v>
      </c>
      <c r="AP54" s="4" t="str">
        <f t="shared" si="26"/>
        <v>#N/A</v>
      </c>
      <c r="AQ54" s="4" t="str">
        <f t="shared" si="27"/>
        <v>#N/A</v>
      </c>
      <c r="AR54" s="4" t="str">
        <f t="shared" si="28"/>
        <v>#N/A</v>
      </c>
      <c r="AS54" s="4">
        <f t="shared" si="29"/>
        <v>173</v>
      </c>
      <c r="AT54" s="4" t="str">
        <f t="shared" si="30"/>
        <v>#N/A</v>
      </c>
    </row>
    <row r="55" ht="15.75" customHeight="1">
      <c r="A55" s="4" t="s">
        <v>189</v>
      </c>
      <c r="B55" s="4" t="s">
        <v>190</v>
      </c>
      <c r="C55" s="4" t="s">
        <v>66</v>
      </c>
      <c r="D55" s="6" t="s">
        <v>67</v>
      </c>
      <c r="E55" s="4" t="s">
        <v>98</v>
      </c>
      <c r="F55" s="4">
        <v>250000.0</v>
      </c>
      <c r="G55" s="4">
        <v>268166.0</v>
      </c>
      <c r="H55" s="4">
        <v>-18166.0</v>
      </c>
      <c r="I55" s="4">
        <v>-7.266400000000001</v>
      </c>
      <c r="J55" s="4">
        <v>136.0</v>
      </c>
      <c r="K55" s="4"/>
      <c r="L55" s="4"/>
      <c r="M55" s="4">
        <v>0.0</v>
      </c>
      <c r="N55" s="4">
        <v>3.0</v>
      </c>
      <c r="O55" s="4">
        <f t="array" ref="O55">IFERROR(INDEX(Data!$AB$2:$AB$81,MATCH(A55,Data!$A$2:$A$81,0)),1)</f>
        <v>1</v>
      </c>
      <c r="P55" s="4" t="str">
        <f t="shared" si="1"/>
        <v>#N/A</v>
      </c>
      <c r="Q55" s="4" t="str">
        <f t="shared" si="2"/>
        <v>#N/A</v>
      </c>
      <c r="R55" s="4" t="str">
        <f t="shared" si="3"/>
        <v/>
      </c>
      <c r="S55" s="4">
        <f t="shared" si="4"/>
        <v>-7.2664</v>
      </c>
      <c r="T55" s="4">
        <f t="shared" si="5"/>
        <v>250000</v>
      </c>
      <c r="U55" s="4">
        <f t="shared" si="6"/>
        <v>0</v>
      </c>
      <c r="V55" s="4">
        <f t="shared" si="7"/>
        <v>3</v>
      </c>
      <c r="W55" s="4" t="str">
        <f t="shared" si="8"/>
        <v>#N/A</v>
      </c>
      <c r="X55" s="4" t="str">
        <f t="shared" si="9"/>
        <v>#N/A</v>
      </c>
      <c r="Y55" s="4" t="str">
        <f t="shared" si="10"/>
        <v>#N/A</v>
      </c>
      <c r="Z55" s="4" t="str">
        <f t="shared" si="11"/>
        <v>#N/A</v>
      </c>
      <c r="AA55" s="4" t="str">
        <f t="shared" si="12"/>
        <v>#N/A</v>
      </c>
      <c r="AB55" s="4" t="str">
        <f t="shared" si="13"/>
        <v>#N/A</v>
      </c>
      <c r="AC55" s="4" t="str">
        <f t="shared" si="14"/>
        <v>#N/A</v>
      </c>
      <c r="AD55" s="4" t="str">
        <f t="shared" si="15"/>
        <v>#N/A</v>
      </c>
      <c r="AE55" s="4" t="str">
        <f t="shared" si="16"/>
        <v>#N/A</v>
      </c>
      <c r="AF55" s="4"/>
      <c r="AG55" s="4">
        <f t="shared" si="17"/>
        <v>250000</v>
      </c>
      <c r="AH55" s="4">
        <f t="shared" si="18"/>
        <v>0</v>
      </c>
      <c r="AI55" s="4">
        <f t="shared" si="19"/>
        <v>3</v>
      </c>
      <c r="AJ55" s="4" t="str">
        <f t="shared" si="20"/>
        <v>#N/A</v>
      </c>
      <c r="AK55" s="4" t="str">
        <f t="shared" si="21"/>
        <v>#N/A</v>
      </c>
      <c r="AL55" s="4" t="str">
        <f t="shared" si="22"/>
        <v>#N/A</v>
      </c>
      <c r="AM55" s="4" t="str">
        <f t="shared" si="23"/>
        <v>#N/A</v>
      </c>
      <c r="AN55" s="4" t="str">
        <f t="shared" si="24"/>
        <v>#N/A</v>
      </c>
      <c r="AO55" s="4" t="str">
        <f t="shared" si="25"/>
        <v>#N/A</v>
      </c>
      <c r="AP55" s="4" t="str">
        <f t="shared" si="26"/>
        <v>#N/A</v>
      </c>
      <c r="AQ55" s="4" t="str">
        <f t="shared" si="27"/>
        <v>#N/A</v>
      </c>
      <c r="AR55" s="4" t="str">
        <f t="shared" si="28"/>
        <v>#N/A</v>
      </c>
      <c r="AS55" s="4">
        <f t="shared" si="29"/>
        <v>136</v>
      </c>
      <c r="AT55" s="4" t="str">
        <f t="shared" si="30"/>
        <v>#N/A</v>
      </c>
    </row>
    <row r="56" ht="15.75" customHeight="1">
      <c r="A56" s="4" t="s">
        <v>191</v>
      </c>
      <c r="B56" s="4" t="s">
        <v>192</v>
      </c>
      <c r="C56" s="4" t="s">
        <v>88</v>
      </c>
      <c r="D56" s="8" t="s">
        <v>73</v>
      </c>
      <c r="E56" s="4" t="s">
        <v>74</v>
      </c>
      <c r="F56" s="4">
        <v>1000000.0</v>
      </c>
      <c r="G56" s="4">
        <v>737292.0</v>
      </c>
      <c r="H56" s="4">
        <v>262708.0</v>
      </c>
      <c r="I56" s="4">
        <v>26.2708</v>
      </c>
      <c r="J56" s="4">
        <v>124.0</v>
      </c>
      <c r="K56" s="4"/>
      <c r="L56" s="4"/>
      <c r="M56" s="4">
        <v>0.0</v>
      </c>
      <c r="N56" s="4">
        <v>12.0</v>
      </c>
      <c r="O56" s="4">
        <f t="array" ref="O56">IFERROR(INDEX(Data!$AB$2:$AB$81,MATCH(A56,Data!$A$2:$A$81,0)),1)</f>
        <v>1</v>
      </c>
      <c r="P56" s="4" t="str">
        <f t="shared" si="1"/>
        <v>#N/A</v>
      </c>
      <c r="Q56" s="4" t="str">
        <f t="shared" si="2"/>
        <v>#N/A</v>
      </c>
      <c r="R56" s="4" t="str">
        <f t="shared" si="3"/>
        <v/>
      </c>
      <c r="S56" s="4">
        <f t="shared" si="4"/>
        <v>26.2708</v>
      </c>
      <c r="T56" s="4" t="str">
        <f t="shared" si="5"/>
        <v>#N/A</v>
      </c>
      <c r="U56" s="4" t="str">
        <f t="shared" si="6"/>
        <v>#N/A</v>
      </c>
      <c r="V56" s="4" t="str">
        <f t="shared" si="7"/>
        <v>#N/A</v>
      </c>
      <c r="W56" s="4" t="str">
        <f t="shared" si="8"/>
        <v>#N/A</v>
      </c>
      <c r="X56" s="4" t="str">
        <f t="shared" si="9"/>
        <v>#N/A</v>
      </c>
      <c r="Y56" s="4" t="str">
        <f t="shared" si="10"/>
        <v>#N/A</v>
      </c>
      <c r="Z56" s="4" t="str">
        <f t="shared" si="11"/>
        <v>#N/A</v>
      </c>
      <c r="AA56" s="4" t="str">
        <f t="shared" si="12"/>
        <v>#N/A</v>
      </c>
      <c r="AB56" s="4" t="str">
        <f t="shared" si="13"/>
        <v>#N/A</v>
      </c>
      <c r="AC56" s="4">
        <f t="shared" si="14"/>
        <v>1000000</v>
      </c>
      <c r="AD56" s="4">
        <f t="shared" si="15"/>
        <v>0</v>
      </c>
      <c r="AE56" s="4">
        <f t="shared" si="16"/>
        <v>12</v>
      </c>
      <c r="AF56" s="4"/>
      <c r="AG56" s="4" t="str">
        <f t="shared" si="17"/>
        <v>#N/A</v>
      </c>
      <c r="AH56" s="4" t="str">
        <f t="shared" si="18"/>
        <v>#N/A</v>
      </c>
      <c r="AI56" s="4" t="str">
        <f t="shared" si="19"/>
        <v>#N/A</v>
      </c>
      <c r="AJ56" s="4" t="str">
        <f t="shared" si="20"/>
        <v>#N/A</v>
      </c>
      <c r="AK56" s="4" t="str">
        <f t="shared" si="21"/>
        <v>#N/A</v>
      </c>
      <c r="AL56" s="4" t="str">
        <f t="shared" si="22"/>
        <v>#N/A</v>
      </c>
      <c r="AM56" s="4" t="str">
        <f t="shared" si="23"/>
        <v>#N/A</v>
      </c>
      <c r="AN56" s="4" t="str">
        <f t="shared" si="24"/>
        <v>#N/A</v>
      </c>
      <c r="AO56" s="4" t="str">
        <f t="shared" si="25"/>
        <v>#N/A</v>
      </c>
      <c r="AP56" s="4">
        <f t="shared" si="26"/>
        <v>1000000</v>
      </c>
      <c r="AQ56" s="4">
        <f t="shared" si="27"/>
        <v>0</v>
      </c>
      <c r="AR56" s="4">
        <f t="shared" si="28"/>
        <v>12</v>
      </c>
      <c r="AS56" s="4">
        <f t="shared" si="29"/>
        <v>124</v>
      </c>
      <c r="AT56" s="4" t="str">
        <f t="shared" si="30"/>
        <v>#N/A</v>
      </c>
    </row>
    <row r="57" ht="15.75" customHeight="1">
      <c r="A57" s="4" t="s">
        <v>193</v>
      </c>
      <c r="B57" s="4" t="s">
        <v>194</v>
      </c>
      <c r="C57" s="4" t="s">
        <v>101</v>
      </c>
      <c r="D57" s="9" t="s">
        <v>92</v>
      </c>
      <c r="E57" s="4" t="s">
        <v>95</v>
      </c>
      <c r="F57" s="4">
        <v>500000.0</v>
      </c>
      <c r="G57" s="4">
        <v>166253.0</v>
      </c>
      <c r="H57" s="4">
        <v>333747.0</v>
      </c>
      <c r="I57" s="4">
        <v>66.74940000000001</v>
      </c>
      <c r="J57" s="4">
        <v>74.0</v>
      </c>
      <c r="K57" s="4">
        <v>86.0</v>
      </c>
      <c r="L57" s="4">
        <v>12.0</v>
      </c>
      <c r="M57" s="4">
        <v>0.0</v>
      </c>
      <c r="N57" s="4">
        <v>7.0</v>
      </c>
      <c r="O57" s="4">
        <f t="array" ref="O57">IFERROR(INDEX(Data!$AB$2:$AB$81,MATCH(A57,Data!$A$2:$A$81,0)),1)</f>
        <v>1</v>
      </c>
      <c r="P57" s="4" t="str">
        <f t="shared" si="1"/>
        <v>#N/A</v>
      </c>
      <c r="Q57" s="4" t="str">
        <f t="shared" si="2"/>
        <v>#N/A</v>
      </c>
      <c r="R57" s="4">
        <f t="shared" si="3"/>
        <v>12</v>
      </c>
      <c r="S57" s="4">
        <f t="shared" si="4"/>
        <v>66.7494</v>
      </c>
      <c r="T57" s="4" t="str">
        <f t="shared" si="5"/>
        <v>#N/A</v>
      </c>
      <c r="U57" s="4" t="str">
        <f t="shared" si="6"/>
        <v>#N/A</v>
      </c>
      <c r="V57" s="4" t="str">
        <f t="shared" si="7"/>
        <v>#N/A</v>
      </c>
      <c r="W57" s="4">
        <f t="shared" si="8"/>
        <v>500000</v>
      </c>
      <c r="X57" s="4">
        <f t="shared" si="9"/>
        <v>0</v>
      </c>
      <c r="Y57" s="4">
        <f t="shared" si="10"/>
        <v>7</v>
      </c>
      <c r="Z57" s="4" t="str">
        <f t="shared" si="11"/>
        <v>#N/A</v>
      </c>
      <c r="AA57" s="4" t="str">
        <f t="shared" si="12"/>
        <v>#N/A</v>
      </c>
      <c r="AB57" s="4" t="str">
        <f t="shared" si="13"/>
        <v>#N/A</v>
      </c>
      <c r="AC57" s="4" t="str">
        <f t="shared" si="14"/>
        <v>#N/A</v>
      </c>
      <c r="AD57" s="4" t="str">
        <f t="shared" si="15"/>
        <v>#N/A</v>
      </c>
      <c r="AE57" s="4" t="str">
        <f t="shared" si="16"/>
        <v>#N/A</v>
      </c>
      <c r="AF57" s="4"/>
      <c r="AG57" s="4" t="str">
        <f t="shared" si="17"/>
        <v>#N/A</v>
      </c>
      <c r="AH57" s="4" t="str">
        <f t="shared" si="18"/>
        <v>#N/A</v>
      </c>
      <c r="AI57" s="4" t="str">
        <f t="shared" si="19"/>
        <v>#N/A</v>
      </c>
      <c r="AJ57" s="4">
        <f t="shared" si="20"/>
        <v>500000</v>
      </c>
      <c r="AK57" s="4">
        <f t="shared" si="21"/>
        <v>0</v>
      </c>
      <c r="AL57" s="4">
        <f t="shared" si="22"/>
        <v>7</v>
      </c>
      <c r="AM57" s="4" t="str">
        <f t="shared" si="23"/>
        <v>#N/A</v>
      </c>
      <c r="AN57" s="4" t="str">
        <f t="shared" si="24"/>
        <v>#N/A</v>
      </c>
      <c r="AO57" s="4" t="str">
        <f t="shared" si="25"/>
        <v>#N/A</v>
      </c>
      <c r="AP57" s="4" t="str">
        <f t="shared" si="26"/>
        <v>#N/A</v>
      </c>
      <c r="AQ57" s="4" t="str">
        <f t="shared" si="27"/>
        <v>#N/A</v>
      </c>
      <c r="AR57" s="4" t="str">
        <f t="shared" si="28"/>
        <v>#N/A</v>
      </c>
      <c r="AS57" s="4">
        <f t="shared" si="29"/>
        <v>74</v>
      </c>
      <c r="AT57" s="4">
        <f t="shared" si="30"/>
        <v>86</v>
      </c>
    </row>
    <row r="58" ht="15.75" customHeight="1">
      <c r="A58" s="4" t="s">
        <v>195</v>
      </c>
      <c r="B58" s="4" t="s">
        <v>196</v>
      </c>
      <c r="C58" s="4" t="s">
        <v>66</v>
      </c>
      <c r="D58" s="6" t="s">
        <v>67</v>
      </c>
      <c r="E58" s="4" t="s">
        <v>98</v>
      </c>
      <c r="F58" s="4">
        <v>50000.0</v>
      </c>
      <c r="G58" s="4">
        <v>21148.0</v>
      </c>
      <c r="H58" s="4">
        <v>28852.0</v>
      </c>
      <c r="I58" s="4">
        <v>57.704</v>
      </c>
      <c r="J58" s="4">
        <v>69.0</v>
      </c>
      <c r="K58" s="4"/>
      <c r="L58" s="4"/>
      <c r="M58" s="4">
        <v>0.0</v>
      </c>
      <c r="N58" s="4">
        <v>8.0</v>
      </c>
      <c r="O58" s="4">
        <f t="array" ref="O58">IFERROR(INDEX(Data!$AB$2:$AB$81,MATCH(A58,Data!$A$2:$A$81,0)),1)</f>
        <v>1</v>
      </c>
      <c r="P58" s="4" t="str">
        <f t="shared" si="1"/>
        <v>#N/A</v>
      </c>
      <c r="Q58" s="4" t="str">
        <f t="shared" si="2"/>
        <v>#N/A</v>
      </c>
      <c r="R58" s="4" t="str">
        <f t="shared" si="3"/>
        <v/>
      </c>
      <c r="S58" s="4">
        <f t="shared" si="4"/>
        <v>57.704</v>
      </c>
      <c r="T58" s="4">
        <f t="shared" si="5"/>
        <v>50000</v>
      </c>
      <c r="U58" s="4">
        <f t="shared" si="6"/>
        <v>0</v>
      </c>
      <c r="V58" s="4">
        <f t="shared" si="7"/>
        <v>8</v>
      </c>
      <c r="W58" s="4" t="str">
        <f t="shared" si="8"/>
        <v>#N/A</v>
      </c>
      <c r="X58" s="4" t="str">
        <f t="shared" si="9"/>
        <v>#N/A</v>
      </c>
      <c r="Y58" s="4" t="str">
        <f t="shared" si="10"/>
        <v>#N/A</v>
      </c>
      <c r="Z58" s="4" t="str">
        <f t="shared" si="11"/>
        <v>#N/A</v>
      </c>
      <c r="AA58" s="4" t="str">
        <f t="shared" si="12"/>
        <v>#N/A</v>
      </c>
      <c r="AB58" s="4" t="str">
        <f t="shared" si="13"/>
        <v>#N/A</v>
      </c>
      <c r="AC58" s="4" t="str">
        <f t="shared" si="14"/>
        <v>#N/A</v>
      </c>
      <c r="AD58" s="4" t="str">
        <f t="shared" si="15"/>
        <v>#N/A</v>
      </c>
      <c r="AE58" s="4" t="str">
        <f t="shared" si="16"/>
        <v>#N/A</v>
      </c>
      <c r="AF58" s="4"/>
      <c r="AG58" s="4">
        <f t="shared" si="17"/>
        <v>50000</v>
      </c>
      <c r="AH58" s="4">
        <f t="shared" si="18"/>
        <v>0</v>
      </c>
      <c r="AI58" s="4">
        <f t="shared" si="19"/>
        <v>8</v>
      </c>
      <c r="AJ58" s="4" t="str">
        <f t="shared" si="20"/>
        <v>#N/A</v>
      </c>
      <c r="AK58" s="4" t="str">
        <f t="shared" si="21"/>
        <v>#N/A</v>
      </c>
      <c r="AL58" s="4" t="str">
        <f t="shared" si="22"/>
        <v>#N/A</v>
      </c>
      <c r="AM58" s="4" t="str">
        <f t="shared" si="23"/>
        <v>#N/A</v>
      </c>
      <c r="AN58" s="4" t="str">
        <f t="shared" si="24"/>
        <v>#N/A</v>
      </c>
      <c r="AO58" s="4" t="str">
        <f t="shared" si="25"/>
        <v>#N/A</v>
      </c>
      <c r="AP58" s="4" t="str">
        <f t="shared" si="26"/>
        <v>#N/A</v>
      </c>
      <c r="AQ58" s="4" t="str">
        <f t="shared" si="27"/>
        <v>#N/A</v>
      </c>
      <c r="AR58" s="4" t="str">
        <f t="shared" si="28"/>
        <v>#N/A</v>
      </c>
      <c r="AS58" s="4">
        <f t="shared" si="29"/>
        <v>69</v>
      </c>
      <c r="AT58" s="4" t="str">
        <f t="shared" si="30"/>
        <v>#N/A</v>
      </c>
    </row>
    <row r="59" ht="15.75" customHeight="1">
      <c r="A59" s="4" t="s">
        <v>197</v>
      </c>
      <c r="B59" s="4" t="s">
        <v>198</v>
      </c>
      <c r="C59" s="4" t="s">
        <v>66</v>
      </c>
      <c r="D59" s="6" t="s">
        <v>67</v>
      </c>
      <c r="E59" s="4" t="s">
        <v>74</v>
      </c>
      <c r="F59" s="4">
        <v>50000.0</v>
      </c>
      <c r="G59" s="4">
        <v>46361.0</v>
      </c>
      <c r="H59" s="4">
        <v>3639.0</v>
      </c>
      <c r="I59" s="4">
        <v>7.278</v>
      </c>
      <c r="J59" s="4">
        <v>121.0</v>
      </c>
      <c r="K59" s="4"/>
      <c r="L59" s="4"/>
      <c r="M59" s="4">
        <v>0.0</v>
      </c>
      <c r="N59" s="4">
        <v>8.0</v>
      </c>
      <c r="O59" s="4">
        <f t="array" ref="O59">IFERROR(INDEX(Data!$AB$2:$AB$81,MATCH(A59,Data!$A$2:$A$81,0)),1)</f>
        <v>1</v>
      </c>
      <c r="P59" s="4" t="str">
        <f t="shared" si="1"/>
        <v>#N/A</v>
      </c>
      <c r="Q59" s="4" t="str">
        <f t="shared" si="2"/>
        <v>#N/A</v>
      </c>
      <c r="R59" s="4" t="str">
        <f t="shared" si="3"/>
        <v/>
      </c>
      <c r="S59" s="4">
        <f t="shared" si="4"/>
        <v>7.278</v>
      </c>
      <c r="T59" s="4" t="str">
        <f t="shared" si="5"/>
        <v>#N/A</v>
      </c>
      <c r="U59" s="4" t="str">
        <f t="shared" si="6"/>
        <v>#N/A</v>
      </c>
      <c r="V59" s="4" t="str">
        <f t="shared" si="7"/>
        <v>#N/A</v>
      </c>
      <c r="W59" s="4" t="str">
        <f t="shared" si="8"/>
        <v>#N/A</v>
      </c>
      <c r="X59" s="4" t="str">
        <f t="shared" si="9"/>
        <v>#N/A</v>
      </c>
      <c r="Y59" s="4" t="str">
        <f t="shared" si="10"/>
        <v>#N/A</v>
      </c>
      <c r="Z59" s="4" t="str">
        <f t="shared" si="11"/>
        <v>#N/A</v>
      </c>
      <c r="AA59" s="4" t="str">
        <f t="shared" si="12"/>
        <v>#N/A</v>
      </c>
      <c r="AB59" s="4" t="str">
        <f t="shared" si="13"/>
        <v>#N/A</v>
      </c>
      <c r="AC59" s="4">
        <f t="shared" si="14"/>
        <v>50000</v>
      </c>
      <c r="AD59" s="4">
        <f t="shared" si="15"/>
        <v>0</v>
      </c>
      <c r="AE59" s="4">
        <f t="shared" si="16"/>
        <v>8</v>
      </c>
      <c r="AF59" s="4"/>
      <c r="AG59" s="4" t="str">
        <f t="shared" si="17"/>
        <v>#N/A</v>
      </c>
      <c r="AH59" s="4" t="str">
        <f t="shared" si="18"/>
        <v>#N/A</v>
      </c>
      <c r="AI59" s="4" t="str">
        <f t="shared" si="19"/>
        <v>#N/A</v>
      </c>
      <c r="AJ59" s="4" t="str">
        <f t="shared" si="20"/>
        <v>#N/A</v>
      </c>
      <c r="AK59" s="4" t="str">
        <f t="shared" si="21"/>
        <v>#N/A</v>
      </c>
      <c r="AL59" s="4" t="str">
        <f t="shared" si="22"/>
        <v>#N/A</v>
      </c>
      <c r="AM59" s="4" t="str">
        <f t="shared" si="23"/>
        <v>#N/A</v>
      </c>
      <c r="AN59" s="4" t="str">
        <f t="shared" si="24"/>
        <v>#N/A</v>
      </c>
      <c r="AO59" s="4" t="str">
        <f t="shared" si="25"/>
        <v>#N/A</v>
      </c>
      <c r="AP59" s="4">
        <f t="shared" si="26"/>
        <v>50000</v>
      </c>
      <c r="AQ59" s="4">
        <f t="shared" si="27"/>
        <v>0</v>
      </c>
      <c r="AR59" s="4">
        <f t="shared" si="28"/>
        <v>8</v>
      </c>
      <c r="AS59" s="4">
        <f t="shared" si="29"/>
        <v>121</v>
      </c>
      <c r="AT59" s="4" t="str">
        <f t="shared" si="30"/>
        <v>#N/A</v>
      </c>
    </row>
    <row r="60" ht="15.75" customHeight="1">
      <c r="A60" s="4" t="s">
        <v>199</v>
      </c>
      <c r="B60" s="4" t="s">
        <v>200</v>
      </c>
      <c r="C60" s="4" t="s">
        <v>88</v>
      </c>
      <c r="D60" s="8" t="s">
        <v>73</v>
      </c>
      <c r="E60" s="4" t="s">
        <v>98</v>
      </c>
      <c r="F60" s="4">
        <v>1000000.0</v>
      </c>
      <c r="G60" s="4">
        <v>729628.0</v>
      </c>
      <c r="H60" s="4">
        <v>270372.0</v>
      </c>
      <c r="I60" s="4">
        <v>27.0372</v>
      </c>
      <c r="J60" s="4">
        <v>136.0</v>
      </c>
      <c r="K60" s="4"/>
      <c r="L60" s="4"/>
      <c r="M60" s="4">
        <v>0.0</v>
      </c>
      <c r="N60" s="4">
        <v>4.0</v>
      </c>
      <c r="O60" s="4">
        <f t="array" ref="O60">IFERROR(INDEX(Data!$AB$2:$AB$81,MATCH(A60,Data!$A$2:$A$81,0)),1)</f>
        <v>1</v>
      </c>
      <c r="P60" s="4" t="str">
        <f t="shared" si="1"/>
        <v>#N/A</v>
      </c>
      <c r="Q60" s="4" t="str">
        <f t="shared" si="2"/>
        <v>#N/A</v>
      </c>
      <c r="R60" s="4" t="str">
        <f t="shared" si="3"/>
        <v/>
      </c>
      <c r="S60" s="4">
        <f t="shared" si="4"/>
        <v>27.0372</v>
      </c>
      <c r="T60" s="4">
        <f t="shared" si="5"/>
        <v>1000000</v>
      </c>
      <c r="U60" s="4">
        <f t="shared" si="6"/>
        <v>0</v>
      </c>
      <c r="V60" s="4">
        <f t="shared" si="7"/>
        <v>4</v>
      </c>
      <c r="W60" s="4" t="str">
        <f t="shared" si="8"/>
        <v>#N/A</v>
      </c>
      <c r="X60" s="4" t="str">
        <f t="shared" si="9"/>
        <v>#N/A</v>
      </c>
      <c r="Y60" s="4" t="str">
        <f t="shared" si="10"/>
        <v>#N/A</v>
      </c>
      <c r="Z60" s="4" t="str">
        <f t="shared" si="11"/>
        <v>#N/A</v>
      </c>
      <c r="AA60" s="4" t="str">
        <f t="shared" si="12"/>
        <v>#N/A</v>
      </c>
      <c r="AB60" s="4" t="str">
        <f t="shared" si="13"/>
        <v>#N/A</v>
      </c>
      <c r="AC60" s="4" t="str">
        <f t="shared" si="14"/>
        <v>#N/A</v>
      </c>
      <c r="AD60" s="4" t="str">
        <f t="shared" si="15"/>
        <v>#N/A</v>
      </c>
      <c r="AE60" s="4" t="str">
        <f t="shared" si="16"/>
        <v>#N/A</v>
      </c>
      <c r="AF60" s="4"/>
      <c r="AG60" s="4">
        <f t="shared" si="17"/>
        <v>1000000</v>
      </c>
      <c r="AH60" s="4">
        <f t="shared" si="18"/>
        <v>0</v>
      </c>
      <c r="AI60" s="4">
        <f t="shared" si="19"/>
        <v>4</v>
      </c>
      <c r="AJ60" s="4" t="str">
        <f t="shared" si="20"/>
        <v>#N/A</v>
      </c>
      <c r="AK60" s="4" t="str">
        <f t="shared" si="21"/>
        <v>#N/A</v>
      </c>
      <c r="AL60" s="4" t="str">
        <f t="shared" si="22"/>
        <v>#N/A</v>
      </c>
      <c r="AM60" s="4" t="str">
        <f t="shared" si="23"/>
        <v>#N/A</v>
      </c>
      <c r="AN60" s="4" t="str">
        <f t="shared" si="24"/>
        <v>#N/A</v>
      </c>
      <c r="AO60" s="4" t="str">
        <f t="shared" si="25"/>
        <v>#N/A</v>
      </c>
      <c r="AP60" s="4" t="str">
        <f t="shared" si="26"/>
        <v>#N/A</v>
      </c>
      <c r="AQ60" s="4" t="str">
        <f t="shared" si="27"/>
        <v>#N/A</v>
      </c>
      <c r="AR60" s="4" t="str">
        <f t="shared" si="28"/>
        <v>#N/A</v>
      </c>
      <c r="AS60" s="4">
        <f t="shared" si="29"/>
        <v>136</v>
      </c>
      <c r="AT60" s="4" t="str">
        <f t="shared" si="30"/>
        <v>#N/A</v>
      </c>
    </row>
    <row r="61" ht="15.75" customHeight="1">
      <c r="A61" s="4" t="s">
        <v>201</v>
      </c>
      <c r="B61" s="4" t="s">
        <v>202</v>
      </c>
      <c r="C61" s="4" t="s">
        <v>88</v>
      </c>
      <c r="D61" s="6" t="s">
        <v>67</v>
      </c>
      <c r="E61" s="4" t="s">
        <v>68</v>
      </c>
      <c r="F61" s="4">
        <v>1000000.0</v>
      </c>
      <c r="G61" s="4">
        <v>724399.0</v>
      </c>
      <c r="H61" s="4">
        <v>275601.0</v>
      </c>
      <c r="I61" s="4">
        <v>27.5601</v>
      </c>
      <c r="J61" s="4">
        <v>85.0</v>
      </c>
      <c r="K61" s="4"/>
      <c r="L61" s="4"/>
      <c r="M61" s="4">
        <v>0.0</v>
      </c>
      <c r="N61" s="4">
        <v>11.0</v>
      </c>
      <c r="O61" s="4">
        <f t="array" ref="O61">IFERROR(INDEX(Data!$AB$2:$AB$81,MATCH(A61,Data!$A$2:$A$81,0)),1)</f>
        <v>1</v>
      </c>
      <c r="P61" s="4" t="str">
        <f t="shared" si="1"/>
        <v>#N/A</v>
      </c>
      <c r="Q61" s="4" t="str">
        <f t="shared" si="2"/>
        <v>#N/A</v>
      </c>
      <c r="R61" s="4" t="str">
        <f t="shared" si="3"/>
        <v/>
      </c>
      <c r="S61" s="4">
        <f t="shared" si="4"/>
        <v>27.5601</v>
      </c>
      <c r="T61" s="4" t="str">
        <f t="shared" si="5"/>
        <v>#N/A</v>
      </c>
      <c r="U61" s="4" t="str">
        <f t="shared" si="6"/>
        <v>#N/A</v>
      </c>
      <c r="V61" s="4" t="str">
        <f t="shared" si="7"/>
        <v>#N/A</v>
      </c>
      <c r="W61" s="4" t="str">
        <f t="shared" si="8"/>
        <v>#N/A</v>
      </c>
      <c r="X61" s="4" t="str">
        <f t="shared" si="9"/>
        <v>#N/A</v>
      </c>
      <c r="Y61" s="4" t="str">
        <f t="shared" si="10"/>
        <v>#N/A</v>
      </c>
      <c r="Z61" s="4">
        <f t="shared" si="11"/>
        <v>1000000</v>
      </c>
      <c r="AA61" s="4">
        <f t="shared" si="12"/>
        <v>0</v>
      </c>
      <c r="AB61" s="4">
        <f t="shared" si="13"/>
        <v>11</v>
      </c>
      <c r="AC61" s="4" t="str">
        <f t="shared" si="14"/>
        <v>#N/A</v>
      </c>
      <c r="AD61" s="4" t="str">
        <f t="shared" si="15"/>
        <v>#N/A</v>
      </c>
      <c r="AE61" s="4" t="str">
        <f t="shared" si="16"/>
        <v>#N/A</v>
      </c>
      <c r="AF61" s="4"/>
      <c r="AG61" s="4" t="str">
        <f t="shared" si="17"/>
        <v>#N/A</v>
      </c>
      <c r="AH61" s="4" t="str">
        <f t="shared" si="18"/>
        <v>#N/A</v>
      </c>
      <c r="AI61" s="4" t="str">
        <f t="shared" si="19"/>
        <v>#N/A</v>
      </c>
      <c r="AJ61" s="4" t="str">
        <f t="shared" si="20"/>
        <v>#N/A</v>
      </c>
      <c r="AK61" s="4" t="str">
        <f t="shared" si="21"/>
        <v>#N/A</v>
      </c>
      <c r="AL61" s="4" t="str">
        <f t="shared" si="22"/>
        <v>#N/A</v>
      </c>
      <c r="AM61" s="4">
        <f t="shared" si="23"/>
        <v>1000000</v>
      </c>
      <c r="AN61" s="4">
        <f t="shared" si="24"/>
        <v>0</v>
      </c>
      <c r="AO61" s="4">
        <f t="shared" si="25"/>
        <v>11</v>
      </c>
      <c r="AP61" s="4" t="str">
        <f t="shared" si="26"/>
        <v>#N/A</v>
      </c>
      <c r="AQ61" s="4" t="str">
        <f t="shared" si="27"/>
        <v>#N/A</v>
      </c>
      <c r="AR61" s="4" t="str">
        <f t="shared" si="28"/>
        <v>#N/A</v>
      </c>
      <c r="AS61" s="4">
        <f t="shared" si="29"/>
        <v>85</v>
      </c>
      <c r="AT61" s="4" t="str">
        <f t="shared" si="30"/>
        <v>#N/A</v>
      </c>
    </row>
    <row r="62" ht="15.75" customHeight="1">
      <c r="A62" s="4" t="s">
        <v>203</v>
      </c>
      <c r="B62" s="4" t="s">
        <v>204</v>
      </c>
      <c r="C62" s="4" t="s">
        <v>101</v>
      </c>
      <c r="D62" s="9" t="s">
        <v>92</v>
      </c>
      <c r="E62" s="4" t="s">
        <v>95</v>
      </c>
      <c r="F62" s="4">
        <v>250000.0</v>
      </c>
      <c r="G62" s="4">
        <v>151274.0</v>
      </c>
      <c r="H62" s="4">
        <v>98726.0</v>
      </c>
      <c r="I62" s="4">
        <v>39.4904</v>
      </c>
      <c r="J62" s="4">
        <v>92.0</v>
      </c>
      <c r="K62" s="4">
        <v>140.0</v>
      </c>
      <c r="L62" s="4">
        <v>48.0</v>
      </c>
      <c r="M62" s="4">
        <v>0.0</v>
      </c>
      <c r="N62" s="4">
        <v>15.0</v>
      </c>
      <c r="O62" s="4">
        <f t="array" ref="O62">IFERROR(INDEX(Data!$AB$2:$AB$81,MATCH(A62,Data!$A$2:$A$81,0)),1)</f>
        <v>1</v>
      </c>
      <c r="P62" s="4" t="str">
        <f t="shared" si="1"/>
        <v>#N/A</v>
      </c>
      <c r="Q62" s="4" t="str">
        <f t="shared" si="2"/>
        <v>#N/A</v>
      </c>
      <c r="R62" s="4">
        <f t="shared" si="3"/>
        <v>48</v>
      </c>
      <c r="S62" s="4">
        <f t="shared" si="4"/>
        <v>39.4904</v>
      </c>
      <c r="T62" s="4" t="str">
        <f t="shared" si="5"/>
        <v>#N/A</v>
      </c>
      <c r="U62" s="4" t="str">
        <f t="shared" si="6"/>
        <v>#N/A</v>
      </c>
      <c r="V62" s="4" t="str">
        <f t="shared" si="7"/>
        <v>#N/A</v>
      </c>
      <c r="W62" s="4">
        <f t="shared" si="8"/>
        <v>250000</v>
      </c>
      <c r="X62" s="4">
        <f t="shared" si="9"/>
        <v>0</v>
      </c>
      <c r="Y62" s="4">
        <f t="shared" si="10"/>
        <v>15</v>
      </c>
      <c r="Z62" s="4" t="str">
        <f t="shared" si="11"/>
        <v>#N/A</v>
      </c>
      <c r="AA62" s="4" t="str">
        <f t="shared" si="12"/>
        <v>#N/A</v>
      </c>
      <c r="AB62" s="4" t="str">
        <f t="shared" si="13"/>
        <v>#N/A</v>
      </c>
      <c r="AC62" s="4" t="str">
        <f t="shared" si="14"/>
        <v>#N/A</v>
      </c>
      <c r="AD62" s="4" t="str">
        <f t="shared" si="15"/>
        <v>#N/A</v>
      </c>
      <c r="AE62" s="4" t="str">
        <f t="shared" si="16"/>
        <v>#N/A</v>
      </c>
      <c r="AF62" s="4"/>
      <c r="AG62" s="4" t="str">
        <f t="shared" si="17"/>
        <v>#N/A</v>
      </c>
      <c r="AH62" s="4" t="str">
        <f t="shared" si="18"/>
        <v>#N/A</v>
      </c>
      <c r="AI62" s="4" t="str">
        <f t="shared" si="19"/>
        <v>#N/A</v>
      </c>
      <c r="AJ62" s="4">
        <f t="shared" si="20"/>
        <v>250000</v>
      </c>
      <c r="AK62" s="4">
        <f t="shared" si="21"/>
        <v>0</v>
      </c>
      <c r="AL62" s="4">
        <f t="shared" si="22"/>
        <v>15</v>
      </c>
      <c r="AM62" s="4" t="str">
        <f t="shared" si="23"/>
        <v>#N/A</v>
      </c>
      <c r="AN62" s="4" t="str">
        <f t="shared" si="24"/>
        <v>#N/A</v>
      </c>
      <c r="AO62" s="4" t="str">
        <f t="shared" si="25"/>
        <v>#N/A</v>
      </c>
      <c r="AP62" s="4" t="str">
        <f t="shared" si="26"/>
        <v>#N/A</v>
      </c>
      <c r="AQ62" s="4" t="str">
        <f t="shared" si="27"/>
        <v>#N/A</v>
      </c>
      <c r="AR62" s="4" t="str">
        <f t="shared" si="28"/>
        <v>#N/A</v>
      </c>
      <c r="AS62" s="4">
        <f t="shared" si="29"/>
        <v>92</v>
      </c>
      <c r="AT62" s="4">
        <f t="shared" si="30"/>
        <v>140</v>
      </c>
    </row>
    <row r="63" ht="15.75" customHeight="1">
      <c r="A63" s="4" t="s">
        <v>205</v>
      </c>
      <c r="B63" s="4" t="s">
        <v>206</v>
      </c>
      <c r="C63" s="4" t="s">
        <v>101</v>
      </c>
      <c r="D63" s="6" t="s">
        <v>77</v>
      </c>
      <c r="E63" s="4" t="s">
        <v>68</v>
      </c>
      <c r="F63" s="4">
        <v>500000.0</v>
      </c>
      <c r="G63" s="4">
        <v>167540.0</v>
      </c>
      <c r="H63" s="4">
        <v>332460.0</v>
      </c>
      <c r="I63" s="4">
        <v>66.49199999999999</v>
      </c>
      <c r="J63" s="4">
        <v>144.0</v>
      </c>
      <c r="K63" s="4"/>
      <c r="L63" s="4"/>
      <c r="M63" s="4">
        <v>0.0</v>
      </c>
      <c r="N63" s="4">
        <v>13.0</v>
      </c>
      <c r="O63" s="4">
        <f t="array" ref="O63">IFERROR(INDEX(Data!$AB$2:$AB$81,MATCH(A63,Data!$A$2:$A$81,0)),1)</f>
        <v>1</v>
      </c>
      <c r="P63" s="4" t="str">
        <f t="shared" si="1"/>
        <v>#N/A</v>
      </c>
      <c r="Q63" s="4" t="str">
        <f t="shared" si="2"/>
        <v>#N/A</v>
      </c>
      <c r="R63" s="4" t="str">
        <f t="shared" si="3"/>
        <v/>
      </c>
      <c r="S63" s="4">
        <f t="shared" si="4"/>
        <v>66.492</v>
      </c>
      <c r="T63" s="4" t="str">
        <f t="shared" si="5"/>
        <v>#N/A</v>
      </c>
      <c r="U63" s="4" t="str">
        <f t="shared" si="6"/>
        <v>#N/A</v>
      </c>
      <c r="V63" s="4" t="str">
        <f t="shared" si="7"/>
        <v>#N/A</v>
      </c>
      <c r="W63" s="4" t="str">
        <f t="shared" si="8"/>
        <v>#N/A</v>
      </c>
      <c r="X63" s="4" t="str">
        <f t="shared" si="9"/>
        <v>#N/A</v>
      </c>
      <c r="Y63" s="4" t="str">
        <f t="shared" si="10"/>
        <v>#N/A</v>
      </c>
      <c r="Z63" s="4">
        <f t="shared" si="11"/>
        <v>500000</v>
      </c>
      <c r="AA63" s="4">
        <f t="shared" si="12"/>
        <v>0</v>
      </c>
      <c r="AB63" s="4">
        <f t="shared" si="13"/>
        <v>13</v>
      </c>
      <c r="AC63" s="4" t="str">
        <f t="shared" si="14"/>
        <v>#N/A</v>
      </c>
      <c r="AD63" s="4" t="str">
        <f t="shared" si="15"/>
        <v>#N/A</v>
      </c>
      <c r="AE63" s="4" t="str">
        <f t="shared" si="16"/>
        <v>#N/A</v>
      </c>
      <c r="AF63" s="4"/>
      <c r="AG63" s="4" t="str">
        <f t="shared" si="17"/>
        <v>#N/A</v>
      </c>
      <c r="AH63" s="4" t="str">
        <f t="shared" si="18"/>
        <v>#N/A</v>
      </c>
      <c r="AI63" s="4" t="str">
        <f t="shared" si="19"/>
        <v>#N/A</v>
      </c>
      <c r="AJ63" s="4" t="str">
        <f t="shared" si="20"/>
        <v>#N/A</v>
      </c>
      <c r="AK63" s="4" t="str">
        <f t="shared" si="21"/>
        <v>#N/A</v>
      </c>
      <c r="AL63" s="4" t="str">
        <f t="shared" si="22"/>
        <v>#N/A</v>
      </c>
      <c r="AM63" s="4">
        <f t="shared" si="23"/>
        <v>500000</v>
      </c>
      <c r="AN63" s="4">
        <f t="shared" si="24"/>
        <v>0</v>
      </c>
      <c r="AO63" s="4">
        <f t="shared" si="25"/>
        <v>13</v>
      </c>
      <c r="AP63" s="4" t="str">
        <f t="shared" si="26"/>
        <v>#N/A</v>
      </c>
      <c r="AQ63" s="4" t="str">
        <f t="shared" si="27"/>
        <v>#N/A</v>
      </c>
      <c r="AR63" s="4" t="str">
        <f t="shared" si="28"/>
        <v>#N/A</v>
      </c>
      <c r="AS63" s="4">
        <f t="shared" si="29"/>
        <v>144</v>
      </c>
      <c r="AT63" s="4" t="str">
        <f t="shared" si="30"/>
        <v>#N/A</v>
      </c>
    </row>
    <row r="64" ht="15.75" customHeight="1">
      <c r="A64" s="4" t="s">
        <v>207</v>
      </c>
      <c r="B64" s="4" t="s">
        <v>208</v>
      </c>
      <c r="C64" s="4" t="s">
        <v>66</v>
      </c>
      <c r="D64" s="6" t="s">
        <v>77</v>
      </c>
      <c r="E64" s="4" t="s">
        <v>98</v>
      </c>
      <c r="F64" s="4">
        <v>50000.0</v>
      </c>
      <c r="G64" s="4">
        <v>40077.0</v>
      </c>
      <c r="H64" s="4">
        <v>9923.0</v>
      </c>
      <c r="I64" s="4">
        <v>19.846</v>
      </c>
      <c r="J64" s="4">
        <v>166.0</v>
      </c>
      <c r="K64" s="4"/>
      <c r="L64" s="4"/>
      <c r="M64" s="4">
        <v>0.0</v>
      </c>
      <c r="N64" s="4">
        <v>6.0</v>
      </c>
      <c r="O64" s="4">
        <f t="array" ref="O64">IFERROR(INDEX(Data!$AB$2:$AB$81,MATCH(A64,Data!$A$2:$A$81,0)),1)</f>
        <v>1</v>
      </c>
      <c r="P64" s="4" t="str">
        <f t="shared" si="1"/>
        <v>#N/A</v>
      </c>
      <c r="Q64" s="4" t="str">
        <f t="shared" si="2"/>
        <v>#N/A</v>
      </c>
      <c r="R64" s="4" t="str">
        <f t="shared" si="3"/>
        <v/>
      </c>
      <c r="S64" s="4">
        <f t="shared" si="4"/>
        <v>19.846</v>
      </c>
      <c r="T64" s="4">
        <f t="shared" si="5"/>
        <v>50000</v>
      </c>
      <c r="U64" s="4">
        <f t="shared" si="6"/>
        <v>0</v>
      </c>
      <c r="V64" s="4">
        <f t="shared" si="7"/>
        <v>6</v>
      </c>
      <c r="W64" s="4" t="str">
        <f t="shared" si="8"/>
        <v>#N/A</v>
      </c>
      <c r="X64" s="4" t="str">
        <f t="shared" si="9"/>
        <v>#N/A</v>
      </c>
      <c r="Y64" s="4" t="str">
        <f t="shared" si="10"/>
        <v>#N/A</v>
      </c>
      <c r="Z64" s="4" t="str">
        <f t="shared" si="11"/>
        <v>#N/A</v>
      </c>
      <c r="AA64" s="4" t="str">
        <f t="shared" si="12"/>
        <v>#N/A</v>
      </c>
      <c r="AB64" s="4" t="str">
        <f t="shared" si="13"/>
        <v>#N/A</v>
      </c>
      <c r="AC64" s="4" t="str">
        <f t="shared" si="14"/>
        <v>#N/A</v>
      </c>
      <c r="AD64" s="4" t="str">
        <f t="shared" si="15"/>
        <v>#N/A</v>
      </c>
      <c r="AE64" s="4" t="str">
        <f t="shared" si="16"/>
        <v>#N/A</v>
      </c>
      <c r="AF64" s="4"/>
      <c r="AG64" s="4">
        <f t="shared" si="17"/>
        <v>50000</v>
      </c>
      <c r="AH64" s="4">
        <f t="shared" si="18"/>
        <v>0</v>
      </c>
      <c r="AI64" s="4">
        <f t="shared" si="19"/>
        <v>6</v>
      </c>
      <c r="AJ64" s="4" t="str">
        <f t="shared" si="20"/>
        <v>#N/A</v>
      </c>
      <c r="AK64" s="4" t="str">
        <f t="shared" si="21"/>
        <v>#N/A</v>
      </c>
      <c r="AL64" s="4" t="str">
        <f t="shared" si="22"/>
        <v>#N/A</v>
      </c>
      <c r="AM64" s="4" t="str">
        <f t="shared" si="23"/>
        <v>#N/A</v>
      </c>
      <c r="AN64" s="4" t="str">
        <f t="shared" si="24"/>
        <v>#N/A</v>
      </c>
      <c r="AO64" s="4" t="str">
        <f t="shared" si="25"/>
        <v>#N/A</v>
      </c>
      <c r="AP64" s="4" t="str">
        <f t="shared" si="26"/>
        <v>#N/A</v>
      </c>
      <c r="AQ64" s="4" t="str">
        <f t="shared" si="27"/>
        <v>#N/A</v>
      </c>
      <c r="AR64" s="4" t="str">
        <f t="shared" si="28"/>
        <v>#N/A</v>
      </c>
      <c r="AS64" s="4">
        <f t="shared" si="29"/>
        <v>166</v>
      </c>
      <c r="AT64" s="4" t="str">
        <f t="shared" si="30"/>
        <v>#N/A</v>
      </c>
    </row>
    <row r="65" ht="15.75" customHeight="1">
      <c r="A65" s="4" t="s">
        <v>209</v>
      </c>
      <c r="B65" s="4" t="s">
        <v>210</v>
      </c>
      <c r="C65" s="4" t="s">
        <v>85</v>
      </c>
      <c r="D65" s="6" t="s">
        <v>77</v>
      </c>
      <c r="E65" s="4" t="s">
        <v>95</v>
      </c>
      <c r="F65" s="4">
        <v>50000.0</v>
      </c>
      <c r="G65" s="4">
        <v>44875.0</v>
      </c>
      <c r="H65" s="4">
        <v>5125.0</v>
      </c>
      <c r="I65" s="4">
        <v>10.25</v>
      </c>
      <c r="J65" s="4">
        <v>141.0</v>
      </c>
      <c r="K65" s="4"/>
      <c r="L65" s="4"/>
      <c r="M65" s="4">
        <v>0.0</v>
      </c>
      <c r="N65" s="4">
        <v>5.0</v>
      </c>
      <c r="O65" s="4">
        <f t="array" ref="O65">IFERROR(INDEX(Data!$AB$2:$AB$81,MATCH(A65,Data!$A$2:$A$81,0)),1)</f>
        <v>1</v>
      </c>
      <c r="P65" s="4" t="str">
        <f t="shared" si="1"/>
        <v>#N/A</v>
      </c>
      <c r="Q65" s="4" t="str">
        <f t="shared" si="2"/>
        <v>#N/A</v>
      </c>
      <c r="R65" s="4" t="str">
        <f t="shared" si="3"/>
        <v/>
      </c>
      <c r="S65" s="4">
        <f t="shared" si="4"/>
        <v>10.25</v>
      </c>
      <c r="T65" s="4" t="str">
        <f t="shared" si="5"/>
        <v>#N/A</v>
      </c>
      <c r="U65" s="4" t="str">
        <f t="shared" si="6"/>
        <v>#N/A</v>
      </c>
      <c r="V65" s="4" t="str">
        <f t="shared" si="7"/>
        <v>#N/A</v>
      </c>
      <c r="W65" s="4">
        <f t="shared" si="8"/>
        <v>50000</v>
      </c>
      <c r="X65" s="4">
        <f t="shared" si="9"/>
        <v>0</v>
      </c>
      <c r="Y65" s="4">
        <f t="shared" si="10"/>
        <v>5</v>
      </c>
      <c r="Z65" s="4" t="str">
        <f t="shared" si="11"/>
        <v>#N/A</v>
      </c>
      <c r="AA65" s="4" t="str">
        <f t="shared" si="12"/>
        <v>#N/A</v>
      </c>
      <c r="AB65" s="4" t="str">
        <f t="shared" si="13"/>
        <v>#N/A</v>
      </c>
      <c r="AC65" s="4" t="str">
        <f t="shared" si="14"/>
        <v>#N/A</v>
      </c>
      <c r="AD65" s="4" t="str">
        <f t="shared" si="15"/>
        <v>#N/A</v>
      </c>
      <c r="AE65" s="4" t="str">
        <f t="shared" si="16"/>
        <v>#N/A</v>
      </c>
      <c r="AF65" s="4"/>
      <c r="AG65" s="4" t="str">
        <f t="shared" si="17"/>
        <v>#N/A</v>
      </c>
      <c r="AH65" s="4" t="str">
        <f t="shared" si="18"/>
        <v>#N/A</v>
      </c>
      <c r="AI65" s="4" t="str">
        <f t="shared" si="19"/>
        <v>#N/A</v>
      </c>
      <c r="AJ65" s="4">
        <f t="shared" si="20"/>
        <v>50000</v>
      </c>
      <c r="AK65" s="4">
        <f t="shared" si="21"/>
        <v>0</v>
      </c>
      <c r="AL65" s="4">
        <f t="shared" si="22"/>
        <v>5</v>
      </c>
      <c r="AM65" s="4" t="str">
        <f t="shared" si="23"/>
        <v>#N/A</v>
      </c>
      <c r="AN65" s="4" t="str">
        <f t="shared" si="24"/>
        <v>#N/A</v>
      </c>
      <c r="AO65" s="4" t="str">
        <f t="shared" si="25"/>
        <v>#N/A</v>
      </c>
      <c r="AP65" s="4" t="str">
        <f t="shared" si="26"/>
        <v>#N/A</v>
      </c>
      <c r="AQ65" s="4" t="str">
        <f t="shared" si="27"/>
        <v>#N/A</v>
      </c>
      <c r="AR65" s="4" t="str">
        <f t="shared" si="28"/>
        <v>#N/A</v>
      </c>
      <c r="AS65" s="4">
        <f t="shared" si="29"/>
        <v>141</v>
      </c>
      <c r="AT65" s="4" t="str">
        <f t="shared" si="30"/>
        <v>#N/A</v>
      </c>
    </row>
    <row r="66" ht="15.75" customHeight="1">
      <c r="A66" s="4" t="s">
        <v>211</v>
      </c>
      <c r="B66" s="4" t="s">
        <v>212</v>
      </c>
      <c r="C66" s="4" t="s">
        <v>101</v>
      </c>
      <c r="D66" s="6" t="s">
        <v>77</v>
      </c>
      <c r="E66" s="4" t="s">
        <v>98</v>
      </c>
      <c r="F66" s="4">
        <v>250000.0</v>
      </c>
      <c r="G66" s="4">
        <v>186616.0</v>
      </c>
      <c r="H66" s="4">
        <v>63384.0</v>
      </c>
      <c r="I66" s="4">
        <v>25.3536</v>
      </c>
      <c r="J66" s="4">
        <v>75.0</v>
      </c>
      <c r="K66" s="4"/>
      <c r="L66" s="4"/>
      <c r="M66" s="4">
        <v>0.0</v>
      </c>
      <c r="N66" s="4">
        <v>12.0</v>
      </c>
      <c r="O66" s="4">
        <f t="array" ref="O66">IFERROR(INDEX(Data!$AB$2:$AB$81,MATCH(A66,Data!$A$2:$A$81,0)),1)</f>
        <v>1</v>
      </c>
      <c r="P66" s="4" t="str">
        <f t="shared" si="1"/>
        <v>#N/A</v>
      </c>
      <c r="Q66" s="4" t="str">
        <f t="shared" si="2"/>
        <v>#N/A</v>
      </c>
      <c r="R66" s="4" t="str">
        <f t="shared" si="3"/>
        <v/>
      </c>
      <c r="S66" s="4">
        <f t="shared" si="4"/>
        <v>25.3536</v>
      </c>
      <c r="T66" s="4">
        <f t="shared" si="5"/>
        <v>250000</v>
      </c>
      <c r="U66" s="4">
        <f t="shared" si="6"/>
        <v>0</v>
      </c>
      <c r="V66" s="4">
        <f t="shared" si="7"/>
        <v>12</v>
      </c>
      <c r="W66" s="4" t="str">
        <f t="shared" si="8"/>
        <v>#N/A</v>
      </c>
      <c r="X66" s="4" t="str">
        <f t="shared" si="9"/>
        <v>#N/A</v>
      </c>
      <c r="Y66" s="4" t="str">
        <f t="shared" si="10"/>
        <v>#N/A</v>
      </c>
      <c r="Z66" s="4" t="str">
        <f t="shared" si="11"/>
        <v>#N/A</v>
      </c>
      <c r="AA66" s="4" t="str">
        <f t="shared" si="12"/>
        <v>#N/A</v>
      </c>
      <c r="AB66" s="4" t="str">
        <f t="shared" si="13"/>
        <v>#N/A</v>
      </c>
      <c r="AC66" s="4" t="str">
        <f t="shared" si="14"/>
        <v>#N/A</v>
      </c>
      <c r="AD66" s="4" t="str">
        <f t="shared" si="15"/>
        <v>#N/A</v>
      </c>
      <c r="AE66" s="4" t="str">
        <f t="shared" si="16"/>
        <v>#N/A</v>
      </c>
      <c r="AF66" s="4"/>
      <c r="AG66" s="4">
        <f t="shared" si="17"/>
        <v>250000</v>
      </c>
      <c r="AH66" s="4">
        <f t="shared" si="18"/>
        <v>0</v>
      </c>
      <c r="AI66" s="4">
        <f t="shared" si="19"/>
        <v>12</v>
      </c>
      <c r="AJ66" s="4" t="str">
        <f t="shared" si="20"/>
        <v>#N/A</v>
      </c>
      <c r="AK66" s="4" t="str">
        <f t="shared" si="21"/>
        <v>#N/A</v>
      </c>
      <c r="AL66" s="4" t="str">
        <f t="shared" si="22"/>
        <v>#N/A</v>
      </c>
      <c r="AM66" s="4" t="str">
        <f t="shared" si="23"/>
        <v>#N/A</v>
      </c>
      <c r="AN66" s="4" t="str">
        <f t="shared" si="24"/>
        <v>#N/A</v>
      </c>
      <c r="AO66" s="4" t="str">
        <f t="shared" si="25"/>
        <v>#N/A</v>
      </c>
      <c r="AP66" s="4" t="str">
        <f t="shared" si="26"/>
        <v>#N/A</v>
      </c>
      <c r="AQ66" s="4" t="str">
        <f t="shared" si="27"/>
        <v>#N/A</v>
      </c>
      <c r="AR66" s="4" t="str">
        <f t="shared" si="28"/>
        <v>#N/A</v>
      </c>
      <c r="AS66" s="4">
        <f t="shared" si="29"/>
        <v>75</v>
      </c>
      <c r="AT66" s="4" t="str">
        <f t="shared" si="30"/>
        <v>#N/A</v>
      </c>
    </row>
    <row r="67" ht="15.75" customHeight="1">
      <c r="A67" s="4" t="s">
        <v>213</v>
      </c>
      <c r="B67" s="4" t="s">
        <v>214</v>
      </c>
      <c r="C67" s="4" t="s">
        <v>85</v>
      </c>
      <c r="D67" s="9" t="s">
        <v>92</v>
      </c>
      <c r="E67" s="4" t="s">
        <v>74</v>
      </c>
      <c r="F67" s="4">
        <v>50000.0</v>
      </c>
      <c r="G67" s="4">
        <v>36393.0</v>
      </c>
      <c r="H67" s="4">
        <v>13607.0</v>
      </c>
      <c r="I67" s="4">
        <v>27.214</v>
      </c>
      <c r="J67" s="4">
        <v>110.0</v>
      </c>
      <c r="K67" s="4">
        <v>115.0</v>
      </c>
      <c r="L67" s="4">
        <v>5.0</v>
      </c>
      <c r="M67" s="4">
        <v>0.0</v>
      </c>
      <c r="N67" s="4">
        <v>13.0</v>
      </c>
      <c r="O67" s="4">
        <f t="array" ref="O67">IFERROR(INDEX(Data!$AB$2:$AB$81,MATCH(A67,Data!$A$2:$A$81,0)),1)</f>
        <v>1</v>
      </c>
      <c r="P67" s="4" t="str">
        <f t="shared" si="1"/>
        <v>#N/A</v>
      </c>
      <c r="Q67" s="4" t="str">
        <f t="shared" si="2"/>
        <v>#N/A</v>
      </c>
      <c r="R67" s="4">
        <f t="shared" si="3"/>
        <v>5</v>
      </c>
      <c r="S67" s="4">
        <f t="shared" si="4"/>
        <v>27.214</v>
      </c>
      <c r="T67" s="4" t="str">
        <f t="shared" si="5"/>
        <v>#N/A</v>
      </c>
      <c r="U67" s="4" t="str">
        <f t="shared" si="6"/>
        <v>#N/A</v>
      </c>
      <c r="V67" s="4" t="str">
        <f t="shared" si="7"/>
        <v>#N/A</v>
      </c>
      <c r="W67" s="4" t="str">
        <f t="shared" si="8"/>
        <v>#N/A</v>
      </c>
      <c r="X67" s="4" t="str">
        <f t="shared" si="9"/>
        <v>#N/A</v>
      </c>
      <c r="Y67" s="4" t="str">
        <f t="shared" si="10"/>
        <v>#N/A</v>
      </c>
      <c r="Z67" s="4" t="str">
        <f t="shared" si="11"/>
        <v>#N/A</v>
      </c>
      <c r="AA67" s="4" t="str">
        <f t="shared" si="12"/>
        <v>#N/A</v>
      </c>
      <c r="AB67" s="4" t="str">
        <f t="shared" si="13"/>
        <v>#N/A</v>
      </c>
      <c r="AC67" s="4">
        <f t="shared" si="14"/>
        <v>50000</v>
      </c>
      <c r="AD67" s="4">
        <f t="shared" si="15"/>
        <v>0</v>
      </c>
      <c r="AE67" s="4">
        <f t="shared" si="16"/>
        <v>13</v>
      </c>
      <c r="AF67" s="4"/>
      <c r="AG67" s="4" t="str">
        <f t="shared" si="17"/>
        <v>#N/A</v>
      </c>
      <c r="AH67" s="4" t="str">
        <f t="shared" si="18"/>
        <v>#N/A</v>
      </c>
      <c r="AI67" s="4" t="str">
        <f t="shared" si="19"/>
        <v>#N/A</v>
      </c>
      <c r="AJ67" s="4" t="str">
        <f t="shared" si="20"/>
        <v>#N/A</v>
      </c>
      <c r="AK67" s="4" t="str">
        <f t="shared" si="21"/>
        <v>#N/A</v>
      </c>
      <c r="AL67" s="4" t="str">
        <f t="shared" si="22"/>
        <v>#N/A</v>
      </c>
      <c r="AM67" s="4" t="str">
        <f t="shared" si="23"/>
        <v>#N/A</v>
      </c>
      <c r="AN67" s="4" t="str">
        <f t="shared" si="24"/>
        <v>#N/A</v>
      </c>
      <c r="AO67" s="4" t="str">
        <f t="shared" si="25"/>
        <v>#N/A</v>
      </c>
      <c r="AP67" s="4">
        <f t="shared" si="26"/>
        <v>50000</v>
      </c>
      <c r="AQ67" s="4">
        <f t="shared" si="27"/>
        <v>0</v>
      </c>
      <c r="AR67" s="4">
        <f t="shared" si="28"/>
        <v>13</v>
      </c>
      <c r="AS67" s="4">
        <f t="shared" si="29"/>
        <v>110</v>
      </c>
      <c r="AT67" s="4">
        <f t="shared" si="30"/>
        <v>115</v>
      </c>
    </row>
    <row r="68" ht="15.75" customHeight="1">
      <c r="A68" s="4" t="s">
        <v>215</v>
      </c>
      <c r="B68" s="4" t="s">
        <v>216</v>
      </c>
      <c r="C68" s="4" t="s">
        <v>66</v>
      </c>
      <c r="D68" s="6" t="s">
        <v>77</v>
      </c>
      <c r="E68" s="4" t="s">
        <v>98</v>
      </c>
      <c r="F68" s="4">
        <v>250000.0</v>
      </c>
      <c r="G68" s="4">
        <v>232378.0</v>
      </c>
      <c r="H68" s="4">
        <v>17622.0</v>
      </c>
      <c r="I68" s="4">
        <v>7.0488</v>
      </c>
      <c r="J68" s="4">
        <v>57.0</v>
      </c>
      <c r="K68" s="4"/>
      <c r="L68" s="4"/>
      <c r="M68" s="4">
        <v>0.0</v>
      </c>
      <c r="N68" s="4">
        <v>7.0</v>
      </c>
      <c r="O68" s="4">
        <f t="array" ref="O68">IFERROR(INDEX(Data!$AB$2:$AB$81,MATCH(A68,Data!$A$2:$A$81,0)),1)</f>
        <v>1</v>
      </c>
      <c r="P68" s="4" t="str">
        <f t="shared" si="1"/>
        <v>#N/A</v>
      </c>
      <c r="Q68" s="4" t="str">
        <f t="shared" si="2"/>
        <v>#N/A</v>
      </c>
      <c r="R68" s="4" t="str">
        <f t="shared" si="3"/>
        <v/>
      </c>
      <c r="S68" s="4">
        <f t="shared" si="4"/>
        <v>7.0488</v>
      </c>
      <c r="T68" s="4">
        <f t="shared" si="5"/>
        <v>250000</v>
      </c>
      <c r="U68" s="4">
        <f t="shared" si="6"/>
        <v>0</v>
      </c>
      <c r="V68" s="4">
        <f t="shared" si="7"/>
        <v>7</v>
      </c>
      <c r="W68" s="4" t="str">
        <f t="shared" si="8"/>
        <v>#N/A</v>
      </c>
      <c r="X68" s="4" t="str">
        <f t="shared" si="9"/>
        <v>#N/A</v>
      </c>
      <c r="Y68" s="4" t="str">
        <f t="shared" si="10"/>
        <v>#N/A</v>
      </c>
      <c r="Z68" s="4" t="str">
        <f t="shared" si="11"/>
        <v>#N/A</v>
      </c>
      <c r="AA68" s="4" t="str">
        <f t="shared" si="12"/>
        <v>#N/A</v>
      </c>
      <c r="AB68" s="4" t="str">
        <f t="shared" si="13"/>
        <v>#N/A</v>
      </c>
      <c r="AC68" s="4" t="str">
        <f t="shared" si="14"/>
        <v>#N/A</v>
      </c>
      <c r="AD68" s="4" t="str">
        <f t="shared" si="15"/>
        <v>#N/A</v>
      </c>
      <c r="AE68" s="4" t="str">
        <f t="shared" si="16"/>
        <v>#N/A</v>
      </c>
      <c r="AF68" s="4"/>
      <c r="AG68" s="4">
        <f t="shared" si="17"/>
        <v>250000</v>
      </c>
      <c r="AH68" s="4">
        <f t="shared" si="18"/>
        <v>0</v>
      </c>
      <c r="AI68" s="4">
        <f t="shared" si="19"/>
        <v>7</v>
      </c>
      <c r="AJ68" s="4" t="str">
        <f t="shared" si="20"/>
        <v>#N/A</v>
      </c>
      <c r="AK68" s="4" t="str">
        <f t="shared" si="21"/>
        <v>#N/A</v>
      </c>
      <c r="AL68" s="4" t="str">
        <f t="shared" si="22"/>
        <v>#N/A</v>
      </c>
      <c r="AM68" s="4" t="str">
        <f t="shared" si="23"/>
        <v>#N/A</v>
      </c>
      <c r="AN68" s="4" t="str">
        <f t="shared" si="24"/>
        <v>#N/A</v>
      </c>
      <c r="AO68" s="4" t="str">
        <f t="shared" si="25"/>
        <v>#N/A</v>
      </c>
      <c r="AP68" s="4" t="str">
        <f t="shared" si="26"/>
        <v>#N/A</v>
      </c>
      <c r="AQ68" s="4" t="str">
        <f t="shared" si="27"/>
        <v>#N/A</v>
      </c>
      <c r="AR68" s="4" t="str">
        <f t="shared" si="28"/>
        <v>#N/A</v>
      </c>
      <c r="AS68" s="4">
        <f t="shared" si="29"/>
        <v>57</v>
      </c>
      <c r="AT68" s="4" t="str">
        <f t="shared" si="30"/>
        <v>#N/A</v>
      </c>
    </row>
    <row r="69" ht="15.75" customHeight="1">
      <c r="A69" s="4" t="s">
        <v>217</v>
      </c>
      <c r="B69" s="4" t="s">
        <v>218</v>
      </c>
      <c r="C69" s="4" t="s">
        <v>101</v>
      </c>
      <c r="D69" s="9" t="s">
        <v>92</v>
      </c>
      <c r="E69" s="4" t="s">
        <v>74</v>
      </c>
      <c r="F69" s="4">
        <v>100000.0</v>
      </c>
      <c r="G69" s="4">
        <v>40910.0</v>
      </c>
      <c r="H69" s="4">
        <v>59090.0</v>
      </c>
      <c r="I69" s="4">
        <v>59.09</v>
      </c>
      <c r="J69" s="4">
        <v>37.0</v>
      </c>
      <c r="K69" s="4">
        <v>40.0</v>
      </c>
      <c r="L69" s="4">
        <v>3.0</v>
      </c>
      <c r="M69" s="4">
        <v>0.0</v>
      </c>
      <c r="N69" s="4">
        <v>9.0</v>
      </c>
      <c r="O69" s="4">
        <f t="array" ref="O69">IFERROR(INDEX(Data!$AB$2:$AB$81,MATCH(A69,Data!$A$2:$A$81,0)),1)</f>
        <v>1</v>
      </c>
      <c r="P69" s="4" t="str">
        <f t="shared" si="1"/>
        <v>#N/A</v>
      </c>
      <c r="Q69" s="4" t="str">
        <f t="shared" si="2"/>
        <v>#N/A</v>
      </c>
      <c r="R69" s="4">
        <f t="shared" si="3"/>
        <v>3</v>
      </c>
      <c r="S69" s="4">
        <f t="shared" si="4"/>
        <v>59.09</v>
      </c>
      <c r="T69" s="4" t="str">
        <f t="shared" si="5"/>
        <v>#N/A</v>
      </c>
      <c r="U69" s="4" t="str">
        <f t="shared" si="6"/>
        <v>#N/A</v>
      </c>
      <c r="V69" s="4" t="str">
        <f t="shared" si="7"/>
        <v>#N/A</v>
      </c>
      <c r="W69" s="4" t="str">
        <f t="shared" si="8"/>
        <v>#N/A</v>
      </c>
      <c r="X69" s="4" t="str">
        <f t="shared" si="9"/>
        <v>#N/A</v>
      </c>
      <c r="Y69" s="4" t="str">
        <f t="shared" si="10"/>
        <v>#N/A</v>
      </c>
      <c r="Z69" s="4" t="str">
        <f t="shared" si="11"/>
        <v>#N/A</v>
      </c>
      <c r="AA69" s="4" t="str">
        <f t="shared" si="12"/>
        <v>#N/A</v>
      </c>
      <c r="AB69" s="4" t="str">
        <f t="shared" si="13"/>
        <v>#N/A</v>
      </c>
      <c r="AC69" s="4">
        <f t="shared" si="14"/>
        <v>100000</v>
      </c>
      <c r="AD69" s="4">
        <f t="shared" si="15"/>
        <v>0</v>
      </c>
      <c r="AE69" s="4">
        <f t="shared" si="16"/>
        <v>9</v>
      </c>
      <c r="AF69" s="4"/>
      <c r="AG69" s="4" t="str">
        <f t="shared" si="17"/>
        <v>#N/A</v>
      </c>
      <c r="AH69" s="4" t="str">
        <f t="shared" si="18"/>
        <v>#N/A</v>
      </c>
      <c r="AI69" s="4" t="str">
        <f t="shared" si="19"/>
        <v>#N/A</v>
      </c>
      <c r="AJ69" s="4" t="str">
        <f t="shared" si="20"/>
        <v>#N/A</v>
      </c>
      <c r="AK69" s="4" t="str">
        <f t="shared" si="21"/>
        <v>#N/A</v>
      </c>
      <c r="AL69" s="4" t="str">
        <f t="shared" si="22"/>
        <v>#N/A</v>
      </c>
      <c r="AM69" s="4" t="str">
        <f t="shared" si="23"/>
        <v>#N/A</v>
      </c>
      <c r="AN69" s="4" t="str">
        <f t="shared" si="24"/>
        <v>#N/A</v>
      </c>
      <c r="AO69" s="4" t="str">
        <f t="shared" si="25"/>
        <v>#N/A</v>
      </c>
      <c r="AP69" s="4">
        <f t="shared" si="26"/>
        <v>100000</v>
      </c>
      <c r="AQ69" s="4">
        <f t="shared" si="27"/>
        <v>0</v>
      </c>
      <c r="AR69" s="4">
        <f t="shared" si="28"/>
        <v>9</v>
      </c>
      <c r="AS69" s="4">
        <f t="shared" si="29"/>
        <v>37</v>
      </c>
      <c r="AT69" s="4">
        <f t="shared" si="30"/>
        <v>40</v>
      </c>
    </row>
    <row r="70" ht="15.75" customHeight="1">
      <c r="A70" s="4" t="s">
        <v>219</v>
      </c>
      <c r="B70" s="4" t="s">
        <v>220</v>
      </c>
      <c r="C70" s="4" t="s">
        <v>88</v>
      </c>
      <c r="D70" s="6" t="s">
        <v>67</v>
      </c>
      <c r="E70" s="4" t="s">
        <v>68</v>
      </c>
      <c r="F70" s="4">
        <v>100000.0</v>
      </c>
      <c r="G70" s="4">
        <v>39858.0</v>
      </c>
      <c r="H70" s="4">
        <v>60142.0</v>
      </c>
      <c r="I70" s="4">
        <v>60.142</v>
      </c>
      <c r="J70" s="4">
        <v>172.0</v>
      </c>
      <c r="K70" s="4"/>
      <c r="L70" s="4"/>
      <c r="M70" s="4">
        <v>0.0</v>
      </c>
      <c r="N70" s="4">
        <v>3.0</v>
      </c>
      <c r="O70" s="4">
        <f t="array" ref="O70">IFERROR(INDEX(Data!$AB$2:$AB$81,MATCH(A70,Data!$A$2:$A$81,0)),1)</f>
        <v>1</v>
      </c>
      <c r="P70" s="4" t="str">
        <f t="shared" si="1"/>
        <v>#N/A</v>
      </c>
      <c r="Q70" s="4" t="str">
        <f t="shared" si="2"/>
        <v>#N/A</v>
      </c>
      <c r="R70" s="4" t="str">
        <f t="shared" si="3"/>
        <v/>
      </c>
      <c r="S70" s="4">
        <f t="shared" si="4"/>
        <v>60.142</v>
      </c>
      <c r="T70" s="4" t="str">
        <f t="shared" si="5"/>
        <v>#N/A</v>
      </c>
      <c r="U70" s="4" t="str">
        <f t="shared" si="6"/>
        <v>#N/A</v>
      </c>
      <c r="V70" s="4" t="str">
        <f t="shared" si="7"/>
        <v>#N/A</v>
      </c>
      <c r="W70" s="4" t="str">
        <f t="shared" si="8"/>
        <v>#N/A</v>
      </c>
      <c r="X70" s="4" t="str">
        <f t="shared" si="9"/>
        <v>#N/A</v>
      </c>
      <c r="Y70" s="4" t="str">
        <f t="shared" si="10"/>
        <v>#N/A</v>
      </c>
      <c r="Z70" s="4">
        <f t="shared" si="11"/>
        <v>100000</v>
      </c>
      <c r="AA70" s="4">
        <f t="shared" si="12"/>
        <v>0</v>
      </c>
      <c r="AB70" s="4">
        <f t="shared" si="13"/>
        <v>3</v>
      </c>
      <c r="AC70" s="4" t="str">
        <f t="shared" si="14"/>
        <v>#N/A</v>
      </c>
      <c r="AD70" s="4" t="str">
        <f t="shared" si="15"/>
        <v>#N/A</v>
      </c>
      <c r="AE70" s="4" t="str">
        <f t="shared" si="16"/>
        <v>#N/A</v>
      </c>
      <c r="AF70" s="4"/>
      <c r="AG70" s="4" t="str">
        <f t="shared" si="17"/>
        <v>#N/A</v>
      </c>
      <c r="AH70" s="4" t="str">
        <f t="shared" si="18"/>
        <v>#N/A</v>
      </c>
      <c r="AI70" s="4" t="str">
        <f t="shared" si="19"/>
        <v>#N/A</v>
      </c>
      <c r="AJ70" s="4" t="str">
        <f t="shared" si="20"/>
        <v>#N/A</v>
      </c>
      <c r="AK70" s="4" t="str">
        <f t="shared" si="21"/>
        <v>#N/A</v>
      </c>
      <c r="AL70" s="4" t="str">
        <f t="shared" si="22"/>
        <v>#N/A</v>
      </c>
      <c r="AM70" s="4">
        <f t="shared" si="23"/>
        <v>100000</v>
      </c>
      <c r="AN70" s="4">
        <f t="shared" si="24"/>
        <v>0</v>
      </c>
      <c r="AO70" s="4">
        <f t="shared" si="25"/>
        <v>3</v>
      </c>
      <c r="AP70" s="4" t="str">
        <f t="shared" si="26"/>
        <v>#N/A</v>
      </c>
      <c r="AQ70" s="4" t="str">
        <f t="shared" si="27"/>
        <v>#N/A</v>
      </c>
      <c r="AR70" s="4" t="str">
        <f t="shared" si="28"/>
        <v>#N/A</v>
      </c>
      <c r="AS70" s="4">
        <f t="shared" si="29"/>
        <v>172</v>
      </c>
      <c r="AT70" s="4" t="str">
        <f t="shared" si="30"/>
        <v>#N/A</v>
      </c>
    </row>
    <row r="71" ht="15.75" customHeight="1">
      <c r="A71" s="4" t="s">
        <v>221</v>
      </c>
      <c r="B71" s="4" t="s">
        <v>222</v>
      </c>
      <c r="C71" s="4" t="s">
        <v>66</v>
      </c>
      <c r="D71" s="8" t="s">
        <v>73</v>
      </c>
      <c r="E71" s="4" t="s">
        <v>98</v>
      </c>
      <c r="F71" s="4">
        <v>100000.0</v>
      </c>
      <c r="G71" s="4">
        <v>63012.0</v>
      </c>
      <c r="H71" s="4">
        <v>36988.0</v>
      </c>
      <c r="I71" s="4">
        <v>36.988</v>
      </c>
      <c r="J71" s="4">
        <v>118.0</v>
      </c>
      <c r="K71" s="4"/>
      <c r="L71" s="4"/>
      <c r="M71" s="4">
        <v>0.0</v>
      </c>
      <c r="N71" s="4">
        <v>13.0</v>
      </c>
      <c r="O71" s="4">
        <f t="array" ref="O71">IFERROR(INDEX(Data!$AB$2:$AB$81,MATCH(A71,Data!$A$2:$A$81,0)),1)</f>
        <v>1</v>
      </c>
      <c r="P71" s="4" t="str">
        <f t="shared" si="1"/>
        <v>#N/A</v>
      </c>
      <c r="Q71" s="4" t="str">
        <f t="shared" si="2"/>
        <v>#N/A</v>
      </c>
      <c r="R71" s="4" t="str">
        <f t="shared" si="3"/>
        <v/>
      </c>
      <c r="S71" s="4">
        <f t="shared" si="4"/>
        <v>36.988</v>
      </c>
      <c r="T71" s="4">
        <f t="shared" si="5"/>
        <v>100000</v>
      </c>
      <c r="U71" s="4">
        <f t="shared" si="6"/>
        <v>0</v>
      </c>
      <c r="V71" s="4">
        <f t="shared" si="7"/>
        <v>13</v>
      </c>
      <c r="W71" s="4" t="str">
        <f t="shared" si="8"/>
        <v>#N/A</v>
      </c>
      <c r="X71" s="4" t="str">
        <f t="shared" si="9"/>
        <v>#N/A</v>
      </c>
      <c r="Y71" s="4" t="str">
        <f t="shared" si="10"/>
        <v>#N/A</v>
      </c>
      <c r="Z71" s="4" t="str">
        <f t="shared" si="11"/>
        <v>#N/A</v>
      </c>
      <c r="AA71" s="4" t="str">
        <f t="shared" si="12"/>
        <v>#N/A</v>
      </c>
      <c r="AB71" s="4" t="str">
        <f t="shared" si="13"/>
        <v>#N/A</v>
      </c>
      <c r="AC71" s="4" t="str">
        <f t="shared" si="14"/>
        <v>#N/A</v>
      </c>
      <c r="AD71" s="4" t="str">
        <f t="shared" si="15"/>
        <v>#N/A</v>
      </c>
      <c r="AE71" s="4" t="str">
        <f t="shared" si="16"/>
        <v>#N/A</v>
      </c>
      <c r="AF71" s="4"/>
      <c r="AG71" s="4">
        <f t="shared" si="17"/>
        <v>100000</v>
      </c>
      <c r="AH71" s="4">
        <f t="shared" si="18"/>
        <v>0</v>
      </c>
      <c r="AI71" s="4">
        <f t="shared" si="19"/>
        <v>13</v>
      </c>
      <c r="AJ71" s="4" t="str">
        <f t="shared" si="20"/>
        <v>#N/A</v>
      </c>
      <c r="AK71" s="4" t="str">
        <f t="shared" si="21"/>
        <v>#N/A</v>
      </c>
      <c r="AL71" s="4" t="str">
        <f t="shared" si="22"/>
        <v>#N/A</v>
      </c>
      <c r="AM71" s="4" t="str">
        <f t="shared" si="23"/>
        <v>#N/A</v>
      </c>
      <c r="AN71" s="4" t="str">
        <f t="shared" si="24"/>
        <v>#N/A</v>
      </c>
      <c r="AO71" s="4" t="str">
        <f t="shared" si="25"/>
        <v>#N/A</v>
      </c>
      <c r="AP71" s="4" t="str">
        <f t="shared" si="26"/>
        <v>#N/A</v>
      </c>
      <c r="AQ71" s="4" t="str">
        <f t="shared" si="27"/>
        <v>#N/A</v>
      </c>
      <c r="AR71" s="4" t="str">
        <f t="shared" si="28"/>
        <v>#N/A</v>
      </c>
      <c r="AS71" s="4">
        <f t="shared" si="29"/>
        <v>118</v>
      </c>
      <c r="AT71" s="4" t="str">
        <f t="shared" si="30"/>
        <v>#N/A</v>
      </c>
    </row>
    <row r="72" ht="15.75" customHeight="1">
      <c r="A72" s="4" t="s">
        <v>223</v>
      </c>
      <c r="B72" s="4" t="s">
        <v>224</v>
      </c>
      <c r="C72" s="4" t="s">
        <v>88</v>
      </c>
      <c r="D72" s="6" t="s">
        <v>81</v>
      </c>
      <c r="E72" s="4" t="s">
        <v>95</v>
      </c>
      <c r="F72" s="4">
        <v>50000.0</v>
      </c>
      <c r="G72" s="4">
        <v>22254.0</v>
      </c>
      <c r="H72" s="4">
        <v>27746.0</v>
      </c>
      <c r="I72" s="4">
        <v>55.492</v>
      </c>
      <c r="J72" s="4">
        <v>79.0</v>
      </c>
      <c r="K72" s="4"/>
      <c r="L72" s="4"/>
      <c r="M72" s="4">
        <v>0.0</v>
      </c>
      <c r="N72" s="4">
        <v>15.0</v>
      </c>
      <c r="O72" s="4">
        <f t="array" ref="O72">IFERROR(INDEX(Data!$AB$2:$AB$81,MATCH(A72,Data!$A$2:$A$81,0)),1)</f>
        <v>1</v>
      </c>
      <c r="P72" s="4" t="str">
        <f t="shared" si="1"/>
        <v>#N/A</v>
      </c>
      <c r="Q72" s="4" t="str">
        <f t="shared" si="2"/>
        <v>#N/A</v>
      </c>
      <c r="R72" s="4" t="str">
        <f t="shared" si="3"/>
        <v/>
      </c>
      <c r="S72" s="4">
        <f t="shared" si="4"/>
        <v>55.492</v>
      </c>
      <c r="T72" s="4" t="str">
        <f t="shared" si="5"/>
        <v>#N/A</v>
      </c>
      <c r="U72" s="4" t="str">
        <f t="shared" si="6"/>
        <v>#N/A</v>
      </c>
      <c r="V72" s="4" t="str">
        <f t="shared" si="7"/>
        <v>#N/A</v>
      </c>
      <c r="W72" s="4">
        <f t="shared" si="8"/>
        <v>50000</v>
      </c>
      <c r="X72" s="4">
        <f t="shared" si="9"/>
        <v>0</v>
      </c>
      <c r="Y72" s="4">
        <f t="shared" si="10"/>
        <v>15</v>
      </c>
      <c r="Z72" s="4" t="str">
        <f t="shared" si="11"/>
        <v>#N/A</v>
      </c>
      <c r="AA72" s="4" t="str">
        <f t="shared" si="12"/>
        <v>#N/A</v>
      </c>
      <c r="AB72" s="4" t="str">
        <f t="shared" si="13"/>
        <v>#N/A</v>
      </c>
      <c r="AC72" s="4" t="str">
        <f t="shared" si="14"/>
        <v>#N/A</v>
      </c>
      <c r="AD72" s="4" t="str">
        <f t="shared" si="15"/>
        <v>#N/A</v>
      </c>
      <c r="AE72" s="4" t="str">
        <f t="shared" si="16"/>
        <v>#N/A</v>
      </c>
      <c r="AF72" s="4"/>
      <c r="AG72" s="4" t="str">
        <f t="shared" si="17"/>
        <v>#N/A</v>
      </c>
      <c r="AH72" s="4" t="str">
        <f t="shared" si="18"/>
        <v>#N/A</v>
      </c>
      <c r="AI72" s="4" t="str">
        <f t="shared" si="19"/>
        <v>#N/A</v>
      </c>
      <c r="AJ72" s="4">
        <f t="shared" si="20"/>
        <v>50000</v>
      </c>
      <c r="AK72" s="4">
        <f t="shared" si="21"/>
        <v>0</v>
      </c>
      <c r="AL72" s="4">
        <f t="shared" si="22"/>
        <v>15</v>
      </c>
      <c r="AM72" s="4" t="str">
        <f t="shared" si="23"/>
        <v>#N/A</v>
      </c>
      <c r="AN72" s="4" t="str">
        <f t="shared" si="24"/>
        <v>#N/A</v>
      </c>
      <c r="AO72" s="4" t="str">
        <f t="shared" si="25"/>
        <v>#N/A</v>
      </c>
      <c r="AP72" s="4" t="str">
        <f t="shared" si="26"/>
        <v>#N/A</v>
      </c>
      <c r="AQ72" s="4" t="str">
        <f t="shared" si="27"/>
        <v>#N/A</v>
      </c>
      <c r="AR72" s="4" t="str">
        <f t="shared" si="28"/>
        <v>#N/A</v>
      </c>
      <c r="AS72" s="4">
        <f t="shared" si="29"/>
        <v>79</v>
      </c>
      <c r="AT72" s="4" t="str">
        <f t="shared" si="30"/>
        <v>#N/A</v>
      </c>
    </row>
    <row r="73" ht="15.75" customHeight="1">
      <c r="A73" s="4" t="s">
        <v>225</v>
      </c>
      <c r="B73" s="4" t="s">
        <v>226</v>
      </c>
      <c r="C73" s="4" t="s">
        <v>66</v>
      </c>
      <c r="D73" s="9" t="s">
        <v>92</v>
      </c>
      <c r="E73" s="4" t="s">
        <v>98</v>
      </c>
      <c r="F73" s="4">
        <v>1000000.0</v>
      </c>
      <c r="G73" s="4">
        <v>689752.0</v>
      </c>
      <c r="H73" s="4">
        <v>310248.0</v>
      </c>
      <c r="I73" s="4">
        <v>31.0248</v>
      </c>
      <c r="J73" s="4">
        <v>47.0</v>
      </c>
      <c r="K73" s="4">
        <v>45.0</v>
      </c>
      <c r="L73" s="4">
        <v>-2.0</v>
      </c>
      <c r="M73" s="4">
        <v>1.0</v>
      </c>
      <c r="N73" s="4">
        <v>8.0</v>
      </c>
      <c r="O73" s="4">
        <f t="array" ref="O73">IFERROR(INDEX(Data!$AB$2:$AB$81,MATCH(A73,Data!$A$2:$A$81,0)),1)</f>
        <v>1</v>
      </c>
      <c r="P73" s="4">
        <f t="shared" si="1"/>
        <v>-2</v>
      </c>
      <c r="Q73" s="4">
        <f t="shared" si="2"/>
        <v>31.0248</v>
      </c>
      <c r="R73" s="4" t="str">
        <f t="shared" si="3"/>
        <v>#N/A</v>
      </c>
      <c r="S73" s="4" t="str">
        <f t="shared" si="4"/>
        <v>#N/A</v>
      </c>
      <c r="T73" s="4">
        <f t="shared" si="5"/>
        <v>1000000</v>
      </c>
      <c r="U73" s="4">
        <f t="shared" si="6"/>
        <v>1</v>
      </c>
      <c r="V73" s="4">
        <f t="shared" si="7"/>
        <v>8</v>
      </c>
      <c r="W73" s="4" t="str">
        <f t="shared" si="8"/>
        <v>#N/A</v>
      </c>
      <c r="X73" s="4" t="str">
        <f t="shared" si="9"/>
        <v>#N/A</v>
      </c>
      <c r="Y73" s="4" t="str">
        <f t="shared" si="10"/>
        <v>#N/A</v>
      </c>
      <c r="Z73" s="4" t="str">
        <f t="shared" si="11"/>
        <v>#N/A</v>
      </c>
      <c r="AA73" s="4" t="str">
        <f t="shared" si="12"/>
        <v>#N/A</v>
      </c>
      <c r="AB73" s="4" t="str">
        <f t="shared" si="13"/>
        <v>#N/A</v>
      </c>
      <c r="AC73" s="4" t="str">
        <f t="shared" si="14"/>
        <v>#N/A</v>
      </c>
      <c r="AD73" s="4" t="str">
        <f t="shared" si="15"/>
        <v>#N/A</v>
      </c>
      <c r="AE73" s="4" t="str">
        <f t="shared" si="16"/>
        <v>#N/A</v>
      </c>
      <c r="AF73" s="4"/>
      <c r="AG73" s="4">
        <f t="shared" si="17"/>
        <v>1000000</v>
      </c>
      <c r="AH73" s="4">
        <f t="shared" si="18"/>
        <v>1</v>
      </c>
      <c r="AI73" s="4">
        <f t="shared" si="19"/>
        <v>8</v>
      </c>
      <c r="AJ73" s="4" t="str">
        <f t="shared" si="20"/>
        <v>#N/A</v>
      </c>
      <c r="AK73" s="4" t="str">
        <f t="shared" si="21"/>
        <v>#N/A</v>
      </c>
      <c r="AL73" s="4" t="str">
        <f t="shared" si="22"/>
        <v>#N/A</v>
      </c>
      <c r="AM73" s="4" t="str">
        <f t="shared" si="23"/>
        <v>#N/A</v>
      </c>
      <c r="AN73" s="4" t="str">
        <f t="shared" si="24"/>
        <v>#N/A</v>
      </c>
      <c r="AO73" s="4" t="str">
        <f t="shared" si="25"/>
        <v>#N/A</v>
      </c>
      <c r="AP73" s="4" t="str">
        <f t="shared" si="26"/>
        <v>#N/A</v>
      </c>
      <c r="AQ73" s="4" t="str">
        <f t="shared" si="27"/>
        <v>#N/A</v>
      </c>
      <c r="AR73" s="4" t="str">
        <f t="shared" si="28"/>
        <v>#N/A</v>
      </c>
      <c r="AS73" s="4">
        <f t="shared" si="29"/>
        <v>47</v>
      </c>
      <c r="AT73" s="4">
        <f t="shared" si="30"/>
        <v>45</v>
      </c>
    </row>
    <row r="74" ht="15.75" customHeight="1">
      <c r="A74" s="4" t="s">
        <v>227</v>
      </c>
      <c r="B74" s="4" t="s">
        <v>228</v>
      </c>
      <c r="C74" s="4" t="s">
        <v>88</v>
      </c>
      <c r="D74" s="6" t="s">
        <v>77</v>
      </c>
      <c r="E74" s="4" t="s">
        <v>68</v>
      </c>
      <c r="F74" s="4">
        <v>250000.0</v>
      </c>
      <c r="G74" s="4">
        <v>172172.0</v>
      </c>
      <c r="H74" s="4">
        <v>77828.0</v>
      </c>
      <c r="I74" s="4">
        <v>31.1312</v>
      </c>
      <c r="J74" s="4">
        <v>79.0</v>
      </c>
      <c r="K74" s="4"/>
      <c r="L74" s="4"/>
      <c r="M74" s="4">
        <v>0.0</v>
      </c>
      <c r="N74" s="4">
        <v>8.0</v>
      </c>
      <c r="O74" s="4">
        <f t="array" ref="O74">IFERROR(INDEX(Data!$AB$2:$AB$81,MATCH(A74,Data!$A$2:$A$81,0)),1)</f>
        <v>1</v>
      </c>
      <c r="P74" s="4" t="str">
        <f t="shared" si="1"/>
        <v>#N/A</v>
      </c>
      <c r="Q74" s="4" t="str">
        <f t="shared" si="2"/>
        <v>#N/A</v>
      </c>
      <c r="R74" s="4" t="str">
        <f t="shared" si="3"/>
        <v/>
      </c>
      <c r="S74" s="4">
        <f t="shared" si="4"/>
        <v>31.1312</v>
      </c>
      <c r="T74" s="4" t="str">
        <f t="shared" si="5"/>
        <v>#N/A</v>
      </c>
      <c r="U74" s="4" t="str">
        <f t="shared" si="6"/>
        <v>#N/A</v>
      </c>
      <c r="V74" s="4" t="str">
        <f t="shared" si="7"/>
        <v>#N/A</v>
      </c>
      <c r="W74" s="4" t="str">
        <f t="shared" si="8"/>
        <v>#N/A</v>
      </c>
      <c r="X74" s="4" t="str">
        <f t="shared" si="9"/>
        <v>#N/A</v>
      </c>
      <c r="Y74" s="4" t="str">
        <f t="shared" si="10"/>
        <v>#N/A</v>
      </c>
      <c r="Z74" s="4">
        <f t="shared" si="11"/>
        <v>250000</v>
      </c>
      <c r="AA74" s="4">
        <f t="shared" si="12"/>
        <v>0</v>
      </c>
      <c r="AB74" s="4">
        <f t="shared" si="13"/>
        <v>8</v>
      </c>
      <c r="AC74" s="4" t="str">
        <f t="shared" si="14"/>
        <v>#N/A</v>
      </c>
      <c r="AD74" s="4" t="str">
        <f t="shared" si="15"/>
        <v>#N/A</v>
      </c>
      <c r="AE74" s="4" t="str">
        <f t="shared" si="16"/>
        <v>#N/A</v>
      </c>
      <c r="AF74" s="4"/>
      <c r="AG74" s="4" t="str">
        <f t="shared" si="17"/>
        <v>#N/A</v>
      </c>
      <c r="AH74" s="4" t="str">
        <f t="shared" si="18"/>
        <v>#N/A</v>
      </c>
      <c r="AI74" s="4" t="str">
        <f t="shared" si="19"/>
        <v>#N/A</v>
      </c>
      <c r="AJ74" s="4" t="str">
        <f t="shared" si="20"/>
        <v>#N/A</v>
      </c>
      <c r="AK74" s="4" t="str">
        <f t="shared" si="21"/>
        <v>#N/A</v>
      </c>
      <c r="AL74" s="4" t="str">
        <f t="shared" si="22"/>
        <v>#N/A</v>
      </c>
      <c r="AM74" s="4">
        <f t="shared" si="23"/>
        <v>250000</v>
      </c>
      <c r="AN74" s="4">
        <f t="shared" si="24"/>
        <v>0</v>
      </c>
      <c r="AO74" s="4">
        <f t="shared" si="25"/>
        <v>8</v>
      </c>
      <c r="AP74" s="4" t="str">
        <f t="shared" si="26"/>
        <v>#N/A</v>
      </c>
      <c r="AQ74" s="4" t="str">
        <f t="shared" si="27"/>
        <v>#N/A</v>
      </c>
      <c r="AR74" s="4" t="str">
        <f t="shared" si="28"/>
        <v>#N/A</v>
      </c>
      <c r="AS74" s="4">
        <f t="shared" si="29"/>
        <v>79</v>
      </c>
      <c r="AT74" s="4" t="str">
        <f t="shared" si="30"/>
        <v>#N/A</v>
      </c>
    </row>
    <row r="75" ht="15.75" customHeight="1">
      <c r="A75" s="4" t="s">
        <v>229</v>
      </c>
      <c r="B75" s="4" t="s">
        <v>230</v>
      </c>
      <c r="C75" s="4" t="s">
        <v>66</v>
      </c>
      <c r="D75" s="6" t="s">
        <v>81</v>
      </c>
      <c r="E75" s="4" t="s">
        <v>68</v>
      </c>
      <c r="F75" s="4">
        <v>50000.0</v>
      </c>
      <c r="G75" s="4">
        <v>27528.0</v>
      </c>
      <c r="H75" s="4">
        <v>22472.0</v>
      </c>
      <c r="I75" s="4">
        <v>44.944</v>
      </c>
      <c r="J75" s="4">
        <v>73.0</v>
      </c>
      <c r="K75" s="4"/>
      <c r="L75" s="4"/>
      <c r="M75" s="4">
        <v>0.0</v>
      </c>
      <c r="N75" s="4">
        <v>15.0</v>
      </c>
      <c r="O75" s="4">
        <f t="array" ref="O75">IFERROR(INDEX(Data!$AB$2:$AB$81,MATCH(A75,Data!$A$2:$A$81,0)),1)</f>
        <v>1</v>
      </c>
      <c r="P75" s="4" t="str">
        <f t="shared" si="1"/>
        <v>#N/A</v>
      </c>
      <c r="Q75" s="4" t="str">
        <f t="shared" si="2"/>
        <v>#N/A</v>
      </c>
      <c r="R75" s="4" t="str">
        <f t="shared" si="3"/>
        <v/>
      </c>
      <c r="S75" s="4">
        <f t="shared" si="4"/>
        <v>44.944</v>
      </c>
      <c r="T75" s="4" t="str">
        <f t="shared" si="5"/>
        <v>#N/A</v>
      </c>
      <c r="U75" s="4" t="str">
        <f t="shared" si="6"/>
        <v>#N/A</v>
      </c>
      <c r="V75" s="4" t="str">
        <f t="shared" si="7"/>
        <v>#N/A</v>
      </c>
      <c r="W75" s="4" t="str">
        <f t="shared" si="8"/>
        <v>#N/A</v>
      </c>
      <c r="X75" s="4" t="str">
        <f t="shared" si="9"/>
        <v>#N/A</v>
      </c>
      <c r="Y75" s="4" t="str">
        <f t="shared" si="10"/>
        <v>#N/A</v>
      </c>
      <c r="Z75" s="4">
        <f t="shared" si="11"/>
        <v>50000</v>
      </c>
      <c r="AA75" s="4">
        <f t="shared" si="12"/>
        <v>0</v>
      </c>
      <c r="AB75" s="4">
        <f t="shared" si="13"/>
        <v>15</v>
      </c>
      <c r="AC75" s="4" t="str">
        <f t="shared" si="14"/>
        <v>#N/A</v>
      </c>
      <c r="AD75" s="4" t="str">
        <f t="shared" si="15"/>
        <v>#N/A</v>
      </c>
      <c r="AE75" s="4" t="str">
        <f t="shared" si="16"/>
        <v>#N/A</v>
      </c>
      <c r="AF75" s="4"/>
      <c r="AG75" s="4" t="str">
        <f t="shared" si="17"/>
        <v>#N/A</v>
      </c>
      <c r="AH75" s="4" t="str">
        <f t="shared" si="18"/>
        <v>#N/A</v>
      </c>
      <c r="AI75" s="4" t="str">
        <f t="shared" si="19"/>
        <v>#N/A</v>
      </c>
      <c r="AJ75" s="4" t="str">
        <f t="shared" si="20"/>
        <v>#N/A</v>
      </c>
      <c r="AK75" s="4" t="str">
        <f t="shared" si="21"/>
        <v>#N/A</v>
      </c>
      <c r="AL75" s="4" t="str">
        <f t="shared" si="22"/>
        <v>#N/A</v>
      </c>
      <c r="AM75" s="4">
        <f t="shared" si="23"/>
        <v>50000</v>
      </c>
      <c r="AN75" s="4">
        <f t="shared" si="24"/>
        <v>0</v>
      </c>
      <c r="AO75" s="4">
        <f t="shared" si="25"/>
        <v>15</v>
      </c>
      <c r="AP75" s="4" t="str">
        <f t="shared" si="26"/>
        <v>#N/A</v>
      </c>
      <c r="AQ75" s="4" t="str">
        <f t="shared" si="27"/>
        <v>#N/A</v>
      </c>
      <c r="AR75" s="4" t="str">
        <f t="shared" si="28"/>
        <v>#N/A</v>
      </c>
      <c r="AS75" s="4">
        <f t="shared" si="29"/>
        <v>73</v>
      </c>
      <c r="AT75" s="4" t="str">
        <f t="shared" si="30"/>
        <v>#N/A</v>
      </c>
    </row>
    <row r="76" ht="15.75" customHeight="1">
      <c r="A76" s="4" t="s">
        <v>231</v>
      </c>
      <c r="B76" s="4" t="s">
        <v>232</v>
      </c>
      <c r="C76" s="4" t="s">
        <v>101</v>
      </c>
      <c r="D76" s="6" t="s">
        <v>67</v>
      </c>
      <c r="E76" s="4" t="s">
        <v>95</v>
      </c>
      <c r="F76" s="4">
        <v>500000.0</v>
      </c>
      <c r="G76" s="4">
        <v>293496.0</v>
      </c>
      <c r="H76" s="4">
        <v>206504.0</v>
      </c>
      <c r="I76" s="4">
        <v>41.3008</v>
      </c>
      <c r="J76" s="4">
        <v>148.0</v>
      </c>
      <c r="K76" s="4"/>
      <c r="L76" s="4"/>
      <c r="M76" s="4">
        <v>0.0</v>
      </c>
      <c r="N76" s="4">
        <v>7.0</v>
      </c>
      <c r="O76" s="4">
        <f t="array" ref="O76">IFERROR(INDEX(Data!$AB$2:$AB$81,MATCH(A76,Data!$A$2:$A$81,0)),1)</f>
        <v>1</v>
      </c>
      <c r="P76" s="4" t="str">
        <f t="shared" si="1"/>
        <v>#N/A</v>
      </c>
      <c r="Q76" s="4" t="str">
        <f t="shared" si="2"/>
        <v>#N/A</v>
      </c>
      <c r="R76" s="4" t="str">
        <f t="shared" si="3"/>
        <v/>
      </c>
      <c r="S76" s="4">
        <f t="shared" si="4"/>
        <v>41.3008</v>
      </c>
      <c r="T76" s="4" t="str">
        <f t="shared" si="5"/>
        <v>#N/A</v>
      </c>
      <c r="U76" s="4" t="str">
        <f t="shared" si="6"/>
        <v>#N/A</v>
      </c>
      <c r="V76" s="4" t="str">
        <f t="shared" si="7"/>
        <v>#N/A</v>
      </c>
      <c r="W76" s="4">
        <f t="shared" si="8"/>
        <v>500000</v>
      </c>
      <c r="X76" s="4">
        <f t="shared" si="9"/>
        <v>0</v>
      </c>
      <c r="Y76" s="4">
        <f t="shared" si="10"/>
        <v>7</v>
      </c>
      <c r="Z76" s="4" t="str">
        <f t="shared" si="11"/>
        <v>#N/A</v>
      </c>
      <c r="AA76" s="4" t="str">
        <f t="shared" si="12"/>
        <v>#N/A</v>
      </c>
      <c r="AB76" s="4" t="str">
        <f t="shared" si="13"/>
        <v>#N/A</v>
      </c>
      <c r="AC76" s="4" t="str">
        <f t="shared" si="14"/>
        <v>#N/A</v>
      </c>
      <c r="AD76" s="4" t="str">
        <f t="shared" si="15"/>
        <v>#N/A</v>
      </c>
      <c r="AE76" s="4" t="str">
        <f t="shared" si="16"/>
        <v>#N/A</v>
      </c>
      <c r="AF76" s="4"/>
      <c r="AG76" s="4" t="str">
        <f t="shared" si="17"/>
        <v>#N/A</v>
      </c>
      <c r="AH76" s="4" t="str">
        <f t="shared" si="18"/>
        <v>#N/A</v>
      </c>
      <c r="AI76" s="4" t="str">
        <f t="shared" si="19"/>
        <v>#N/A</v>
      </c>
      <c r="AJ76" s="4">
        <f t="shared" si="20"/>
        <v>500000</v>
      </c>
      <c r="AK76" s="4">
        <f t="shared" si="21"/>
        <v>0</v>
      </c>
      <c r="AL76" s="4">
        <f t="shared" si="22"/>
        <v>7</v>
      </c>
      <c r="AM76" s="4" t="str">
        <f t="shared" si="23"/>
        <v>#N/A</v>
      </c>
      <c r="AN76" s="4" t="str">
        <f t="shared" si="24"/>
        <v>#N/A</v>
      </c>
      <c r="AO76" s="4" t="str">
        <f t="shared" si="25"/>
        <v>#N/A</v>
      </c>
      <c r="AP76" s="4" t="str">
        <f t="shared" si="26"/>
        <v>#N/A</v>
      </c>
      <c r="AQ76" s="4" t="str">
        <f t="shared" si="27"/>
        <v>#N/A</v>
      </c>
      <c r="AR76" s="4" t="str">
        <f t="shared" si="28"/>
        <v>#N/A</v>
      </c>
      <c r="AS76" s="4">
        <f t="shared" si="29"/>
        <v>148</v>
      </c>
      <c r="AT76" s="4" t="str">
        <f t="shared" si="30"/>
        <v>#N/A</v>
      </c>
    </row>
    <row r="77" ht="15.75" customHeight="1">
      <c r="A77" s="4" t="s">
        <v>233</v>
      </c>
      <c r="B77" s="4" t="s">
        <v>234</v>
      </c>
      <c r="C77" s="4" t="s">
        <v>88</v>
      </c>
      <c r="D77" s="8" t="s">
        <v>73</v>
      </c>
      <c r="E77" s="4" t="s">
        <v>98</v>
      </c>
      <c r="F77" s="4">
        <v>100000.0</v>
      </c>
      <c r="G77" s="4">
        <v>51058.0</v>
      </c>
      <c r="H77" s="4">
        <v>48942.0</v>
      </c>
      <c r="I77" s="4">
        <v>48.942</v>
      </c>
      <c r="J77" s="4">
        <v>167.0</v>
      </c>
      <c r="K77" s="4"/>
      <c r="L77" s="4"/>
      <c r="M77" s="4">
        <v>0.0</v>
      </c>
      <c r="N77" s="4">
        <v>13.0</v>
      </c>
      <c r="O77" s="4">
        <f t="array" ref="O77">IFERROR(INDEX(Data!$AB$2:$AB$81,MATCH(A77,Data!$A$2:$A$81,0)),1)</f>
        <v>1</v>
      </c>
      <c r="P77" s="4" t="str">
        <f t="shared" si="1"/>
        <v>#N/A</v>
      </c>
      <c r="Q77" s="4" t="str">
        <f t="shared" si="2"/>
        <v>#N/A</v>
      </c>
      <c r="R77" s="4" t="str">
        <f t="shared" si="3"/>
        <v/>
      </c>
      <c r="S77" s="4">
        <f t="shared" si="4"/>
        <v>48.942</v>
      </c>
      <c r="T77" s="4">
        <f t="shared" si="5"/>
        <v>100000</v>
      </c>
      <c r="U77" s="4">
        <f t="shared" si="6"/>
        <v>0</v>
      </c>
      <c r="V77" s="4">
        <f t="shared" si="7"/>
        <v>13</v>
      </c>
      <c r="W77" s="4" t="str">
        <f t="shared" si="8"/>
        <v>#N/A</v>
      </c>
      <c r="X77" s="4" t="str">
        <f t="shared" si="9"/>
        <v>#N/A</v>
      </c>
      <c r="Y77" s="4" t="str">
        <f t="shared" si="10"/>
        <v>#N/A</v>
      </c>
      <c r="Z77" s="4" t="str">
        <f t="shared" si="11"/>
        <v>#N/A</v>
      </c>
      <c r="AA77" s="4" t="str">
        <f t="shared" si="12"/>
        <v>#N/A</v>
      </c>
      <c r="AB77" s="4" t="str">
        <f t="shared" si="13"/>
        <v>#N/A</v>
      </c>
      <c r="AC77" s="4" t="str">
        <f t="shared" si="14"/>
        <v>#N/A</v>
      </c>
      <c r="AD77" s="4" t="str">
        <f t="shared" si="15"/>
        <v>#N/A</v>
      </c>
      <c r="AE77" s="4" t="str">
        <f t="shared" si="16"/>
        <v>#N/A</v>
      </c>
      <c r="AF77" s="4"/>
      <c r="AG77" s="4">
        <f t="shared" si="17"/>
        <v>100000</v>
      </c>
      <c r="AH77" s="4">
        <f t="shared" si="18"/>
        <v>0</v>
      </c>
      <c r="AI77" s="4">
        <f t="shared" si="19"/>
        <v>13</v>
      </c>
      <c r="AJ77" s="4" t="str">
        <f t="shared" si="20"/>
        <v>#N/A</v>
      </c>
      <c r="AK77" s="4" t="str">
        <f t="shared" si="21"/>
        <v>#N/A</v>
      </c>
      <c r="AL77" s="4" t="str">
        <f t="shared" si="22"/>
        <v>#N/A</v>
      </c>
      <c r="AM77" s="4" t="str">
        <f t="shared" si="23"/>
        <v>#N/A</v>
      </c>
      <c r="AN77" s="4" t="str">
        <f t="shared" si="24"/>
        <v>#N/A</v>
      </c>
      <c r="AO77" s="4" t="str">
        <f t="shared" si="25"/>
        <v>#N/A</v>
      </c>
      <c r="AP77" s="4" t="str">
        <f t="shared" si="26"/>
        <v>#N/A</v>
      </c>
      <c r="AQ77" s="4" t="str">
        <f t="shared" si="27"/>
        <v>#N/A</v>
      </c>
      <c r="AR77" s="4" t="str">
        <f t="shared" si="28"/>
        <v>#N/A</v>
      </c>
      <c r="AS77" s="4">
        <f t="shared" si="29"/>
        <v>167</v>
      </c>
      <c r="AT77" s="4" t="str">
        <f t="shared" si="30"/>
        <v>#N/A</v>
      </c>
    </row>
    <row r="78" ht="15.75" customHeight="1">
      <c r="A78" s="4" t="s">
        <v>235</v>
      </c>
      <c r="B78" s="4" t="s">
        <v>236</v>
      </c>
      <c r="C78" s="4" t="s">
        <v>72</v>
      </c>
      <c r="D78" s="8" t="s">
        <v>73</v>
      </c>
      <c r="E78" s="4" t="s">
        <v>98</v>
      </c>
      <c r="F78" s="4">
        <v>1000000.0</v>
      </c>
      <c r="G78" s="4">
        <v>470208.0</v>
      </c>
      <c r="H78" s="4">
        <v>529792.0</v>
      </c>
      <c r="I78" s="4">
        <v>52.97920000000001</v>
      </c>
      <c r="J78" s="4">
        <v>133.0</v>
      </c>
      <c r="K78" s="4"/>
      <c r="L78" s="4"/>
      <c r="M78" s="4">
        <v>0.0</v>
      </c>
      <c r="N78" s="4">
        <v>3.0</v>
      </c>
      <c r="O78" s="4">
        <f t="array" ref="O78">IFERROR(INDEX(Data!$AB$2:$AB$81,MATCH(A78,Data!$A$2:$A$81,0)),1)</f>
        <v>1</v>
      </c>
      <c r="P78" s="4" t="str">
        <f t="shared" si="1"/>
        <v>#N/A</v>
      </c>
      <c r="Q78" s="4" t="str">
        <f t="shared" si="2"/>
        <v>#N/A</v>
      </c>
      <c r="R78" s="4" t="str">
        <f t="shared" si="3"/>
        <v/>
      </c>
      <c r="S78" s="4">
        <f t="shared" si="4"/>
        <v>52.9792</v>
      </c>
      <c r="T78" s="4">
        <f t="shared" si="5"/>
        <v>1000000</v>
      </c>
      <c r="U78" s="4">
        <f t="shared" si="6"/>
        <v>0</v>
      </c>
      <c r="V78" s="4">
        <f t="shared" si="7"/>
        <v>3</v>
      </c>
      <c r="W78" s="4" t="str">
        <f t="shared" si="8"/>
        <v>#N/A</v>
      </c>
      <c r="X78" s="4" t="str">
        <f t="shared" si="9"/>
        <v>#N/A</v>
      </c>
      <c r="Y78" s="4" t="str">
        <f t="shared" si="10"/>
        <v>#N/A</v>
      </c>
      <c r="Z78" s="4" t="str">
        <f t="shared" si="11"/>
        <v>#N/A</v>
      </c>
      <c r="AA78" s="4" t="str">
        <f t="shared" si="12"/>
        <v>#N/A</v>
      </c>
      <c r="AB78" s="4" t="str">
        <f t="shared" si="13"/>
        <v>#N/A</v>
      </c>
      <c r="AC78" s="4" t="str">
        <f t="shared" si="14"/>
        <v>#N/A</v>
      </c>
      <c r="AD78" s="4" t="str">
        <f t="shared" si="15"/>
        <v>#N/A</v>
      </c>
      <c r="AE78" s="4" t="str">
        <f t="shared" si="16"/>
        <v>#N/A</v>
      </c>
      <c r="AF78" s="4"/>
      <c r="AG78" s="4">
        <f t="shared" si="17"/>
        <v>1000000</v>
      </c>
      <c r="AH78" s="4">
        <f t="shared" si="18"/>
        <v>0</v>
      </c>
      <c r="AI78" s="4">
        <f t="shared" si="19"/>
        <v>3</v>
      </c>
      <c r="AJ78" s="4" t="str">
        <f t="shared" si="20"/>
        <v>#N/A</v>
      </c>
      <c r="AK78" s="4" t="str">
        <f t="shared" si="21"/>
        <v>#N/A</v>
      </c>
      <c r="AL78" s="4" t="str">
        <f t="shared" si="22"/>
        <v>#N/A</v>
      </c>
      <c r="AM78" s="4" t="str">
        <f t="shared" si="23"/>
        <v>#N/A</v>
      </c>
      <c r="AN78" s="4" t="str">
        <f t="shared" si="24"/>
        <v>#N/A</v>
      </c>
      <c r="AO78" s="4" t="str">
        <f t="shared" si="25"/>
        <v>#N/A</v>
      </c>
      <c r="AP78" s="4" t="str">
        <f t="shared" si="26"/>
        <v>#N/A</v>
      </c>
      <c r="AQ78" s="4" t="str">
        <f t="shared" si="27"/>
        <v>#N/A</v>
      </c>
      <c r="AR78" s="4" t="str">
        <f t="shared" si="28"/>
        <v>#N/A</v>
      </c>
      <c r="AS78" s="4">
        <f t="shared" si="29"/>
        <v>133</v>
      </c>
      <c r="AT78" s="4" t="str">
        <f t="shared" si="30"/>
        <v>#N/A</v>
      </c>
    </row>
    <row r="79" ht="15.75" customHeight="1">
      <c r="A79" s="4" t="s">
        <v>237</v>
      </c>
      <c r="B79" s="4" t="s">
        <v>238</v>
      </c>
      <c r="C79" s="4" t="s">
        <v>66</v>
      </c>
      <c r="D79" s="8" t="s">
        <v>73</v>
      </c>
      <c r="E79" s="4" t="s">
        <v>74</v>
      </c>
      <c r="F79" s="4">
        <v>100000.0</v>
      </c>
      <c r="G79" s="4">
        <v>101315.0</v>
      </c>
      <c r="H79" s="4">
        <v>-1315.0</v>
      </c>
      <c r="I79" s="4">
        <v>-1.315</v>
      </c>
      <c r="J79" s="4">
        <v>130.0</v>
      </c>
      <c r="K79" s="4"/>
      <c r="L79" s="4"/>
      <c r="M79" s="4">
        <v>0.0</v>
      </c>
      <c r="N79" s="4">
        <v>12.0</v>
      </c>
      <c r="O79" s="4">
        <f t="array" ref="O79">IFERROR(INDEX(Data!$AB$2:$AB$81,MATCH(A79,Data!$A$2:$A$81,0)),1)</f>
        <v>1</v>
      </c>
      <c r="P79" s="4" t="str">
        <f t="shared" si="1"/>
        <v>#N/A</v>
      </c>
      <c r="Q79" s="4" t="str">
        <f t="shared" si="2"/>
        <v>#N/A</v>
      </c>
      <c r="R79" s="4" t="str">
        <f t="shared" si="3"/>
        <v/>
      </c>
      <c r="S79" s="4">
        <f t="shared" si="4"/>
        <v>-1.315</v>
      </c>
      <c r="T79" s="4" t="str">
        <f t="shared" si="5"/>
        <v>#N/A</v>
      </c>
      <c r="U79" s="4" t="str">
        <f t="shared" si="6"/>
        <v>#N/A</v>
      </c>
      <c r="V79" s="4" t="str">
        <f t="shared" si="7"/>
        <v>#N/A</v>
      </c>
      <c r="W79" s="4" t="str">
        <f t="shared" si="8"/>
        <v>#N/A</v>
      </c>
      <c r="X79" s="4" t="str">
        <f t="shared" si="9"/>
        <v>#N/A</v>
      </c>
      <c r="Y79" s="4" t="str">
        <f t="shared" si="10"/>
        <v>#N/A</v>
      </c>
      <c r="Z79" s="4" t="str">
        <f t="shared" si="11"/>
        <v>#N/A</v>
      </c>
      <c r="AA79" s="4" t="str">
        <f t="shared" si="12"/>
        <v>#N/A</v>
      </c>
      <c r="AB79" s="4" t="str">
        <f t="shared" si="13"/>
        <v>#N/A</v>
      </c>
      <c r="AC79" s="4">
        <f t="shared" si="14"/>
        <v>100000</v>
      </c>
      <c r="AD79" s="4">
        <f t="shared" si="15"/>
        <v>0</v>
      </c>
      <c r="AE79" s="4">
        <f t="shared" si="16"/>
        <v>12</v>
      </c>
      <c r="AF79" s="4"/>
      <c r="AG79" s="4" t="str">
        <f t="shared" si="17"/>
        <v>#N/A</v>
      </c>
      <c r="AH79" s="4" t="str">
        <f t="shared" si="18"/>
        <v>#N/A</v>
      </c>
      <c r="AI79" s="4" t="str">
        <f t="shared" si="19"/>
        <v>#N/A</v>
      </c>
      <c r="AJ79" s="4" t="str">
        <f t="shared" si="20"/>
        <v>#N/A</v>
      </c>
      <c r="AK79" s="4" t="str">
        <f t="shared" si="21"/>
        <v>#N/A</v>
      </c>
      <c r="AL79" s="4" t="str">
        <f t="shared" si="22"/>
        <v>#N/A</v>
      </c>
      <c r="AM79" s="4" t="str">
        <f t="shared" si="23"/>
        <v>#N/A</v>
      </c>
      <c r="AN79" s="4" t="str">
        <f t="shared" si="24"/>
        <v>#N/A</v>
      </c>
      <c r="AO79" s="4" t="str">
        <f t="shared" si="25"/>
        <v>#N/A</v>
      </c>
      <c r="AP79" s="4">
        <f t="shared" si="26"/>
        <v>100000</v>
      </c>
      <c r="AQ79" s="4">
        <f t="shared" si="27"/>
        <v>0</v>
      </c>
      <c r="AR79" s="4">
        <f t="shared" si="28"/>
        <v>12</v>
      </c>
      <c r="AS79" s="4">
        <f t="shared" si="29"/>
        <v>130</v>
      </c>
      <c r="AT79" s="4" t="str">
        <f t="shared" si="30"/>
        <v>#N/A</v>
      </c>
    </row>
    <row r="80" ht="15.75" customHeight="1">
      <c r="A80" s="4" t="s">
        <v>239</v>
      </c>
      <c r="B80" s="4" t="s">
        <v>240</v>
      </c>
      <c r="C80" s="4" t="s">
        <v>85</v>
      </c>
      <c r="D80" s="8" t="s">
        <v>73</v>
      </c>
      <c r="E80" s="4" t="s">
        <v>98</v>
      </c>
      <c r="F80" s="4">
        <v>50000.0</v>
      </c>
      <c r="G80" s="4">
        <v>41507.0</v>
      </c>
      <c r="H80" s="4">
        <v>8493.0</v>
      </c>
      <c r="I80" s="4">
        <v>16.986</v>
      </c>
      <c r="J80" s="4">
        <v>158.0</v>
      </c>
      <c r="K80" s="4"/>
      <c r="L80" s="4"/>
      <c r="M80" s="4">
        <v>0.0</v>
      </c>
      <c r="N80" s="4">
        <v>15.0</v>
      </c>
      <c r="O80" s="4">
        <f t="array" ref="O80">IFERROR(INDEX(Data!$AB$2:$AB$81,MATCH(A80,Data!$A$2:$A$81,0)),1)</f>
        <v>1</v>
      </c>
      <c r="P80" s="4" t="str">
        <f t="shared" si="1"/>
        <v>#N/A</v>
      </c>
      <c r="Q80" s="4" t="str">
        <f t="shared" si="2"/>
        <v>#N/A</v>
      </c>
      <c r="R80" s="4" t="str">
        <f t="shared" si="3"/>
        <v/>
      </c>
      <c r="S80" s="4">
        <f t="shared" si="4"/>
        <v>16.986</v>
      </c>
      <c r="T80" s="4">
        <f t="shared" si="5"/>
        <v>50000</v>
      </c>
      <c r="U80" s="4">
        <f t="shared" si="6"/>
        <v>0</v>
      </c>
      <c r="V80" s="4">
        <f t="shared" si="7"/>
        <v>15</v>
      </c>
      <c r="W80" s="4" t="str">
        <f t="shared" si="8"/>
        <v>#N/A</v>
      </c>
      <c r="X80" s="4" t="str">
        <f t="shared" si="9"/>
        <v>#N/A</v>
      </c>
      <c r="Y80" s="4" t="str">
        <f t="shared" si="10"/>
        <v>#N/A</v>
      </c>
      <c r="Z80" s="4" t="str">
        <f t="shared" si="11"/>
        <v>#N/A</v>
      </c>
      <c r="AA80" s="4" t="str">
        <f t="shared" si="12"/>
        <v>#N/A</v>
      </c>
      <c r="AB80" s="4" t="str">
        <f t="shared" si="13"/>
        <v>#N/A</v>
      </c>
      <c r="AC80" s="4" t="str">
        <f t="shared" si="14"/>
        <v>#N/A</v>
      </c>
      <c r="AD80" s="4" t="str">
        <f t="shared" si="15"/>
        <v>#N/A</v>
      </c>
      <c r="AE80" s="4" t="str">
        <f t="shared" si="16"/>
        <v>#N/A</v>
      </c>
      <c r="AF80" s="4"/>
      <c r="AG80" s="4">
        <f t="shared" si="17"/>
        <v>50000</v>
      </c>
      <c r="AH80" s="4">
        <f t="shared" si="18"/>
        <v>0</v>
      </c>
      <c r="AI80" s="4">
        <f t="shared" si="19"/>
        <v>15</v>
      </c>
      <c r="AJ80" s="4" t="str">
        <f t="shared" si="20"/>
        <v>#N/A</v>
      </c>
      <c r="AK80" s="4" t="str">
        <f t="shared" si="21"/>
        <v>#N/A</v>
      </c>
      <c r="AL80" s="4" t="str">
        <f t="shared" si="22"/>
        <v>#N/A</v>
      </c>
      <c r="AM80" s="4" t="str">
        <f t="shared" si="23"/>
        <v>#N/A</v>
      </c>
      <c r="AN80" s="4" t="str">
        <f t="shared" si="24"/>
        <v>#N/A</v>
      </c>
      <c r="AO80" s="4" t="str">
        <f t="shared" si="25"/>
        <v>#N/A</v>
      </c>
      <c r="AP80" s="4" t="str">
        <f t="shared" si="26"/>
        <v>#N/A</v>
      </c>
      <c r="AQ80" s="4" t="str">
        <f t="shared" si="27"/>
        <v>#N/A</v>
      </c>
      <c r="AR80" s="4" t="str">
        <f t="shared" si="28"/>
        <v>#N/A</v>
      </c>
      <c r="AS80" s="4">
        <f t="shared" si="29"/>
        <v>158</v>
      </c>
      <c r="AT80" s="4" t="str">
        <f t="shared" si="30"/>
        <v>#N/A</v>
      </c>
    </row>
    <row r="81" ht="15.75" customHeight="1">
      <c r="A81" s="4" t="s">
        <v>241</v>
      </c>
      <c r="B81" s="4" t="s">
        <v>242</v>
      </c>
      <c r="C81" s="4" t="s">
        <v>66</v>
      </c>
      <c r="D81" s="6" t="s">
        <v>81</v>
      </c>
      <c r="E81" s="4" t="s">
        <v>74</v>
      </c>
      <c r="F81" s="4">
        <v>1000000.0</v>
      </c>
      <c r="G81" s="4">
        <v>827530.0</v>
      </c>
      <c r="H81" s="4">
        <v>172470.0</v>
      </c>
      <c r="I81" s="4">
        <v>17.247</v>
      </c>
      <c r="J81" s="4">
        <v>174.0</v>
      </c>
      <c r="K81" s="4"/>
      <c r="L81" s="4"/>
      <c r="M81" s="4">
        <v>0.0</v>
      </c>
      <c r="N81" s="4">
        <v>5.0</v>
      </c>
      <c r="O81" s="4">
        <f t="array" ref="O81">IFERROR(INDEX(Data!$AB$2:$AB$81,MATCH(A81,Data!$A$2:$A$81,0)),1)</f>
        <v>1</v>
      </c>
      <c r="P81" s="4" t="str">
        <f t="shared" si="1"/>
        <v>#N/A</v>
      </c>
      <c r="Q81" s="4" t="str">
        <f t="shared" si="2"/>
        <v>#N/A</v>
      </c>
      <c r="R81" s="4" t="str">
        <f t="shared" si="3"/>
        <v/>
      </c>
      <c r="S81" s="4">
        <f t="shared" si="4"/>
        <v>17.247</v>
      </c>
      <c r="T81" s="4" t="str">
        <f t="shared" si="5"/>
        <v>#N/A</v>
      </c>
      <c r="U81" s="4" t="str">
        <f t="shared" si="6"/>
        <v>#N/A</v>
      </c>
      <c r="V81" s="4" t="str">
        <f t="shared" si="7"/>
        <v>#N/A</v>
      </c>
      <c r="W81" s="4" t="str">
        <f t="shared" si="8"/>
        <v>#N/A</v>
      </c>
      <c r="X81" s="4" t="str">
        <f t="shared" si="9"/>
        <v>#N/A</v>
      </c>
      <c r="Y81" s="4" t="str">
        <f t="shared" si="10"/>
        <v>#N/A</v>
      </c>
      <c r="Z81" s="4" t="str">
        <f t="shared" si="11"/>
        <v>#N/A</v>
      </c>
      <c r="AA81" s="4" t="str">
        <f t="shared" si="12"/>
        <v>#N/A</v>
      </c>
      <c r="AB81" s="4" t="str">
        <f t="shared" si="13"/>
        <v>#N/A</v>
      </c>
      <c r="AC81" s="4">
        <f t="shared" si="14"/>
        <v>1000000</v>
      </c>
      <c r="AD81" s="4">
        <f t="shared" si="15"/>
        <v>0</v>
      </c>
      <c r="AE81" s="4">
        <f t="shared" si="16"/>
        <v>5</v>
      </c>
      <c r="AF81" s="4"/>
      <c r="AG81" s="4" t="str">
        <f t="shared" si="17"/>
        <v>#N/A</v>
      </c>
      <c r="AH81" s="4" t="str">
        <f t="shared" si="18"/>
        <v>#N/A</v>
      </c>
      <c r="AI81" s="4" t="str">
        <f t="shared" si="19"/>
        <v>#N/A</v>
      </c>
      <c r="AJ81" s="4" t="str">
        <f t="shared" si="20"/>
        <v>#N/A</v>
      </c>
      <c r="AK81" s="4" t="str">
        <f t="shared" si="21"/>
        <v>#N/A</v>
      </c>
      <c r="AL81" s="4" t="str">
        <f t="shared" si="22"/>
        <v>#N/A</v>
      </c>
      <c r="AM81" s="4" t="str">
        <f t="shared" si="23"/>
        <v>#N/A</v>
      </c>
      <c r="AN81" s="4" t="str">
        <f t="shared" si="24"/>
        <v>#N/A</v>
      </c>
      <c r="AO81" s="4" t="str">
        <f t="shared" si="25"/>
        <v>#N/A</v>
      </c>
      <c r="AP81" s="4">
        <f t="shared" si="26"/>
        <v>1000000</v>
      </c>
      <c r="AQ81" s="4">
        <f t="shared" si="27"/>
        <v>0</v>
      </c>
      <c r="AR81" s="4">
        <f t="shared" si="28"/>
        <v>5</v>
      </c>
      <c r="AS81" s="4">
        <f t="shared" si="29"/>
        <v>174</v>
      </c>
      <c r="AT81" s="4" t="str">
        <f t="shared" si="30"/>
        <v>#N/A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</row>
  </sheetData>
  <autoFilter ref="$A$1:$O$1000"/>
  <conditionalFormatting sqref="D2:D81">
    <cfRule type="containsText" dxfId="0" priority="1" operator="containsText" text="Launched">
      <formula>NOT(ISERROR(SEARCH(("Launched"),(D2))))</formula>
    </cfRule>
  </conditionalFormatting>
  <conditionalFormatting sqref="D2:D81">
    <cfRule type="containsText" dxfId="1" priority="2" operator="containsText" text="Testing">
      <formula>NOT(ISERROR(SEARCH(("Testing"),(D2))))</formula>
    </cfRule>
  </conditionalFormatting>
  <conditionalFormatting sqref="D2:D81">
    <cfRule type="containsText" dxfId="1" priority="3" operator="containsText" text="In Development">
      <formula>NOT(ISERROR(SEARCH(("In Development"),(D2))))</formula>
    </cfRule>
  </conditionalFormatting>
  <conditionalFormatting sqref="D2:D81">
    <cfRule type="containsText" dxfId="1" priority="4" operator="containsText" text="Planning">
      <formula>NOT(ISERROR(SEARCH(("Planning"),(D2))))</formula>
    </cfRule>
  </conditionalFormatting>
  <conditionalFormatting sqref="D2:D81">
    <cfRule type="containsText" dxfId="2" priority="5" operator="containsText" text="On Hold">
      <formula>NOT(ISERROR(SEARCH(("On Hold"),(D2))))</formula>
    </cfRule>
  </conditionalFormatting>
  <conditionalFormatting sqref="D2:D81">
    <cfRule type="containsText" dxfId="0" priority="6" operator="containsText" text="Launched">
      <formula>NOT(ISERROR(SEARCH(("Launched"),(D2))))</formula>
    </cfRule>
  </conditionalFormatting>
  <conditionalFormatting sqref="D2:D81">
    <cfRule type="containsText" dxfId="1" priority="7" operator="containsText" text="Testing">
      <formula>NOT(ISERROR(SEARCH(("Testing"),(D2))))</formula>
    </cfRule>
  </conditionalFormatting>
  <conditionalFormatting sqref="D2:D81">
    <cfRule type="containsText" dxfId="1" priority="8" operator="containsText" text="In Development">
      <formula>NOT(ISERROR(SEARCH(("In Development"),(D2))))</formula>
    </cfRule>
  </conditionalFormatting>
  <conditionalFormatting sqref="D2:D81">
    <cfRule type="containsText" dxfId="1" priority="9" operator="containsText" text="Planning">
      <formula>NOT(ISERROR(SEARCH(("Planning"),(D2))))</formula>
    </cfRule>
  </conditionalFormatting>
  <conditionalFormatting sqref="D2:D81">
    <cfRule type="containsText" dxfId="2" priority="10" operator="containsText" text="On Hold">
      <formula>NOT(ISERROR(SEARCH(("On Hold"),(D2))))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6.0"/>
    <col customWidth="1" min="3" max="3" width="18.0"/>
    <col customWidth="1" min="4" max="4" width="12.0"/>
    <col customWidth="1" min="5" max="5" width="22.14"/>
    <col customWidth="1" min="6" max="6" width="24.43"/>
    <col customWidth="1" min="7" max="7" width="20.14"/>
    <col customWidth="1" min="8" max="8" width="10.0"/>
    <col customWidth="1" min="9" max="10" width="8.71"/>
  </cols>
  <sheetData>
    <row r="1">
      <c r="A1" s="10" t="s">
        <v>38</v>
      </c>
      <c r="B1" s="10" t="s">
        <v>39</v>
      </c>
      <c r="C1" s="10" t="s">
        <v>40</v>
      </c>
      <c r="D1" s="10" t="s">
        <v>246</v>
      </c>
      <c r="E1" s="10" t="s">
        <v>313</v>
      </c>
      <c r="F1" s="10" t="s">
        <v>314</v>
      </c>
      <c r="G1" s="10" t="s">
        <v>60</v>
      </c>
      <c r="H1" s="4" t="s">
        <v>283</v>
      </c>
      <c r="I1" s="4" t="s">
        <v>315</v>
      </c>
      <c r="J1" s="4" t="s">
        <v>316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64</v>
      </c>
      <c r="B2" s="4" t="s">
        <v>65</v>
      </c>
      <c r="C2" s="4" t="s">
        <v>66</v>
      </c>
      <c r="D2" s="4" t="s">
        <v>68</v>
      </c>
      <c r="E2" s="4">
        <v>5000000.0</v>
      </c>
      <c r="F2" s="4"/>
      <c r="G2" s="4">
        <v>-5000000.0</v>
      </c>
      <c r="H2" s="4">
        <f t="array" ref="H2">IFERROR(INDEX(Data!$AB$2:$AB$81,MATCH(A2,Data!$A$2:$A$81,0)),1)</f>
        <v>1</v>
      </c>
      <c r="I2" s="4">
        <f t="shared" ref="I2:I163" si="1">IF($H2=1,$E2,NA())</f>
        <v>5000000</v>
      </c>
      <c r="J2" s="4" t="str">
        <f t="shared" ref="J2:J163" si="2">IF($H2=1,$F2,NA())</f>
        <v/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70</v>
      </c>
      <c r="B3" s="4" t="s">
        <v>71</v>
      </c>
      <c r="C3" s="4" t="s">
        <v>72</v>
      </c>
      <c r="D3" s="4" t="s">
        <v>74</v>
      </c>
      <c r="E3" s="4">
        <v>100000.0</v>
      </c>
      <c r="F3" s="4"/>
      <c r="G3" s="4">
        <v>-100000.0</v>
      </c>
      <c r="H3" s="4">
        <f t="array" ref="H3">IFERROR(INDEX(Data!$AB$2:$AB$81,MATCH(A3,Data!$A$2:$A$81,0)),1)</f>
        <v>1</v>
      </c>
      <c r="I3" s="4">
        <f t="shared" si="1"/>
        <v>100000</v>
      </c>
      <c r="J3" s="4" t="str">
        <f t="shared" si="2"/>
        <v/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75</v>
      </c>
      <c r="B4" s="4" t="s">
        <v>76</v>
      </c>
      <c r="C4" s="4" t="s">
        <v>66</v>
      </c>
      <c r="D4" s="4" t="s">
        <v>68</v>
      </c>
      <c r="E4" s="4">
        <v>5000000.0</v>
      </c>
      <c r="F4" s="4"/>
      <c r="G4" s="4">
        <v>-5000000.0</v>
      </c>
      <c r="H4" s="4">
        <f t="array" ref="H4">IFERROR(INDEX(Data!$AB$2:$AB$81,MATCH(A4,Data!$A$2:$A$81,0)),1)</f>
        <v>1</v>
      </c>
      <c r="I4" s="4">
        <f t="shared" si="1"/>
        <v>5000000</v>
      </c>
      <c r="J4" s="4" t="str">
        <f t="shared" si="2"/>
        <v/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79</v>
      </c>
      <c r="B5" s="4" t="s">
        <v>80</v>
      </c>
      <c r="C5" s="4" t="s">
        <v>72</v>
      </c>
      <c r="D5" s="4" t="s">
        <v>68</v>
      </c>
      <c r="E5" s="4">
        <v>100000.0</v>
      </c>
      <c r="F5" s="4"/>
      <c r="G5" s="4">
        <v>-100000.0</v>
      </c>
      <c r="H5" s="4">
        <f t="array" ref="H5">IFERROR(INDEX(Data!$AB$2:$AB$81,MATCH(A5,Data!$A$2:$A$81,0)),1)</f>
        <v>1</v>
      </c>
      <c r="I5" s="4">
        <f t="shared" si="1"/>
        <v>100000</v>
      </c>
      <c r="J5" s="4" t="str">
        <f t="shared" si="2"/>
        <v/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83</v>
      </c>
      <c r="B6" s="4" t="s">
        <v>84</v>
      </c>
      <c r="C6" s="4" t="s">
        <v>85</v>
      </c>
      <c r="D6" s="4" t="s">
        <v>68</v>
      </c>
      <c r="E6" s="4">
        <v>500000.0</v>
      </c>
      <c r="F6" s="4"/>
      <c r="G6" s="4">
        <v>-500000.0</v>
      </c>
      <c r="H6" s="4">
        <f t="array" ref="H6">IFERROR(INDEX(Data!$AB$2:$AB$81,MATCH(A6,Data!$A$2:$A$81,0)),1)</f>
        <v>1</v>
      </c>
      <c r="I6" s="4">
        <f t="shared" si="1"/>
        <v>500000</v>
      </c>
      <c r="J6" s="4" t="str">
        <f t="shared" si="2"/>
        <v/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86</v>
      </c>
      <c r="B7" s="4" t="s">
        <v>87</v>
      </c>
      <c r="C7" s="4" t="s">
        <v>88</v>
      </c>
      <c r="D7" s="4" t="s">
        <v>74</v>
      </c>
      <c r="E7" s="4">
        <v>500000.0</v>
      </c>
      <c r="F7" s="4"/>
      <c r="G7" s="4">
        <v>-500000.0</v>
      </c>
      <c r="H7" s="4">
        <f t="array" ref="H7">IFERROR(INDEX(Data!$AB$2:$AB$81,MATCH(A7,Data!$A$2:$A$81,0)),1)</f>
        <v>1</v>
      </c>
      <c r="I7" s="4">
        <f t="shared" si="1"/>
        <v>500000</v>
      </c>
      <c r="J7" s="4" t="str">
        <f t="shared" si="2"/>
        <v/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90</v>
      </c>
      <c r="B8" s="4" t="s">
        <v>91</v>
      </c>
      <c r="C8" s="4" t="s">
        <v>85</v>
      </c>
      <c r="D8" s="4" t="s">
        <v>68</v>
      </c>
      <c r="E8" s="4">
        <v>100000.0</v>
      </c>
      <c r="F8" s="4">
        <v>62161.0</v>
      </c>
      <c r="G8" s="4">
        <v>-37839.0</v>
      </c>
      <c r="H8" s="4">
        <f t="array" ref="H8">IFERROR(INDEX(Data!$AB$2:$AB$81,MATCH(A8,Data!$A$2:$A$81,0)),1)</f>
        <v>1</v>
      </c>
      <c r="I8" s="4">
        <f t="shared" si="1"/>
        <v>100000</v>
      </c>
      <c r="J8" s="4">
        <f t="shared" si="2"/>
        <v>62161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93</v>
      </c>
      <c r="B9" s="4" t="s">
        <v>94</v>
      </c>
      <c r="C9" s="4" t="s">
        <v>88</v>
      </c>
      <c r="D9" s="4" t="s">
        <v>95</v>
      </c>
      <c r="E9" s="4">
        <v>5000000.0</v>
      </c>
      <c r="F9" s="4"/>
      <c r="G9" s="4">
        <v>-5000000.0</v>
      </c>
      <c r="H9" s="4">
        <f t="array" ref="H9">IFERROR(INDEX(Data!$AB$2:$AB$81,MATCH(A9,Data!$A$2:$A$81,0)),1)</f>
        <v>1</v>
      </c>
      <c r="I9" s="4">
        <f t="shared" si="1"/>
        <v>5000000</v>
      </c>
      <c r="J9" s="4" t="str">
        <f t="shared" si="2"/>
        <v/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96</v>
      </c>
      <c r="B10" s="4" t="s">
        <v>97</v>
      </c>
      <c r="C10" s="4" t="s">
        <v>66</v>
      </c>
      <c r="D10" s="4" t="s">
        <v>98</v>
      </c>
      <c r="E10" s="4">
        <v>1000000.0</v>
      </c>
      <c r="F10" s="4">
        <v>740974.0</v>
      </c>
      <c r="G10" s="4">
        <v>-259026.0</v>
      </c>
      <c r="H10" s="4">
        <f t="array" ref="H10">IFERROR(INDEX(Data!$AB$2:$AB$81,MATCH(A10,Data!$A$2:$A$81,0)),1)</f>
        <v>1</v>
      </c>
      <c r="I10" s="4">
        <f t="shared" si="1"/>
        <v>1000000</v>
      </c>
      <c r="J10" s="4">
        <f t="shared" si="2"/>
        <v>740974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99</v>
      </c>
      <c r="B11" s="4" t="s">
        <v>100</v>
      </c>
      <c r="C11" s="4" t="s">
        <v>101</v>
      </c>
      <c r="D11" s="4" t="s">
        <v>68</v>
      </c>
      <c r="E11" s="4">
        <v>500000.0</v>
      </c>
      <c r="F11" s="4"/>
      <c r="G11" s="4">
        <v>-500000.0</v>
      </c>
      <c r="H11" s="4">
        <f t="array" ref="H11">IFERROR(INDEX(Data!$AB$2:$AB$81,MATCH(A11,Data!$A$2:$A$81,0)),1)</f>
        <v>1</v>
      </c>
      <c r="I11" s="4">
        <f t="shared" si="1"/>
        <v>500000</v>
      </c>
      <c r="J11" s="4" t="str">
        <f t="shared" si="2"/>
        <v/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102</v>
      </c>
      <c r="B12" s="4" t="s">
        <v>103</v>
      </c>
      <c r="C12" s="4" t="s">
        <v>88</v>
      </c>
      <c r="D12" s="4" t="s">
        <v>68</v>
      </c>
      <c r="E12" s="4">
        <v>100000.0</v>
      </c>
      <c r="F12" s="4"/>
      <c r="G12" s="4">
        <v>-100000.0</v>
      </c>
      <c r="H12" s="4">
        <f t="array" ref="H12">IFERROR(INDEX(Data!$AB$2:$AB$81,MATCH(A12,Data!$A$2:$A$81,0)),1)</f>
        <v>1</v>
      </c>
      <c r="I12" s="4">
        <f t="shared" si="1"/>
        <v>100000</v>
      </c>
      <c r="J12" s="4" t="str">
        <f t="shared" si="2"/>
        <v/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104</v>
      </c>
      <c r="B13" s="4" t="s">
        <v>105</v>
      </c>
      <c r="C13" s="4" t="s">
        <v>88</v>
      </c>
      <c r="D13" s="4" t="s">
        <v>68</v>
      </c>
      <c r="E13" s="4">
        <v>1000000.0</v>
      </c>
      <c r="F13" s="4"/>
      <c r="G13" s="4">
        <v>-1000000.0</v>
      </c>
      <c r="H13" s="4">
        <f t="array" ref="H13">IFERROR(INDEX(Data!$AB$2:$AB$81,MATCH(A13,Data!$A$2:$A$81,0)),1)</f>
        <v>1</v>
      </c>
      <c r="I13" s="4">
        <f t="shared" si="1"/>
        <v>1000000</v>
      </c>
      <c r="J13" s="4" t="str">
        <f t="shared" si="2"/>
        <v/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107</v>
      </c>
      <c r="C14" s="4" t="s">
        <v>66</v>
      </c>
      <c r="D14" s="4" t="s">
        <v>74</v>
      </c>
      <c r="E14" s="4">
        <v>1000000.0</v>
      </c>
      <c r="F14" s="4"/>
      <c r="G14" s="4">
        <v>-1000000.0</v>
      </c>
      <c r="H14" s="4">
        <f t="array" ref="H14">IFERROR(INDEX(Data!$AB$2:$AB$81,MATCH(A14,Data!$A$2:$A$81,0)),1)</f>
        <v>1</v>
      </c>
      <c r="I14" s="4">
        <f t="shared" si="1"/>
        <v>1000000</v>
      </c>
      <c r="J14" s="4" t="str">
        <f t="shared" si="2"/>
        <v/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108</v>
      </c>
      <c r="B15" s="4" t="s">
        <v>109</v>
      </c>
      <c r="C15" s="4" t="s">
        <v>101</v>
      </c>
      <c r="D15" s="4" t="s">
        <v>74</v>
      </c>
      <c r="E15" s="4">
        <v>500000.0</v>
      </c>
      <c r="F15" s="4"/>
      <c r="G15" s="4">
        <v>-500000.0</v>
      </c>
      <c r="H15" s="4">
        <f t="array" ref="H15">IFERROR(INDEX(Data!$AB$2:$AB$81,MATCH(A15,Data!$A$2:$A$81,0)),1)</f>
        <v>1</v>
      </c>
      <c r="I15" s="4">
        <f t="shared" si="1"/>
        <v>500000</v>
      </c>
      <c r="J15" s="4" t="str">
        <f t="shared" si="2"/>
        <v/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110</v>
      </c>
      <c r="B16" s="4" t="s">
        <v>111</v>
      </c>
      <c r="C16" s="4" t="s">
        <v>88</v>
      </c>
      <c r="D16" s="4" t="s">
        <v>95</v>
      </c>
      <c r="E16" s="4">
        <v>5000000.0</v>
      </c>
      <c r="F16" s="4"/>
      <c r="G16" s="4">
        <v>-5000000.0</v>
      </c>
      <c r="H16" s="4">
        <f t="array" ref="H16">IFERROR(INDEX(Data!$AB$2:$AB$81,MATCH(A16,Data!$A$2:$A$81,0)),1)</f>
        <v>1</v>
      </c>
      <c r="I16" s="4">
        <f t="shared" si="1"/>
        <v>5000000</v>
      </c>
      <c r="J16" s="4" t="str">
        <f t="shared" si="2"/>
        <v/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112</v>
      </c>
      <c r="B17" s="4" t="s">
        <v>113</v>
      </c>
      <c r="C17" s="4" t="s">
        <v>101</v>
      </c>
      <c r="D17" s="4" t="s">
        <v>74</v>
      </c>
      <c r="E17" s="4">
        <v>1000000.0</v>
      </c>
      <c r="F17" s="4"/>
      <c r="G17" s="4">
        <v>-1000000.0</v>
      </c>
      <c r="H17" s="4">
        <f t="array" ref="H17">IFERROR(INDEX(Data!$AB$2:$AB$81,MATCH(A17,Data!$A$2:$A$81,0)),1)</f>
        <v>1</v>
      </c>
      <c r="I17" s="4">
        <f t="shared" si="1"/>
        <v>1000000</v>
      </c>
      <c r="J17" s="4" t="str">
        <f t="shared" si="2"/>
        <v/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114</v>
      </c>
      <c r="B18" s="4" t="s">
        <v>115</v>
      </c>
      <c r="C18" s="4" t="s">
        <v>88</v>
      </c>
      <c r="D18" s="4" t="s">
        <v>74</v>
      </c>
      <c r="E18" s="4">
        <v>1000000.0</v>
      </c>
      <c r="F18" s="4"/>
      <c r="G18" s="4">
        <v>-1000000.0</v>
      </c>
      <c r="H18" s="4">
        <f t="array" ref="H18">IFERROR(INDEX(Data!$AB$2:$AB$81,MATCH(A18,Data!$A$2:$A$81,0)),1)</f>
        <v>1</v>
      </c>
      <c r="I18" s="4">
        <f t="shared" si="1"/>
        <v>1000000</v>
      </c>
      <c r="J18" s="4" t="str">
        <f t="shared" si="2"/>
        <v/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116</v>
      </c>
      <c r="B19" s="4" t="s">
        <v>117</v>
      </c>
      <c r="C19" s="4" t="s">
        <v>72</v>
      </c>
      <c r="D19" s="4" t="s">
        <v>95</v>
      </c>
      <c r="E19" s="4">
        <v>5000000.0</v>
      </c>
      <c r="F19" s="4">
        <v>5258316.0</v>
      </c>
      <c r="G19" s="4">
        <v>258316.0</v>
      </c>
      <c r="H19" s="4">
        <f t="array" ref="H19">IFERROR(INDEX(Data!$AB$2:$AB$81,MATCH(A19,Data!$A$2:$A$81,0)),1)</f>
        <v>1</v>
      </c>
      <c r="I19" s="4">
        <f t="shared" si="1"/>
        <v>5000000</v>
      </c>
      <c r="J19" s="4">
        <f t="shared" si="2"/>
        <v>5258316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118</v>
      </c>
      <c r="B20" s="4" t="s">
        <v>119</v>
      </c>
      <c r="C20" s="4" t="s">
        <v>101</v>
      </c>
      <c r="D20" s="4" t="s">
        <v>68</v>
      </c>
      <c r="E20" s="4">
        <v>100000.0</v>
      </c>
      <c r="F20" s="4"/>
      <c r="G20" s="4">
        <v>-100000.0</v>
      </c>
      <c r="H20" s="4">
        <f t="array" ref="H20">IFERROR(INDEX(Data!$AB$2:$AB$81,MATCH(A20,Data!$A$2:$A$81,0)),1)</f>
        <v>1</v>
      </c>
      <c r="I20" s="4">
        <f t="shared" si="1"/>
        <v>100000</v>
      </c>
      <c r="J20" s="4" t="str">
        <f t="shared" si="2"/>
        <v/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120</v>
      </c>
      <c r="B21" s="4" t="s">
        <v>121</v>
      </c>
      <c r="C21" s="4" t="s">
        <v>85</v>
      </c>
      <c r="D21" s="4" t="s">
        <v>98</v>
      </c>
      <c r="E21" s="4">
        <v>500000.0</v>
      </c>
      <c r="F21" s="4"/>
      <c r="G21" s="4">
        <v>-500000.0</v>
      </c>
      <c r="H21" s="4">
        <f t="array" ref="H21">IFERROR(INDEX(Data!$AB$2:$AB$81,MATCH(A21,Data!$A$2:$A$81,0)),1)</f>
        <v>1</v>
      </c>
      <c r="I21" s="4">
        <f t="shared" si="1"/>
        <v>500000</v>
      </c>
      <c r="J21" s="4" t="str">
        <f t="shared" si="2"/>
        <v/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122</v>
      </c>
      <c r="B22" s="4" t="s">
        <v>123</v>
      </c>
      <c r="C22" s="4" t="s">
        <v>101</v>
      </c>
      <c r="D22" s="4" t="s">
        <v>74</v>
      </c>
      <c r="E22" s="4">
        <v>100000.0</v>
      </c>
      <c r="F22" s="4">
        <v>50329.0</v>
      </c>
      <c r="G22" s="4">
        <v>-49671.0</v>
      </c>
      <c r="H22" s="4">
        <f t="array" ref="H22">IFERROR(INDEX(Data!$AB$2:$AB$81,MATCH(A22,Data!$A$2:$A$81,0)),1)</f>
        <v>1</v>
      </c>
      <c r="I22" s="4">
        <f t="shared" si="1"/>
        <v>100000</v>
      </c>
      <c r="J22" s="4">
        <f t="shared" si="2"/>
        <v>50329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125</v>
      </c>
      <c r="B23" s="4" t="s">
        <v>126</v>
      </c>
      <c r="C23" s="4" t="s">
        <v>101</v>
      </c>
      <c r="D23" s="4" t="s">
        <v>95</v>
      </c>
      <c r="E23" s="4">
        <v>5000000.0</v>
      </c>
      <c r="F23" s="4"/>
      <c r="G23" s="4">
        <v>-5000000.0</v>
      </c>
      <c r="H23" s="4">
        <f t="array" ref="H23">IFERROR(INDEX(Data!$AB$2:$AB$81,MATCH(A23,Data!$A$2:$A$81,0)),1)</f>
        <v>1</v>
      </c>
      <c r="I23" s="4">
        <f t="shared" si="1"/>
        <v>5000000</v>
      </c>
      <c r="J23" s="4" t="str">
        <f t="shared" si="2"/>
        <v/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127</v>
      </c>
      <c r="B24" s="4" t="s">
        <v>128</v>
      </c>
      <c r="C24" s="4" t="s">
        <v>85</v>
      </c>
      <c r="D24" s="4" t="s">
        <v>74</v>
      </c>
      <c r="E24" s="4">
        <v>500000.0</v>
      </c>
      <c r="F24" s="4">
        <v>256270.0</v>
      </c>
      <c r="G24" s="4">
        <v>-243730.0</v>
      </c>
      <c r="H24" s="4">
        <f t="array" ref="H24">IFERROR(INDEX(Data!$AB$2:$AB$81,MATCH(A24,Data!$A$2:$A$81,0)),1)</f>
        <v>1</v>
      </c>
      <c r="I24" s="4">
        <f t="shared" si="1"/>
        <v>500000</v>
      </c>
      <c r="J24" s="4">
        <f t="shared" si="2"/>
        <v>256270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129</v>
      </c>
      <c r="B25" s="4" t="s">
        <v>130</v>
      </c>
      <c r="C25" s="4" t="s">
        <v>72</v>
      </c>
      <c r="D25" s="4" t="s">
        <v>95</v>
      </c>
      <c r="E25" s="4">
        <v>500000.0</v>
      </c>
      <c r="F25" s="4"/>
      <c r="G25" s="4">
        <v>-500000.0</v>
      </c>
      <c r="H25" s="4">
        <f t="array" ref="H25">IFERROR(INDEX(Data!$AB$2:$AB$81,MATCH(A25,Data!$A$2:$A$81,0)),1)</f>
        <v>1</v>
      </c>
      <c r="I25" s="4">
        <f t="shared" si="1"/>
        <v>500000</v>
      </c>
      <c r="J25" s="4" t="str">
        <f t="shared" si="2"/>
        <v/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131</v>
      </c>
      <c r="B26" s="4" t="s">
        <v>132</v>
      </c>
      <c r="C26" s="4" t="s">
        <v>72</v>
      </c>
      <c r="D26" s="4" t="s">
        <v>68</v>
      </c>
      <c r="E26" s="4">
        <v>1000000.0</v>
      </c>
      <c r="F26" s="4"/>
      <c r="G26" s="4">
        <v>-1000000.0</v>
      </c>
      <c r="H26" s="4">
        <f t="array" ref="H26">IFERROR(INDEX(Data!$AB$2:$AB$81,MATCH(A26,Data!$A$2:$A$81,0)),1)</f>
        <v>1</v>
      </c>
      <c r="I26" s="4">
        <f t="shared" si="1"/>
        <v>1000000</v>
      </c>
      <c r="J26" s="4" t="str">
        <f t="shared" si="2"/>
        <v/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133</v>
      </c>
      <c r="B27" s="4" t="s">
        <v>134</v>
      </c>
      <c r="C27" s="4" t="s">
        <v>85</v>
      </c>
      <c r="D27" s="4" t="s">
        <v>95</v>
      </c>
      <c r="E27" s="4">
        <v>100000.0</v>
      </c>
      <c r="F27" s="4"/>
      <c r="G27" s="4">
        <v>-100000.0</v>
      </c>
      <c r="H27" s="4">
        <f t="array" ref="H27">IFERROR(INDEX(Data!$AB$2:$AB$81,MATCH(A27,Data!$A$2:$A$81,0)),1)</f>
        <v>1</v>
      </c>
      <c r="I27" s="4">
        <f t="shared" si="1"/>
        <v>100000</v>
      </c>
      <c r="J27" s="4" t="str">
        <f t="shared" si="2"/>
        <v/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135</v>
      </c>
      <c r="B28" s="4" t="s">
        <v>136</v>
      </c>
      <c r="C28" s="4" t="s">
        <v>66</v>
      </c>
      <c r="D28" s="4" t="s">
        <v>95</v>
      </c>
      <c r="E28" s="4">
        <v>100000.0</v>
      </c>
      <c r="F28" s="4"/>
      <c r="G28" s="4">
        <v>-100000.0</v>
      </c>
      <c r="H28" s="4">
        <f t="array" ref="H28">IFERROR(INDEX(Data!$AB$2:$AB$81,MATCH(A28,Data!$A$2:$A$81,0)),1)</f>
        <v>1</v>
      </c>
      <c r="I28" s="4">
        <f t="shared" si="1"/>
        <v>100000</v>
      </c>
      <c r="J28" s="4" t="str">
        <f t="shared" si="2"/>
        <v/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137</v>
      </c>
      <c r="B29" s="4" t="s">
        <v>138</v>
      </c>
      <c r="C29" s="4" t="s">
        <v>66</v>
      </c>
      <c r="D29" s="4" t="s">
        <v>98</v>
      </c>
      <c r="E29" s="4">
        <v>1000000.0</v>
      </c>
      <c r="F29" s="4"/>
      <c r="G29" s="4">
        <v>-1000000.0</v>
      </c>
      <c r="H29" s="4">
        <f t="array" ref="H29">IFERROR(INDEX(Data!$AB$2:$AB$81,MATCH(A29,Data!$A$2:$A$81,0)),1)</f>
        <v>1</v>
      </c>
      <c r="I29" s="4">
        <f t="shared" si="1"/>
        <v>1000000</v>
      </c>
      <c r="J29" s="4" t="str">
        <f t="shared" si="2"/>
        <v/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139</v>
      </c>
      <c r="B30" s="4" t="s">
        <v>140</v>
      </c>
      <c r="C30" s="4" t="s">
        <v>85</v>
      </c>
      <c r="D30" s="4" t="s">
        <v>95</v>
      </c>
      <c r="E30" s="4">
        <v>500000.0</v>
      </c>
      <c r="F30" s="4"/>
      <c r="G30" s="4">
        <v>-500000.0</v>
      </c>
      <c r="H30" s="4">
        <f t="array" ref="H30">IFERROR(INDEX(Data!$AB$2:$AB$81,MATCH(A30,Data!$A$2:$A$81,0)),1)</f>
        <v>1</v>
      </c>
      <c r="I30" s="4">
        <f t="shared" si="1"/>
        <v>500000</v>
      </c>
      <c r="J30" s="4" t="str">
        <f t="shared" si="2"/>
        <v/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141</v>
      </c>
      <c r="B31" s="4" t="s">
        <v>142</v>
      </c>
      <c r="C31" s="4" t="s">
        <v>85</v>
      </c>
      <c r="D31" s="4" t="s">
        <v>98</v>
      </c>
      <c r="E31" s="4">
        <v>500000.0</v>
      </c>
      <c r="F31" s="4"/>
      <c r="G31" s="4">
        <v>-500000.0</v>
      </c>
      <c r="H31" s="4">
        <f t="array" ref="H31">IFERROR(INDEX(Data!$AB$2:$AB$81,MATCH(A31,Data!$A$2:$A$81,0)),1)</f>
        <v>1</v>
      </c>
      <c r="I31" s="4">
        <f t="shared" si="1"/>
        <v>500000</v>
      </c>
      <c r="J31" s="4" t="str">
        <f t="shared" si="2"/>
        <v/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143</v>
      </c>
      <c r="B32" s="4" t="s">
        <v>144</v>
      </c>
      <c r="C32" s="4" t="s">
        <v>101</v>
      </c>
      <c r="D32" s="4" t="s">
        <v>68</v>
      </c>
      <c r="E32" s="4">
        <v>100000.0</v>
      </c>
      <c r="F32" s="4">
        <v>113481.0</v>
      </c>
      <c r="G32" s="4">
        <v>13481.0</v>
      </c>
      <c r="H32" s="4">
        <f t="array" ref="H32">IFERROR(INDEX(Data!$AB$2:$AB$81,MATCH(A32,Data!$A$2:$A$81,0)),1)</f>
        <v>1</v>
      </c>
      <c r="I32" s="4">
        <f t="shared" si="1"/>
        <v>100000</v>
      </c>
      <c r="J32" s="4">
        <f t="shared" si="2"/>
        <v>113481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145</v>
      </c>
      <c r="B33" s="4" t="s">
        <v>146</v>
      </c>
      <c r="C33" s="4" t="s">
        <v>66</v>
      </c>
      <c r="D33" s="4" t="s">
        <v>95</v>
      </c>
      <c r="E33" s="4">
        <v>1000000.0</v>
      </c>
      <c r="F33" s="4">
        <v>824994.0</v>
      </c>
      <c r="G33" s="4">
        <v>-175006.0</v>
      </c>
      <c r="H33" s="4">
        <f t="array" ref="H33">IFERROR(INDEX(Data!$AB$2:$AB$81,MATCH(A33,Data!$A$2:$A$81,0)),1)</f>
        <v>1</v>
      </c>
      <c r="I33" s="4">
        <f t="shared" si="1"/>
        <v>1000000</v>
      </c>
      <c r="J33" s="4">
        <f t="shared" si="2"/>
        <v>824994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147</v>
      </c>
      <c r="B34" s="4" t="s">
        <v>148</v>
      </c>
      <c r="C34" s="4" t="s">
        <v>72</v>
      </c>
      <c r="D34" s="4" t="s">
        <v>98</v>
      </c>
      <c r="E34" s="4">
        <v>100000.0</v>
      </c>
      <c r="F34" s="4"/>
      <c r="G34" s="4">
        <v>-100000.0</v>
      </c>
      <c r="H34" s="4">
        <f t="array" ref="H34">IFERROR(INDEX(Data!$AB$2:$AB$81,MATCH(A34,Data!$A$2:$A$81,0)),1)</f>
        <v>1</v>
      </c>
      <c r="I34" s="4">
        <f t="shared" si="1"/>
        <v>100000</v>
      </c>
      <c r="J34" s="4" t="str">
        <f t="shared" si="2"/>
        <v/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149</v>
      </c>
      <c r="B35" s="4" t="s">
        <v>150</v>
      </c>
      <c r="C35" s="4" t="s">
        <v>88</v>
      </c>
      <c r="D35" s="4" t="s">
        <v>68</v>
      </c>
      <c r="E35" s="4">
        <v>100000.0</v>
      </c>
      <c r="F35" s="4"/>
      <c r="G35" s="4">
        <v>-100000.0</v>
      </c>
      <c r="H35" s="4">
        <f t="array" ref="H35">IFERROR(INDEX(Data!$AB$2:$AB$81,MATCH(A35,Data!$A$2:$A$81,0)),1)</f>
        <v>1</v>
      </c>
      <c r="I35" s="4">
        <f t="shared" si="1"/>
        <v>100000</v>
      </c>
      <c r="J35" s="4" t="str">
        <f t="shared" si="2"/>
        <v/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151</v>
      </c>
      <c r="B36" s="4" t="s">
        <v>152</v>
      </c>
      <c r="C36" s="4" t="s">
        <v>85</v>
      </c>
      <c r="D36" s="4" t="s">
        <v>74</v>
      </c>
      <c r="E36" s="4">
        <v>500000.0</v>
      </c>
      <c r="F36" s="4">
        <v>286299.0</v>
      </c>
      <c r="G36" s="4">
        <v>-213701.0</v>
      </c>
      <c r="H36" s="4">
        <f t="array" ref="H36">IFERROR(INDEX(Data!$AB$2:$AB$81,MATCH(A36,Data!$A$2:$A$81,0)),1)</f>
        <v>1</v>
      </c>
      <c r="I36" s="4">
        <f t="shared" si="1"/>
        <v>500000</v>
      </c>
      <c r="J36" s="4">
        <f t="shared" si="2"/>
        <v>286299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153</v>
      </c>
      <c r="B37" s="4" t="s">
        <v>154</v>
      </c>
      <c r="C37" s="4" t="s">
        <v>66</v>
      </c>
      <c r="D37" s="4" t="s">
        <v>74</v>
      </c>
      <c r="E37" s="4">
        <v>5000000.0</v>
      </c>
      <c r="F37" s="4">
        <v>5721392.0</v>
      </c>
      <c r="G37" s="4">
        <v>721392.0</v>
      </c>
      <c r="H37" s="4">
        <f t="array" ref="H37">IFERROR(INDEX(Data!$AB$2:$AB$81,MATCH(A37,Data!$A$2:$A$81,0)),1)</f>
        <v>1</v>
      </c>
      <c r="I37" s="4">
        <f t="shared" si="1"/>
        <v>5000000</v>
      </c>
      <c r="J37" s="4">
        <f t="shared" si="2"/>
        <v>5721392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155</v>
      </c>
      <c r="B38" s="4" t="s">
        <v>156</v>
      </c>
      <c r="C38" s="4" t="s">
        <v>72</v>
      </c>
      <c r="D38" s="4" t="s">
        <v>74</v>
      </c>
      <c r="E38" s="4">
        <v>500000.0</v>
      </c>
      <c r="F38" s="4">
        <v>592263.0</v>
      </c>
      <c r="G38" s="4">
        <v>92263.0</v>
      </c>
      <c r="H38" s="4">
        <f t="array" ref="H38">IFERROR(INDEX(Data!$AB$2:$AB$81,MATCH(A38,Data!$A$2:$A$81,0)),1)</f>
        <v>1</v>
      </c>
      <c r="I38" s="4">
        <f t="shared" si="1"/>
        <v>500000</v>
      </c>
      <c r="J38" s="4">
        <f t="shared" si="2"/>
        <v>592263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157</v>
      </c>
      <c r="B39" s="4" t="s">
        <v>158</v>
      </c>
      <c r="C39" s="4" t="s">
        <v>101</v>
      </c>
      <c r="D39" s="4" t="s">
        <v>98</v>
      </c>
      <c r="E39" s="4">
        <v>500000.0</v>
      </c>
      <c r="F39" s="4"/>
      <c r="G39" s="4">
        <v>-500000.0</v>
      </c>
      <c r="H39" s="4">
        <f t="array" ref="H39">IFERROR(INDEX(Data!$AB$2:$AB$81,MATCH(A39,Data!$A$2:$A$81,0)),1)</f>
        <v>1</v>
      </c>
      <c r="I39" s="4">
        <f t="shared" si="1"/>
        <v>500000</v>
      </c>
      <c r="J39" s="4" t="str">
        <f t="shared" si="2"/>
        <v/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159</v>
      </c>
      <c r="B40" s="4" t="s">
        <v>160</v>
      </c>
      <c r="C40" s="4" t="s">
        <v>66</v>
      </c>
      <c r="D40" s="4" t="s">
        <v>98</v>
      </c>
      <c r="E40" s="4">
        <v>100000.0</v>
      </c>
      <c r="F40" s="4"/>
      <c r="G40" s="4">
        <v>-100000.0</v>
      </c>
      <c r="H40" s="4">
        <f t="array" ref="H40">IFERROR(INDEX(Data!$AB$2:$AB$81,MATCH(A40,Data!$A$2:$A$81,0)),1)</f>
        <v>1</v>
      </c>
      <c r="I40" s="4">
        <f t="shared" si="1"/>
        <v>100000</v>
      </c>
      <c r="J40" s="4" t="str">
        <f t="shared" si="2"/>
        <v/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161</v>
      </c>
      <c r="B41" s="4" t="s">
        <v>162</v>
      </c>
      <c r="C41" s="4" t="s">
        <v>85</v>
      </c>
      <c r="D41" s="4" t="s">
        <v>95</v>
      </c>
      <c r="E41" s="4">
        <v>5000000.0</v>
      </c>
      <c r="F41" s="4"/>
      <c r="G41" s="4">
        <v>-5000000.0</v>
      </c>
      <c r="H41" s="4">
        <f t="array" ref="H41">IFERROR(INDEX(Data!$AB$2:$AB$81,MATCH(A41,Data!$A$2:$A$81,0)),1)</f>
        <v>1</v>
      </c>
      <c r="I41" s="4">
        <f t="shared" si="1"/>
        <v>5000000</v>
      </c>
      <c r="J41" s="4" t="str">
        <f t="shared" si="2"/>
        <v/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163</v>
      </c>
      <c r="B42" s="4" t="s">
        <v>164</v>
      </c>
      <c r="C42" s="4" t="s">
        <v>88</v>
      </c>
      <c r="D42" s="4" t="s">
        <v>74</v>
      </c>
      <c r="E42" s="4">
        <v>100000.0</v>
      </c>
      <c r="F42" s="4"/>
      <c r="G42" s="4">
        <v>-100000.0</v>
      </c>
      <c r="H42" s="4">
        <f t="array" ref="H42">IFERROR(INDEX(Data!$AB$2:$AB$81,MATCH(A42,Data!$A$2:$A$81,0)),1)</f>
        <v>1</v>
      </c>
      <c r="I42" s="4">
        <f t="shared" si="1"/>
        <v>100000</v>
      </c>
      <c r="J42" s="4" t="str">
        <f t="shared" si="2"/>
        <v/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165</v>
      </c>
      <c r="B43" s="4" t="s">
        <v>166</v>
      </c>
      <c r="C43" s="4" t="s">
        <v>85</v>
      </c>
      <c r="D43" s="4" t="s">
        <v>98</v>
      </c>
      <c r="E43" s="4">
        <v>1000000.0</v>
      </c>
      <c r="F43" s="4"/>
      <c r="G43" s="4">
        <v>-1000000.0</v>
      </c>
      <c r="H43" s="4">
        <f t="array" ref="H43">IFERROR(INDEX(Data!$AB$2:$AB$81,MATCH(A43,Data!$A$2:$A$81,0)),1)</f>
        <v>1</v>
      </c>
      <c r="I43" s="4">
        <f t="shared" si="1"/>
        <v>1000000</v>
      </c>
      <c r="J43" s="4" t="str">
        <f t="shared" si="2"/>
        <v/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167</v>
      </c>
      <c r="B44" s="4" t="s">
        <v>168</v>
      </c>
      <c r="C44" s="4" t="s">
        <v>66</v>
      </c>
      <c r="D44" s="4" t="s">
        <v>95</v>
      </c>
      <c r="E44" s="4">
        <v>5000000.0</v>
      </c>
      <c r="F44" s="4"/>
      <c r="G44" s="4">
        <v>-5000000.0</v>
      </c>
      <c r="H44" s="4">
        <f t="array" ref="H44">IFERROR(INDEX(Data!$AB$2:$AB$81,MATCH(A44,Data!$A$2:$A$81,0)),1)</f>
        <v>1</v>
      </c>
      <c r="I44" s="4">
        <f t="shared" si="1"/>
        <v>5000000</v>
      </c>
      <c r="J44" s="4" t="str">
        <f t="shared" si="2"/>
        <v/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169</v>
      </c>
      <c r="B45" s="4" t="s">
        <v>170</v>
      </c>
      <c r="C45" s="4" t="s">
        <v>101</v>
      </c>
      <c r="D45" s="4" t="s">
        <v>98</v>
      </c>
      <c r="E45" s="4">
        <v>100000.0</v>
      </c>
      <c r="F45" s="4">
        <v>112781.0</v>
      </c>
      <c r="G45" s="4">
        <v>12781.0</v>
      </c>
      <c r="H45" s="4">
        <f t="array" ref="H45">IFERROR(INDEX(Data!$AB$2:$AB$81,MATCH(A45,Data!$A$2:$A$81,0)),1)</f>
        <v>1</v>
      </c>
      <c r="I45" s="4">
        <f t="shared" si="1"/>
        <v>100000</v>
      </c>
      <c r="J45" s="4">
        <f t="shared" si="2"/>
        <v>112781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171</v>
      </c>
      <c r="B46" s="4" t="s">
        <v>172</v>
      </c>
      <c r="C46" s="4" t="s">
        <v>85</v>
      </c>
      <c r="D46" s="4" t="s">
        <v>74</v>
      </c>
      <c r="E46" s="4">
        <v>5000000.0</v>
      </c>
      <c r="F46" s="4"/>
      <c r="G46" s="4">
        <v>-5000000.0</v>
      </c>
      <c r="H46" s="4">
        <f t="array" ref="H46">IFERROR(INDEX(Data!$AB$2:$AB$81,MATCH(A46,Data!$A$2:$A$81,0)),1)</f>
        <v>1</v>
      </c>
      <c r="I46" s="4">
        <f t="shared" si="1"/>
        <v>5000000</v>
      </c>
      <c r="J46" s="4" t="str">
        <f t="shared" si="2"/>
        <v/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173</v>
      </c>
      <c r="B47" s="4" t="s">
        <v>174</v>
      </c>
      <c r="C47" s="4" t="s">
        <v>88</v>
      </c>
      <c r="D47" s="4" t="s">
        <v>98</v>
      </c>
      <c r="E47" s="4">
        <v>500000.0</v>
      </c>
      <c r="F47" s="4"/>
      <c r="G47" s="4">
        <v>-500000.0</v>
      </c>
      <c r="H47" s="4">
        <f t="array" ref="H47">IFERROR(INDEX(Data!$AB$2:$AB$81,MATCH(A47,Data!$A$2:$A$81,0)),1)</f>
        <v>1</v>
      </c>
      <c r="I47" s="4">
        <f t="shared" si="1"/>
        <v>500000</v>
      </c>
      <c r="J47" s="4" t="str">
        <f t="shared" si="2"/>
        <v/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175</v>
      </c>
      <c r="B48" s="4" t="s">
        <v>176</v>
      </c>
      <c r="C48" s="4" t="s">
        <v>85</v>
      </c>
      <c r="D48" s="4" t="s">
        <v>98</v>
      </c>
      <c r="E48" s="4">
        <v>500000.0</v>
      </c>
      <c r="F48" s="4"/>
      <c r="G48" s="4">
        <v>-500000.0</v>
      </c>
      <c r="H48" s="4">
        <f t="array" ref="H48">IFERROR(INDEX(Data!$AB$2:$AB$81,MATCH(A48,Data!$A$2:$A$81,0)),1)</f>
        <v>1</v>
      </c>
      <c r="I48" s="4">
        <f t="shared" si="1"/>
        <v>500000</v>
      </c>
      <c r="J48" s="4" t="str">
        <f t="shared" si="2"/>
        <v/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177</v>
      </c>
      <c r="B49" s="4" t="s">
        <v>178</v>
      </c>
      <c r="C49" s="4" t="s">
        <v>88</v>
      </c>
      <c r="D49" s="4" t="s">
        <v>74</v>
      </c>
      <c r="E49" s="4">
        <v>500000.0</v>
      </c>
      <c r="F49" s="4"/>
      <c r="G49" s="4">
        <v>-500000.0</v>
      </c>
      <c r="H49" s="4">
        <f t="array" ref="H49">IFERROR(INDEX(Data!$AB$2:$AB$81,MATCH(A49,Data!$A$2:$A$81,0)),1)</f>
        <v>1</v>
      </c>
      <c r="I49" s="4">
        <f t="shared" si="1"/>
        <v>500000</v>
      </c>
      <c r="J49" s="4" t="str">
        <f t="shared" si="2"/>
        <v/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179</v>
      </c>
      <c r="B50" s="4" t="s">
        <v>180</v>
      </c>
      <c r="C50" s="4" t="s">
        <v>101</v>
      </c>
      <c r="D50" s="4" t="s">
        <v>68</v>
      </c>
      <c r="E50" s="4">
        <v>1000000.0</v>
      </c>
      <c r="F50" s="4">
        <v>998312.0</v>
      </c>
      <c r="G50" s="4">
        <v>-1688.0</v>
      </c>
      <c r="H50" s="4">
        <f t="array" ref="H50">IFERROR(INDEX(Data!$AB$2:$AB$81,MATCH(A50,Data!$A$2:$A$81,0)),1)</f>
        <v>1</v>
      </c>
      <c r="I50" s="4">
        <f t="shared" si="1"/>
        <v>1000000</v>
      </c>
      <c r="J50" s="4">
        <f t="shared" si="2"/>
        <v>998312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181</v>
      </c>
      <c r="B51" s="4" t="s">
        <v>182</v>
      </c>
      <c r="C51" s="4" t="s">
        <v>66</v>
      </c>
      <c r="D51" s="4" t="s">
        <v>95</v>
      </c>
      <c r="E51" s="4">
        <v>1000000.0</v>
      </c>
      <c r="F51" s="4"/>
      <c r="G51" s="4">
        <v>-1000000.0</v>
      </c>
      <c r="H51" s="4">
        <f t="array" ref="H51">IFERROR(INDEX(Data!$AB$2:$AB$81,MATCH(A51,Data!$A$2:$A$81,0)),1)</f>
        <v>1</v>
      </c>
      <c r="I51" s="4">
        <f t="shared" si="1"/>
        <v>1000000</v>
      </c>
      <c r="J51" s="4" t="str">
        <f t="shared" si="2"/>
        <v/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183</v>
      </c>
      <c r="B52" s="4" t="s">
        <v>184</v>
      </c>
      <c r="C52" s="4" t="s">
        <v>72</v>
      </c>
      <c r="D52" s="4" t="s">
        <v>74</v>
      </c>
      <c r="E52" s="4">
        <v>100000.0</v>
      </c>
      <c r="F52" s="4"/>
      <c r="G52" s="4">
        <v>-100000.0</v>
      </c>
      <c r="H52" s="4">
        <f t="array" ref="H52">IFERROR(INDEX(Data!$AB$2:$AB$81,MATCH(A52,Data!$A$2:$A$81,0)),1)</f>
        <v>1</v>
      </c>
      <c r="I52" s="4">
        <f t="shared" si="1"/>
        <v>100000</v>
      </c>
      <c r="J52" s="4" t="str">
        <f t="shared" si="2"/>
        <v/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185</v>
      </c>
      <c r="B53" s="4" t="s">
        <v>186</v>
      </c>
      <c r="C53" s="4" t="s">
        <v>72</v>
      </c>
      <c r="D53" s="4" t="s">
        <v>95</v>
      </c>
      <c r="E53" s="4">
        <v>1000000.0</v>
      </c>
      <c r="F53" s="4">
        <v>642800.0</v>
      </c>
      <c r="G53" s="4">
        <v>-357200.0</v>
      </c>
      <c r="H53" s="4">
        <f t="array" ref="H53">IFERROR(INDEX(Data!$AB$2:$AB$81,MATCH(A53,Data!$A$2:$A$81,0)),1)</f>
        <v>1</v>
      </c>
      <c r="I53" s="4">
        <f t="shared" si="1"/>
        <v>1000000</v>
      </c>
      <c r="J53" s="4">
        <f t="shared" si="2"/>
        <v>642800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187</v>
      </c>
      <c r="B54" s="4" t="s">
        <v>188</v>
      </c>
      <c r="C54" s="4" t="s">
        <v>66</v>
      </c>
      <c r="D54" s="4" t="s">
        <v>68</v>
      </c>
      <c r="E54" s="4">
        <v>500000.0</v>
      </c>
      <c r="F54" s="4"/>
      <c r="G54" s="4">
        <v>-500000.0</v>
      </c>
      <c r="H54" s="4">
        <f t="array" ref="H54">IFERROR(INDEX(Data!$AB$2:$AB$81,MATCH(A54,Data!$A$2:$A$81,0)),1)</f>
        <v>1</v>
      </c>
      <c r="I54" s="4">
        <f t="shared" si="1"/>
        <v>500000</v>
      </c>
      <c r="J54" s="4" t="str">
        <f t="shared" si="2"/>
        <v/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189</v>
      </c>
      <c r="B55" s="4" t="s">
        <v>190</v>
      </c>
      <c r="C55" s="4" t="s">
        <v>66</v>
      </c>
      <c r="D55" s="4" t="s">
        <v>98</v>
      </c>
      <c r="E55" s="4">
        <v>1000000.0</v>
      </c>
      <c r="F55" s="4"/>
      <c r="G55" s="4">
        <v>-1000000.0</v>
      </c>
      <c r="H55" s="4">
        <f t="array" ref="H55">IFERROR(INDEX(Data!$AB$2:$AB$81,MATCH(A55,Data!$A$2:$A$81,0)),1)</f>
        <v>1</v>
      </c>
      <c r="I55" s="4">
        <f t="shared" si="1"/>
        <v>1000000</v>
      </c>
      <c r="J55" s="4" t="str">
        <f t="shared" si="2"/>
        <v/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191</v>
      </c>
      <c r="B56" s="4" t="s">
        <v>192</v>
      </c>
      <c r="C56" s="4" t="s">
        <v>88</v>
      </c>
      <c r="D56" s="4" t="s">
        <v>74</v>
      </c>
      <c r="E56" s="4">
        <v>500000.0</v>
      </c>
      <c r="F56" s="4"/>
      <c r="G56" s="4">
        <v>-500000.0</v>
      </c>
      <c r="H56" s="4">
        <f t="array" ref="H56">IFERROR(INDEX(Data!$AB$2:$AB$81,MATCH(A56,Data!$A$2:$A$81,0)),1)</f>
        <v>1</v>
      </c>
      <c r="I56" s="4">
        <f t="shared" si="1"/>
        <v>500000</v>
      </c>
      <c r="J56" s="4" t="str">
        <f t="shared" si="2"/>
        <v/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193</v>
      </c>
      <c r="B57" s="4" t="s">
        <v>194</v>
      </c>
      <c r="C57" s="4" t="s">
        <v>101</v>
      </c>
      <c r="D57" s="4" t="s">
        <v>95</v>
      </c>
      <c r="E57" s="4">
        <v>1000000.0</v>
      </c>
      <c r="F57" s="4">
        <v>591046.0</v>
      </c>
      <c r="G57" s="4">
        <v>-408954.0</v>
      </c>
      <c r="H57" s="4">
        <f t="array" ref="H57">IFERROR(INDEX(Data!$AB$2:$AB$81,MATCH(A57,Data!$A$2:$A$81,0)),1)</f>
        <v>1</v>
      </c>
      <c r="I57" s="4">
        <f t="shared" si="1"/>
        <v>1000000</v>
      </c>
      <c r="J57" s="4">
        <f t="shared" si="2"/>
        <v>591046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195</v>
      </c>
      <c r="B58" s="4" t="s">
        <v>196</v>
      </c>
      <c r="C58" s="4" t="s">
        <v>66</v>
      </c>
      <c r="D58" s="4" t="s">
        <v>98</v>
      </c>
      <c r="E58" s="4">
        <v>100000.0</v>
      </c>
      <c r="F58" s="4"/>
      <c r="G58" s="4">
        <v>-100000.0</v>
      </c>
      <c r="H58" s="4">
        <f t="array" ref="H58">IFERROR(INDEX(Data!$AB$2:$AB$81,MATCH(A58,Data!$A$2:$A$81,0)),1)</f>
        <v>1</v>
      </c>
      <c r="I58" s="4">
        <f t="shared" si="1"/>
        <v>100000</v>
      </c>
      <c r="J58" s="4" t="str">
        <f t="shared" si="2"/>
        <v/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197</v>
      </c>
      <c r="B59" s="4" t="s">
        <v>198</v>
      </c>
      <c r="C59" s="4" t="s">
        <v>66</v>
      </c>
      <c r="D59" s="4" t="s">
        <v>74</v>
      </c>
      <c r="E59" s="4">
        <v>500000.0</v>
      </c>
      <c r="F59" s="4"/>
      <c r="G59" s="4">
        <v>-500000.0</v>
      </c>
      <c r="H59" s="4">
        <f t="array" ref="H59">IFERROR(INDEX(Data!$AB$2:$AB$81,MATCH(A59,Data!$A$2:$A$81,0)),1)</f>
        <v>1</v>
      </c>
      <c r="I59" s="4">
        <f t="shared" si="1"/>
        <v>500000</v>
      </c>
      <c r="J59" s="4" t="str">
        <f t="shared" si="2"/>
        <v/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199</v>
      </c>
      <c r="B60" s="4" t="s">
        <v>200</v>
      </c>
      <c r="C60" s="4" t="s">
        <v>88</v>
      </c>
      <c r="D60" s="4" t="s">
        <v>98</v>
      </c>
      <c r="E60" s="4">
        <v>500000.0</v>
      </c>
      <c r="F60" s="4"/>
      <c r="G60" s="4">
        <v>-500000.0</v>
      </c>
      <c r="H60" s="4">
        <f t="array" ref="H60">IFERROR(INDEX(Data!$AB$2:$AB$81,MATCH(A60,Data!$A$2:$A$81,0)),1)</f>
        <v>1</v>
      </c>
      <c r="I60" s="4">
        <f t="shared" si="1"/>
        <v>500000</v>
      </c>
      <c r="J60" s="4" t="str">
        <f t="shared" si="2"/>
        <v/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201</v>
      </c>
      <c r="B61" s="4" t="s">
        <v>202</v>
      </c>
      <c r="C61" s="4" t="s">
        <v>88</v>
      </c>
      <c r="D61" s="4" t="s">
        <v>68</v>
      </c>
      <c r="E61" s="4">
        <v>100000.0</v>
      </c>
      <c r="F61" s="4"/>
      <c r="G61" s="4">
        <v>-100000.0</v>
      </c>
      <c r="H61" s="4">
        <f t="array" ref="H61">IFERROR(INDEX(Data!$AB$2:$AB$81,MATCH(A61,Data!$A$2:$A$81,0)),1)</f>
        <v>1</v>
      </c>
      <c r="I61" s="4">
        <f t="shared" si="1"/>
        <v>100000</v>
      </c>
      <c r="J61" s="4" t="str">
        <f t="shared" si="2"/>
        <v/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203</v>
      </c>
      <c r="B62" s="4" t="s">
        <v>204</v>
      </c>
      <c r="C62" s="4" t="s">
        <v>101</v>
      </c>
      <c r="D62" s="4" t="s">
        <v>95</v>
      </c>
      <c r="E62" s="4">
        <v>5000000.0</v>
      </c>
      <c r="F62" s="4">
        <v>3398066.0</v>
      </c>
      <c r="G62" s="4">
        <v>-1601934.0</v>
      </c>
      <c r="H62" s="4">
        <f t="array" ref="H62">IFERROR(INDEX(Data!$AB$2:$AB$81,MATCH(A62,Data!$A$2:$A$81,0)),1)</f>
        <v>1</v>
      </c>
      <c r="I62" s="4">
        <f t="shared" si="1"/>
        <v>5000000</v>
      </c>
      <c r="J62" s="4">
        <f t="shared" si="2"/>
        <v>3398066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205</v>
      </c>
      <c r="B63" s="4" t="s">
        <v>206</v>
      </c>
      <c r="C63" s="4" t="s">
        <v>101</v>
      </c>
      <c r="D63" s="4" t="s">
        <v>68</v>
      </c>
      <c r="E63" s="4">
        <v>1000000.0</v>
      </c>
      <c r="F63" s="4"/>
      <c r="G63" s="4">
        <v>-1000000.0</v>
      </c>
      <c r="H63" s="4">
        <f t="array" ref="H63">IFERROR(INDEX(Data!$AB$2:$AB$81,MATCH(A63,Data!$A$2:$A$81,0)),1)</f>
        <v>1</v>
      </c>
      <c r="I63" s="4">
        <f t="shared" si="1"/>
        <v>1000000</v>
      </c>
      <c r="J63" s="4" t="str">
        <f t="shared" si="2"/>
        <v/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207</v>
      </c>
      <c r="B64" s="4" t="s">
        <v>208</v>
      </c>
      <c r="C64" s="4" t="s">
        <v>66</v>
      </c>
      <c r="D64" s="4" t="s">
        <v>98</v>
      </c>
      <c r="E64" s="4">
        <v>500000.0</v>
      </c>
      <c r="F64" s="4"/>
      <c r="G64" s="4">
        <v>-500000.0</v>
      </c>
      <c r="H64" s="4">
        <f t="array" ref="H64">IFERROR(INDEX(Data!$AB$2:$AB$81,MATCH(A64,Data!$A$2:$A$81,0)),1)</f>
        <v>1</v>
      </c>
      <c r="I64" s="4">
        <f t="shared" si="1"/>
        <v>500000</v>
      </c>
      <c r="J64" s="4" t="str">
        <f t="shared" si="2"/>
        <v/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209</v>
      </c>
      <c r="B65" s="4" t="s">
        <v>210</v>
      </c>
      <c r="C65" s="4" t="s">
        <v>85</v>
      </c>
      <c r="D65" s="4" t="s">
        <v>95</v>
      </c>
      <c r="E65" s="4">
        <v>5000000.0</v>
      </c>
      <c r="F65" s="4"/>
      <c r="G65" s="4">
        <v>-5000000.0</v>
      </c>
      <c r="H65" s="4">
        <f t="array" ref="H65">IFERROR(INDEX(Data!$AB$2:$AB$81,MATCH(A65,Data!$A$2:$A$81,0)),1)</f>
        <v>1</v>
      </c>
      <c r="I65" s="4">
        <f t="shared" si="1"/>
        <v>5000000</v>
      </c>
      <c r="J65" s="4" t="str">
        <f t="shared" si="2"/>
        <v/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211</v>
      </c>
      <c r="B66" s="4" t="s">
        <v>212</v>
      </c>
      <c r="C66" s="4" t="s">
        <v>101</v>
      </c>
      <c r="D66" s="4" t="s">
        <v>98</v>
      </c>
      <c r="E66" s="4">
        <v>1000000.0</v>
      </c>
      <c r="F66" s="4"/>
      <c r="G66" s="4">
        <v>-1000000.0</v>
      </c>
      <c r="H66" s="4">
        <f t="array" ref="H66">IFERROR(INDEX(Data!$AB$2:$AB$81,MATCH(A66,Data!$A$2:$A$81,0)),1)</f>
        <v>1</v>
      </c>
      <c r="I66" s="4">
        <f t="shared" si="1"/>
        <v>1000000</v>
      </c>
      <c r="J66" s="4" t="str">
        <f t="shared" si="2"/>
        <v/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213</v>
      </c>
      <c r="B67" s="4" t="s">
        <v>214</v>
      </c>
      <c r="C67" s="4" t="s">
        <v>85</v>
      </c>
      <c r="D67" s="4" t="s">
        <v>74</v>
      </c>
      <c r="E67" s="4">
        <v>100000.0</v>
      </c>
      <c r="F67" s="4">
        <v>102917.0</v>
      </c>
      <c r="G67" s="4">
        <v>2917.0</v>
      </c>
      <c r="H67" s="4">
        <f t="array" ref="H67">IFERROR(INDEX(Data!$AB$2:$AB$81,MATCH(A67,Data!$A$2:$A$81,0)),1)</f>
        <v>1</v>
      </c>
      <c r="I67" s="4">
        <f t="shared" si="1"/>
        <v>100000</v>
      </c>
      <c r="J67" s="4">
        <f t="shared" si="2"/>
        <v>102917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215</v>
      </c>
      <c r="B68" s="4" t="s">
        <v>216</v>
      </c>
      <c r="C68" s="4" t="s">
        <v>66</v>
      </c>
      <c r="D68" s="4" t="s">
        <v>98</v>
      </c>
      <c r="E68" s="4">
        <v>100000.0</v>
      </c>
      <c r="F68" s="4"/>
      <c r="G68" s="4">
        <v>-100000.0</v>
      </c>
      <c r="H68" s="4">
        <f t="array" ref="H68">IFERROR(INDEX(Data!$AB$2:$AB$81,MATCH(A68,Data!$A$2:$A$81,0)),1)</f>
        <v>1</v>
      </c>
      <c r="I68" s="4">
        <f t="shared" si="1"/>
        <v>100000</v>
      </c>
      <c r="J68" s="4" t="str">
        <f t="shared" si="2"/>
        <v/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217</v>
      </c>
      <c r="B69" s="4" t="s">
        <v>218</v>
      </c>
      <c r="C69" s="4" t="s">
        <v>101</v>
      </c>
      <c r="D69" s="4" t="s">
        <v>74</v>
      </c>
      <c r="E69" s="4">
        <v>1000000.0</v>
      </c>
      <c r="F69" s="4">
        <v>1172093.0</v>
      </c>
      <c r="G69" s="4">
        <v>172093.0</v>
      </c>
      <c r="H69" s="4">
        <f t="array" ref="H69">IFERROR(INDEX(Data!$AB$2:$AB$81,MATCH(A69,Data!$A$2:$A$81,0)),1)</f>
        <v>1</v>
      </c>
      <c r="I69" s="4">
        <f t="shared" si="1"/>
        <v>1000000</v>
      </c>
      <c r="J69" s="4">
        <f t="shared" si="2"/>
        <v>1172093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219</v>
      </c>
      <c r="B70" s="4" t="s">
        <v>220</v>
      </c>
      <c r="C70" s="4" t="s">
        <v>88</v>
      </c>
      <c r="D70" s="4" t="s">
        <v>68</v>
      </c>
      <c r="E70" s="4">
        <v>5000000.0</v>
      </c>
      <c r="F70" s="4"/>
      <c r="G70" s="4">
        <v>-5000000.0</v>
      </c>
      <c r="H70" s="4">
        <f t="array" ref="H70">IFERROR(INDEX(Data!$AB$2:$AB$81,MATCH(A70,Data!$A$2:$A$81,0)),1)</f>
        <v>1</v>
      </c>
      <c r="I70" s="4">
        <f t="shared" si="1"/>
        <v>5000000</v>
      </c>
      <c r="J70" s="4" t="str">
        <f t="shared" si="2"/>
        <v/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221</v>
      </c>
      <c r="B71" s="4" t="s">
        <v>222</v>
      </c>
      <c r="C71" s="4" t="s">
        <v>66</v>
      </c>
      <c r="D71" s="4" t="s">
        <v>98</v>
      </c>
      <c r="E71" s="4">
        <v>500000.0</v>
      </c>
      <c r="F71" s="4"/>
      <c r="G71" s="4">
        <v>-500000.0</v>
      </c>
      <c r="H71" s="4">
        <f t="array" ref="H71">IFERROR(INDEX(Data!$AB$2:$AB$81,MATCH(A71,Data!$A$2:$A$81,0)),1)</f>
        <v>1</v>
      </c>
      <c r="I71" s="4">
        <f t="shared" si="1"/>
        <v>500000</v>
      </c>
      <c r="J71" s="4" t="str">
        <f t="shared" si="2"/>
        <v/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223</v>
      </c>
      <c r="B72" s="4" t="s">
        <v>224</v>
      </c>
      <c r="C72" s="4" t="s">
        <v>88</v>
      </c>
      <c r="D72" s="4" t="s">
        <v>95</v>
      </c>
      <c r="E72" s="4">
        <v>100000.0</v>
      </c>
      <c r="F72" s="4"/>
      <c r="G72" s="4">
        <v>-100000.0</v>
      </c>
      <c r="H72" s="4">
        <f t="array" ref="H72">IFERROR(INDEX(Data!$AB$2:$AB$81,MATCH(A72,Data!$A$2:$A$81,0)),1)</f>
        <v>1</v>
      </c>
      <c r="I72" s="4">
        <f t="shared" si="1"/>
        <v>100000</v>
      </c>
      <c r="J72" s="4" t="str">
        <f t="shared" si="2"/>
        <v/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225</v>
      </c>
      <c r="B73" s="4" t="s">
        <v>226</v>
      </c>
      <c r="C73" s="4" t="s">
        <v>66</v>
      </c>
      <c r="D73" s="4" t="s">
        <v>98</v>
      </c>
      <c r="E73" s="4">
        <v>500000.0</v>
      </c>
      <c r="F73" s="4">
        <v>484953.0</v>
      </c>
      <c r="G73" s="4">
        <v>-15047.0</v>
      </c>
      <c r="H73" s="4">
        <f t="array" ref="H73">IFERROR(INDEX(Data!$AB$2:$AB$81,MATCH(A73,Data!$A$2:$A$81,0)),1)</f>
        <v>1</v>
      </c>
      <c r="I73" s="4">
        <f t="shared" si="1"/>
        <v>500000</v>
      </c>
      <c r="J73" s="4">
        <f t="shared" si="2"/>
        <v>484953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227</v>
      </c>
      <c r="B74" s="4" t="s">
        <v>228</v>
      </c>
      <c r="C74" s="4" t="s">
        <v>88</v>
      </c>
      <c r="D74" s="4" t="s">
        <v>68</v>
      </c>
      <c r="E74" s="4">
        <v>1000000.0</v>
      </c>
      <c r="F74" s="4"/>
      <c r="G74" s="4">
        <v>-1000000.0</v>
      </c>
      <c r="H74" s="4">
        <f t="array" ref="H74">IFERROR(INDEX(Data!$AB$2:$AB$81,MATCH(A74,Data!$A$2:$A$81,0)),1)</f>
        <v>1</v>
      </c>
      <c r="I74" s="4">
        <f t="shared" si="1"/>
        <v>1000000</v>
      </c>
      <c r="J74" s="4" t="str">
        <f t="shared" si="2"/>
        <v/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229</v>
      </c>
      <c r="B75" s="4" t="s">
        <v>230</v>
      </c>
      <c r="C75" s="4" t="s">
        <v>66</v>
      </c>
      <c r="D75" s="4" t="s">
        <v>68</v>
      </c>
      <c r="E75" s="4">
        <v>5000000.0</v>
      </c>
      <c r="F75" s="4"/>
      <c r="G75" s="4">
        <v>-5000000.0</v>
      </c>
      <c r="H75" s="4">
        <f t="array" ref="H75">IFERROR(INDEX(Data!$AB$2:$AB$81,MATCH(A75,Data!$A$2:$A$81,0)),1)</f>
        <v>1</v>
      </c>
      <c r="I75" s="4">
        <f t="shared" si="1"/>
        <v>5000000</v>
      </c>
      <c r="J75" s="4" t="str">
        <f t="shared" si="2"/>
        <v/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231</v>
      </c>
      <c r="B76" s="4" t="s">
        <v>232</v>
      </c>
      <c r="C76" s="4" t="s">
        <v>101</v>
      </c>
      <c r="D76" s="4" t="s">
        <v>95</v>
      </c>
      <c r="E76" s="4">
        <v>100000.0</v>
      </c>
      <c r="F76" s="4"/>
      <c r="G76" s="4">
        <v>-100000.0</v>
      </c>
      <c r="H76" s="4">
        <f t="array" ref="H76">IFERROR(INDEX(Data!$AB$2:$AB$81,MATCH(A76,Data!$A$2:$A$81,0)),1)</f>
        <v>1</v>
      </c>
      <c r="I76" s="4">
        <f t="shared" si="1"/>
        <v>100000</v>
      </c>
      <c r="J76" s="4" t="str">
        <f t="shared" si="2"/>
        <v/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233</v>
      </c>
      <c r="B77" s="4" t="s">
        <v>234</v>
      </c>
      <c r="C77" s="4" t="s">
        <v>88</v>
      </c>
      <c r="D77" s="4" t="s">
        <v>98</v>
      </c>
      <c r="E77" s="4">
        <v>100000.0</v>
      </c>
      <c r="F77" s="4"/>
      <c r="G77" s="4">
        <v>-100000.0</v>
      </c>
      <c r="H77" s="4">
        <f t="array" ref="H77">IFERROR(INDEX(Data!$AB$2:$AB$81,MATCH(A77,Data!$A$2:$A$81,0)),1)</f>
        <v>1</v>
      </c>
      <c r="I77" s="4">
        <f t="shared" si="1"/>
        <v>100000</v>
      </c>
      <c r="J77" s="4" t="str">
        <f t="shared" si="2"/>
        <v/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235</v>
      </c>
      <c r="B78" s="4" t="s">
        <v>236</v>
      </c>
      <c r="C78" s="4" t="s">
        <v>72</v>
      </c>
      <c r="D78" s="4" t="s">
        <v>98</v>
      </c>
      <c r="E78" s="4">
        <v>1000000.0</v>
      </c>
      <c r="F78" s="4"/>
      <c r="G78" s="4">
        <v>-1000000.0</v>
      </c>
      <c r="H78" s="4">
        <f t="array" ref="H78">IFERROR(INDEX(Data!$AB$2:$AB$81,MATCH(A78,Data!$A$2:$A$81,0)),1)</f>
        <v>1</v>
      </c>
      <c r="I78" s="4">
        <f t="shared" si="1"/>
        <v>1000000</v>
      </c>
      <c r="J78" s="4" t="str">
        <f t="shared" si="2"/>
        <v/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237</v>
      </c>
      <c r="B79" s="4" t="s">
        <v>238</v>
      </c>
      <c r="C79" s="4" t="s">
        <v>66</v>
      </c>
      <c r="D79" s="4" t="s">
        <v>74</v>
      </c>
      <c r="E79" s="4">
        <v>500000.0</v>
      </c>
      <c r="F79" s="4"/>
      <c r="G79" s="4">
        <v>-500000.0</v>
      </c>
      <c r="H79" s="4">
        <f t="array" ref="H79">IFERROR(INDEX(Data!$AB$2:$AB$81,MATCH(A79,Data!$A$2:$A$81,0)),1)</f>
        <v>1</v>
      </c>
      <c r="I79" s="4">
        <f t="shared" si="1"/>
        <v>500000</v>
      </c>
      <c r="J79" s="4" t="str">
        <f t="shared" si="2"/>
        <v/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239</v>
      </c>
      <c r="B80" s="4" t="s">
        <v>240</v>
      </c>
      <c r="C80" s="4" t="s">
        <v>85</v>
      </c>
      <c r="D80" s="4" t="s">
        <v>98</v>
      </c>
      <c r="E80" s="4">
        <v>500000.0</v>
      </c>
      <c r="F80" s="4"/>
      <c r="G80" s="4">
        <v>-500000.0</v>
      </c>
      <c r="H80" s="4">
        <f t="array" ref="H80">IFERROR(INDEX(Data!$AB$2:$AB$81,MATCH(A80,Data!$A$2:$A$81,0)),1)</f>
        <v>1</v>
      </c>
      <c r="I80" s="4">
        <f t="shared" si="1"/>
        <v>500000</v>
      </c>
      <c r="J80" s="4" t="str">
        <f t="shared" si="2"/>
        <v/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241</v>
      </c>
      <c r="B81" s="4" t="s">
        <v>242</v>
      </c>
      <c r="C81" s="4" t="s">
        <v>66</v>
      </c>
      <c r="D81" s="4" t="s">
        <v>74</v>
      </c>
      <c r="E81" s="4">
        <v>1000000.0</v>
      </c>
      <c r="F81" s="4"/>
      <c r="G81" s="4">
        <v>-1000000.0</v>
      </c>
      <c r="H81" s="4">
        <f t="array" ref="H81">IFERROR(INDEX(Data!$AB$2:$AB$81,MATCH(A81,Data!$A$2:$A$81,0)),1)</f>
        <v>1</v>
      </c>
      <c r="I81" s="4">
        <f t="shared" si="1"/>
        <v>1000000</v>
      </c>
      <c r="J81" s="4" t="str">
        <f t="shared" si="2"/>
        <v/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>
        <f t="array" ref="H82">IFERROR(INDEX(Data!$AB$2:$AB$81,MATCH(A82,Data!$A$2:$A$81,0)),1)</f>
        <v>1</v>
      </c>
      <c r="I82" s="4" t="str">
        <f t="shared" si="1"/>
        <v/>
      </c>
      <c r="J82" s="4" t="str">
        <f t="shared" si="2"/>
        <v/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3" t="s">
        <v>317</v>
      </c>
      <c r="B83" s="23" t="s">
        <v>39</v>
      </c>
      <c r="C83" s="23" t="s">
        <v>40</v>
      </c>
      <c r="D83" s="23" t="s">
        <v>246</v>
      </c>
      <c r="E83" s="23" t="s">
        <v>314</v>
      </c>
      <c r="F83" s="23" t="s">
        <v>313</v>
      </c>
      <c r="G83" s="23" t="s">
        <v>60</v>
      </c>
      <c r="H83" s="4">
        <f t="array" ref="H83">IFERROR(INDEX(Data!$AB$2:$AB$81,MATCH(A83,Data!$A$2:$A$81,0)),1)</f>
        <v>1</v>
      </c>
      <c r="I83" s="4" t="str">
        <f t="shared" si="1"/>
        <v>Actual Revenue ($)</v>
      </c>
      <c r="J83" s="4" t="str">
        <f t="shared" si="2"/>
        <v>Expected Revenue ($)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>
        <v>1.0</v>
      </c>
      <c r="B84" s="10" t="s">
        <v>154</v>
      </c>
      <c r="C84" s="4" t="s">
        <v>66</v>
      </c>
      <c r="D84" s="4" t="s">
        <v>74</v>
      </c>
      <c r="E84" s="14">
        <v>5721392.0</v>
      </c>
      <c r="F84" s="14">
        <v>5000000.0</v>
      </c>
      <c r="G84" s="14">
        <v>721392.0</v>
      </c>
      <c r="H84" s="4">
        <f t="array" ref="H84">IFERROR(INDEX(Data!$AB$2:$AB$81,MATCH(A84,Data!$A$2:$A$81,0)),1)</f>
        <v>1</v>
      </c>
      <c r="I84" s="14">
        <f t="shared" si="1"/>
        <v>5721392</v>
      </c>
      <c r="J84" s="14">
        <f t="shared" si="2"/>
        <v>5000000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>
        <v>2.0</v>
      </c>
      <c r="B85" s="10" t="s">
        <v>117</v>
      </c>
      <c r="C85" s="4" t="s">
        <v>72</v>
      </c>
      <c r="D85" s="4" t="s">
        <v>95</v>
      </c>
      <c r="E85" s="14">
        <v>5258316.0</v>
      </c>
      <c r="F85" s="14">
        <v>5000000.0</v>
      </c>
      <c r="G85" s="14">
        <v>258316.0</v>
      </c>
      <c r="H85" s="4">
        <f t="array" ref="H85">IFERROR(INDEX(Data!$AB$2:$AB$81,MATCH(A85,Data!$A$2:$A$81,0)),1)</f>
        <v>1</v>
      </c>
      <c r="I85" s="14">
        <f t="shared" si="1"/>
        <v>5258316</v>
      </c>
      <c r="J85" s="14">
        <f t="shared" si="2"/>
        <v>5000000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>
        <v>3.0</v>
      </c>
      <c r="B86" s="10" t="s">
        <v>204</v>
      </c>
      <c r="C86" s="4" t="s">
        <v>101</v>
      </c>
      <c r="D86" s="4" t="s">
        <v>95</v>
      </c>
      <c r="E86" s="14">
        <v>3398066.0</v>
      </c>
      <c r="F86" s="14">
        <v>5000000.0</v>
      </c>
      <c r="G86" s="14">
        <v>-1601934.0</v>
      </c>
      <c r="H86" s="4">
        <f t="array" ref="H86">IFERROR(INDEX(Data!$AB$2:$AB$81,MATCH(A86,Data!$A$2:$A$81,0)),1)</f>
        <v>1</v>
      </c>
      <c r="I86" s="14">
        <f t="shared" si="1"/>
        <v>3398066</v>
      </c>
      <c r="J86" s="14">
        <f t="shared" si="2"/>
        <v>5000000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>
        <v>4.0</v>
      </c>
      <c r="B87" s="10" t="s">
        <v>218</v>
      </c>
      <c r="C87" s="4" t="s">
        <v>101</v>
      </c>
      <c r="D87" s="4" t="s">
        <v>74</v>
      </c>
      <c r="E87" s="14">
        <v>1172093.0</v>
      </c>
      <c r="F87" s="14">
        <v>1000000.0</v>
      </c>
      <c r="G87" s="14">
        <v>172093.0</v>
      </c>
      <c r="H87" s="4">
        <f t="array" ref="H87">IFERROR(INDEX(Data!$AB$2:$AB$81,MATCH(A87,Data!$A$2:$A$81,0)),1)</f>
        <v>1</v>
      </c>
      <c r="I87" s="14">
        <f t="shared" si="1"/>
        <v>1172093</v>
      </c>
      <c r="J87" s="14">
        <f t="shared" si="2"/>
        <v>1000000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>
        <v>5.0</v>
      </c>
      <c r="B88" s="10" t="s">
        <v>180</v>
      </c>
      <c r="C88" s="4" t="s">
        <v>101</v>
      </c>
      <c r="D88" s="4" t="s">
        <v>68</v>
      </c>
      <c r="E88" s="14">
        <v>998312.0</v>
      </c>
      <c r="F88" s="14">
        <v>1000000.0</v>
      </c>
      <c r="G88" s="14">
        <v>-1688.0</v>
      </c>
      <c r="H88" s="4">
        <f t="array" ref="H88">IFERROR(INDEX(Data!$AB$2:$AB$81,MATCH(A88,Data!$A$2:$A$81,0)),1)</f>
        <v>1</v>
      </c>
      <c r="I88" s="14">
        <f t="shared" si="1"/>
        <v>998312</v>
      </c>
      <c r="J88" s="14">
        <f t="shared" si="2"/>
        <v>1000000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>
        <v>6.0</v>
      </c>
      <c r="B89" s="4" t="s">
        <v>146</v>
      </c>
      <c r="C89" s="4" t="s">
        <v>66</v>
      </c>
      <c r="D89" s="4" t="s">
        <v>95</v>
      </c>
      <c r="E89" s="14">
        <v>824994.0</v>
      </c>
      <c r="F89" s="14">
        <v>1000000.0</v>
      </c>
      <c r="G89" s="14">
        <v>-175006.0</v>
      </c>
      <c r="H89" s="4">
        <f t="array" ref="H89">IFERROR(INDEX(Data!$AB$2:$AB$81,MATCH(A89,Data!$A$2:$A$81,0)),1)</f>
        <v>1</v>
      </c>
      <c r="I89" s="14">
        <f t="shared" si="1"/>
        <v>824994</v>
      </c>
      <c r="J89" s="14">
        <f t="shared" si="2"/>
        <v>1000000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>
        <v>7.0</v>
      </c>
      <c r="B90" s="4" t="s">
        <v>97</v>
      </c>
      <c r="C90" s="4" t="s">
        <v>66</v>
      </c>
      <c r="D90" s="4" t="s">
        <v>98</v>
      </c>
      <c r="E90" s="14">
        <v>740974.0</v>
      </c>
      <c r="F90" s="14">
        <v>1000000.0</v>
      </c>
      <c r="G90" s="14">
        <v>-259026.0</v>
      </c>
      <c r="H90" s="4">
        <f t="array" ref="H90">IFERROR(INDEX(Data!$AB$2:$AB$81,MATCH(A90,Data!$A$2:$A$81,0)),1)</f>
        <v>1</v>
      </c>
      <c r="I90" s="14">
        <f t="shared" si="1"/>
        <v>740974</v>
      </c>
      <c r="J90" s="14">
        <f t="shared" si="2"/>
        <v>1000000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>
        <v>8.0</v>
      </c>
      <c r="B91" s="4" t="s">
        <v>186</v>
      </c>
      <c r="C91" s="4" t="s">
        <v>72</v>
      </c>
      <c r="D91" s="4" t="s">
        <v>95</v>
      </c>
      <c r="E91" s="14">
        <v>642800.0</v>
      </c>
      <c r="F91" s="14">
        <v>1000000.0</v>
      </c>
      <c r="G91" s="14">
        <v>-357200.0</v>
      </c>
      <c r="H91" s="4">
        <f t="array" ref="H91">IFERROR(INDEX(Data!$AB$2:$AB$81,MATCH(A91,Data!$A$2:$A$81,0)),1)</f>
        <v>1</v>
      </c>
      <c r="I91" s="14">
        <f t="shared" si="1"/>
        <v>642800</v>
      </c>
      <c r="J91" s="14">
        <f t="shared" si="2"/>
        <v>1000000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>
        <v>9.0</v>
      </c>
      <c r="B92" s="4" t="s">
        <v>156</v>
      </c>
      <c r="C92" s="4" t="s">
        <v>72</v>
      </c>
      <c r="D92" s="4" t="s">
        <v>74</v>
      </c>
      <c r="E92" s="14">
        <v>592263.0</v>
      </c>
      <c r="F92" s="14">
        <v>500000.0</v>
      </c>
      <c r="G92" s="14">
        <v>92263.0</v>
      </c>
      <c r="H92" s="4">
        <f t="array" ref="H92">IFERROR(INDEX(Data!$AB$2:$AB$81,MATCH(A92,Data!$A$2:$A$81,0)),1)</f>
        <v>1</v>
      </c>
      <c r="I92" s="14">
        <f t="shared" si="1"/>
        <v>592263</v>
      </c>
      <c r="J92" s="14">
        <f t="shared" si="2"/>
        <v>500000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>
        <v>10.0</v>
      </c>
      <c r="B93" s="4" t="s">
        <v>194</v>
      </c>
      <c r="C93" s="4" t="s">
        <v>101</v>
      </c>
      <c r="D93" s="4" t="s">
        <v>95</v>
      </c>
      <c r="E93" s="14">
        <v>591046.0</v>
      </c>
      <c r="F93" s="14">
        <v>1000000.0</v>
      </c>
      <c r="G93" s="14">
        <v>-408954.0</v>
      </c>
      <c r="H93" s="4">
        <f t="array" ref="H93">IFERROR(INDEX(Data!$AB$2:$AB$81,MATCH(A93,Data!$A$2:$A$81,0)),1)</f>
        <v>1</v>
      </c>
      <c r="I93" s="14">
        <f t="shared" si="1"/>
        <v>591046</v>
      </c>
      <c r="J93" s="14">
        <f t="shared" si="2"/>
        <v>1000000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>
        <v>11.0</v>
      </c>
      <c r="B94" s="4" t="s">
        <v>226</v>
      </c>
      <c r="C94" s="4" t="s">
        <v>66</v>
      </c>
      <c r="D94" s="4" t="s">
        <v>98</v>
      </c>
      <c r="E94" s="14">
        <v>484953.0</v>
      </c>
      <c r="F94" s="14">
        <v>500000.0</v>
      </c>
      <c r="G94" s="14">
        <v>-15047.0</v>
      </c>
      <c r="H94" s="4">
        <f t="array" ref="H94">IFERROR(INDEX(Data!$AB$2:$AB$81,MATCH(A94,Data!$A$2:$A$81,0)),1)</f>
        <v>1</v>
      </c>
      <c r="I94" s="14">
        <f t="shared" si="1"/>
        <v>484953</v>
      </c>
      <c r="J94" s="14">
        <f t="shared" si="2"/>
        <v>500000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>
        <v>12.0</v>
      </c>
      <c r="B95" s="4" t="s">
        <v>152</v>
      </c>
      <c r="C95" s="4" t="s">
        <v>85</v>
      </c>
      <c r="D95" s="4" t="s">
        <v>74</v>
      </c>
      <c r="E95" s="14">
        <v>286299.0</v>
      </c>
      <c r="F95" s="14">
        <v>500000.0</v>
      </c>
      <c r="G95" s="14">
        <v>-213701.0</v>
      </c>
      <c r="H95" s="4">
        <f t="array" ref="H95">IFERROR(INDEX(Data!$AB$2:$AB$81,MATCH(A95,Data!$A$2:$A$81,0)),1)</f>
        <v>1</v>
      </c>
      <c r="I95" s="14">
        <f t="shared" si="1"/>
        <v>286299</v>
      </c>
      <c r="J95" s="14">
        <f t="shared" si="2"/>
        <v>500000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>
        <v>13.0</v>
      </c>
      <c r="B96" s="4" t="s">
        <v>128</v>
      </c>
      <c r="C96" s="4" t="s">
        <v>85</v>
      </c>
      <c r="D96" s="4" t="s">
        <v>74</v>
      </c>
      <c r="E96" s="14">
        <v>256270.0</v>
      </c>
      <c r="F96" s="14">
        <v>500000.0</v>
      </c>
      <c r="G96" s="14">
        <v>-243730.0</v>
      </c>
      <c r="H96" s="4">
        <f t="array" ref="H96">IFERROR(INDEX(Data!$AB$2:$AB$81,MATCH(A96,Data!$A$2:$A$81,0)),1)</f>
        <v>1</v>
      </c>
      <c r="I96" s="14">
        <f t="shared" si="1"/>
        <v>256270</v>
      </c>
      <c r="J96" s="14">
        <f t="shared" si="2"/>
        <v>500000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>
        <v>14.0</v>
      </c>
      <c r="B97" s="4" t="s">
        <v>144</v>
      </c>
      <c r="C97" s="4" t="s">
        <v>101</v>
      </c>
      <c r="D97" s="4" t="s">
        <v>68</v>
      </c>
      <c r="E97" s="14">
        <v>113481.0</v>
      </c>
      <c r="F97" s="14">
        <v>100000.0</v>
      </c>
      <c r="G97" s="14">
        <v>13481.0</v>
      </c>
      <c r="H97" s="4">
        <f t="array" ref="H97">IFERROR(INDEX(Data!$AB$2:$AB$81,MATCH(A97,Data!$A$2:$A$81,0)),1)</f>
        <v>1</v>
      </c>
      <c r="I97" s="14">
        <f t="shared" si="1"/>
        <v>113481</v>
      </c>
      <c r="J97" s="14">
        <f t="shared" si="2"/>
        <v>100000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>
        <v>15.0</v>
      </c>
      <c r="B98" s="4" t="s">
        <v>170</v>
      </c>
      <c r="C98" s="4" t="s">
        <v>101</v>
      </c>
      <c r="D98" s="4" t="s">
        <v>98</v>
      </c>
      <c r="E98" s="14">
        <v>112781.0</v>
      </c>
      <c r="F98" s="14">
        <v>100000.0</v>
      </c>
      <c r="G98" s="14">
        <v>12781.0</v>
      </c>
      <c r="H98" s="4">
        <f t="array" ref="H98">IFERROR(INDEX(Data!$AB$2:$AB$81,MATCH(A98,Data!$A$2:$A$81,0)),1)</f>
        <v>1</v>
      </c>
      <c r="I98" s="14">
        <f t="shared" si="1"/>
        <v>112781</v>
      </c>
      <c r="J98" s="14">
        <f t="shared" si="2"/>
        <v>100000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>
        <v>16.0</v>
      </c>
      <c r="B99" s="4" t="s">
        <v>214</v>
      </c>
      <c r="C99" s="4" t="s">
        <v>85</v>
      </c>
      <c r="D99" s="4" t="s">
        <v>74</v>
      </c>
      <c r="E99" s="14">
        <v>102917.0</v>
      </c>
      <c r="F99" s="14">
        <v>100000.0</v>
      </c>
      <c r="G99" s="14">
        <v>2917.0</v>
      </c>
      <c r="H99" s="4">
        <f t="array" ref="H99">IFERROR(INDEX(Data!$AB$2:$AB$81,MATCH(A99,Data!$A$2:$A$81,0)),1)</f>
        <v>1</v>
      </c>
      <c r="I99" s="14">
        <f t="shared" si="1"/>
        <v>102917</v>
      </c>
      <c r="J99" s="14">
        <f t="shared" si="2"/>
        <v>100000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>
        <v>17.0</v>
      </c>
      <c r="B100" s="4" t="s">
        <v>91</v>
      </c>
      <c r="C100" s="4" t="s">
        <v>85</v>
      </c>
      <c r="D100" s="4" t="s">
        <v>68</v>
      </c>
      <c r="E100" s="14">
        <v>62161.0</v>
      </c>
      <c r="F100" s="14">
        <v>100000.0</v>
      </c>
      <c r="G100" s="14">
        <v>-37839.0</v>
      </c>
      <c r="H100" s="4">
        <f t="array" ref="H100">IFERROR(INDEX(Data!$AB$2:$AB$81,MATCH(A100,Data!$A$2:$A$81,0)),1)</f>
        <v>1</v>
      </c>
      <c r="I100" s="14">
        <f t="shared" si="1"/>
        <v>62161</v>
      </c>
      <c r="J100" s="14">
        <f t="shared" si="2"/>
        <v>100000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>
        <v>18.0</v>
      </c>
      <c r="B101" s="4" t="s">
        <v>123</v>
      </c>
      <c r="C101" s="4" t="s">
        <v>101</v>
      </c>
      <c r="D101" s="4" t="s">
        <v>74</v>
      </c>
      <c r="E101" s="14">
        <v>50329.0</v>
      </c>
      <c r="F101" s="14">
        <v>100000.0</v>
      </c>
      <c r="G101" s="14">
        <v>-49671.0</v>
      </c>
      <c r="H101" s="4">
        <f t="array" ref="H101">IFERROR(INDEX(Data!$AB$2:$AB$81,MATCH(A101,Data!$A$2:$A$81,0)),1)</f>
        <v>1</v>
      </c>
      <c r="I101" s="14">
        <f t="shared" si="1"/>
        <v>50329</v>
      </c>
      <c r="J101" s="14">
        <f t="shared" si="2"/>
        <v>100000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>
        <v>19.0</v>
      </c>
      <c r="B102" s="4" t="s">
        <v>65</v>
      </c>
      <c r="C102" s="4" t="s">
        <v>66</v>
      </c>
      <c r="D102" s="4" t="s">
        <v>68</v>
      </c>
      <c r="E102" s="14"/>
      <c r="F102" s="14">
        <v>5000000.0</v>
      </c>
      <c r="G102" s="14">
        <v>-5000000.0</v>
      </c>
      <c r="H102" s="4">
        <f t="array" ref="H102">IFERROR(INDEX(Data!$AB$2:$AB$81,MATCH(A102,Data!$A$2:$A$81,0)),1)</f>
        <v>1</v>
      </c>
      <c r="I102" s="14" t="str">
        <f t="shared" si="1"/>
        <v/>
      </c>
      <c r="J102" s="14">
        <f t="shared" si="2"/>
        <v>5000000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>
        <v>20.0</v>
      </c>
      <c r="B103" s="4" t="s">
        <v>71</v>
      </c>
      <c r="C103" s="4" t="s">
        <v>72</v>
      </c>
      <c r="D103" s="4" t="s">
        <v>74</v>
      </c>
      <c r="E103" s="14"/>
      <c r="F103" s="14">
        <v>100000.0</v>
      </c>
      <c r="G103" s="14">
        <v>-100000.0</v>
      </c>
      <c r="H103" s="4">
        <f t="array" ref="H103">IFERROR(INDEX(Data!$AB$2:$AB$81,MATCH(A103,Data!$A$2:$A$81,0)),1)</f>
        <v>1</v>
      </c>
      <c r="I103" s="14" t="str">
        <f t="shared" si="1"/>
        <v/>
      </c>
      <c r="J103" s="14">
        <f t="shared" si="2"/>
        <v>100000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>
        <v>21.0</v>
      </c>
      <c r="B104" s="4" t="s">
        <v>76</v>
      </c>
      <c r="C104" s="4" t="s">
        <v>66</v>
      </c>
      <c r="D104" s="4" t="s">
        <v>68</v>
      </c>
      <c r="E104" s="14"/>
      <c r="F104" s="14">
        <v>5000000.0</v>
      </c>
      <c r="G104" s="14">
        <v>-5000000.0</v>
      </c>
      <c r="H104" s="4">
        <f t="array" ref="H104">IFERROR(INDEX(Data!$AB$2:$AB$81,MATCH(A104,Data!$A$2:$A$81,0)),1)</f>
        <v>1</v>
      </c>
      <c r="I104" s="14" t="str">
        <f t="shared" si="1"/>
        <v/>
      </c>
      <c r="J104" s="14">
        <f t="shared" si="2"/>
        <v>5000000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>
        <v>22.0</v>
      </c>
      <c r="B105" s="4" t="s">
        <v>80</v>
      </c>
      <c r="C105" s="4" t="s">
        <v>72</v>
      </c>
      <c r="D105" s="4" t="s">
        <v>68</v>
      </c>
      <c r="E105" s="14"/>
      <c r="F105" s="14">
        <v>100000.0</v>
      </c>
      <c r="G105" s="14">
        <v>-100000.0</v>
      </c>
      <c r="H105" s="4">
        <f t="array" ref="H105">IFERROR(INDEX(Data!$AB$2:$AB$81,MATCH(A105,Data!$A$2:$A$81,0)),1)</f>
        <v>1</v>
      </c>
      <c r="I105" s="14" t="str">
        <f t="shared" si="1"/>
        <v/>
      </c>
      <c r="J105" s="14">
        <f t="shared" si="2"/>
        <v>100000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>
        <v>23.0</v>
      </c>
      <c r="B106" s="4" t="s">
        <v>84</v>
      </c>
      <c r="C106" s="4" t="s">
        <v>85</v>
      </c>
      <c r="D106" s="4" t="s">
        <v>68</v>
      </c>
      <c r="E106" s="14"/>
      <c r="F106" s="14">
        <v>500000.0</v>
      </c>
      <c r="G106" s="14">
        <v>-500000.0</v>
      </c>
      <c r="H106" s="4">
        <f t="array" ref="H106">IFERROR(INDEX(Data!$AB$2:$AB$81,MATCH(A106,Data!$A$2:$A$81,0)),1)</f>
        <v>1</v>
      </c>
      <c r="I106" s="14" t="str">
        <f t="shared" si="1"/>
        <v/>
      </c>
      <c r="J106" s="14">
        <f t="shared" si="2"/>
        <v>500000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>
        <v>24.0</v>
      </c>
      <c r="B107" s="4" t="s">
        <v>87</v>
      </c>
      <c r="C107" s="4" t="s">
        <v>88</v>
      </c>
      <c r="D107" s="4" t="s">
        <v>74</v>
      </c>
      <c r="E107" s="14"/>
      <c r="F107" s="14">
        <v>500000.0</v>
      </c>
      <c r="G107" s="14">
        <v>-500000.0</v>
      </c>
      <c r="H107" s="4">
        <f t="array" ref="H107">IFERROR(INDEX(Data!$AB$2:$AB$81,MATCH(A107,Data!$A$2:$A$81,0)),1)</f>
        <v>1</v>
      </c>
      <c r="I107" s="14" t="str">
        <f t="shared" si="1"/>
        <v/>
      </c>
      <c r="J107" s="14">
        <f t="shared" si="2"/>
        <v>500000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>
        <v>25.0</v>
      </c>
      <c r="B108" s="4" t="s">
        <v>94</v>
      </c>
      <c r="C108" s="4" t="s">
        <v>88</v>
      </c>
      <c r="D108" s="4" t="s">
        <v>95</v>
      </c>
      <c r="E108" s="14"/>
      <c r="F108" s="14">
        <v>5000000.0</v>
      </c>
      <c r="G108" s="14">
        <v>-5000000.0</v>
      </c>
      <c r="H108" s="4">
        <f t="array" ref="H108">IFERROR(INDEX(Data!$AB$2:$AB$81,MATCH(A108,Data!$A$2:$A$81,0)),1)</f>
        <v>1</v>
      </c>
      <c r="I108" s="14" t="str">
        <f t="shared" si="1"/>
        <v/>
      </c>
      <c r="J108" s="14">
        <f t="shared" si="2"/>
        <v>5000000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>
        <v>26.0</v>
      </c>
      <c r="B109" s="4" t="s">
        <v>100</v>
      </c>
      <c r="C109" s="4" t="s">
        <v>101</v>
      </c>
      <c r="D109" s="4" t="s">
        <v>68</v>
      </c>
      <c r="E109" s="14"/>
      <c r="F109" s="14">
        <v>500000.0</v>
      </c>
      <c r="G109" s="14">
        <v>-500000.0</v>
      </c>
      <c r="H109" s="4">
        <f t="array" ref="H109">IFERROR(INDEX(Data!$AB$2:$AB$81,MATCH(A109,Data!$A$2:$A$81,0)),1)</f>
        <v>1</v>
      </c>
      <c r="I109" s="14" t="str">
        <f t="shared" si="1"/>
        <v/>
      </c>
      <c r="J109" s="14">
        <f t="shared" si="2"/>
        <v>500000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>
        <v>27.0</v>
      </c>
      <c r="B110" s="4" t="s">
        <v>103</v>
      </c>
      <c r="C110" s="4" t="s">
        <v>88</v>
      </c>
      <c r="D110" s="4" t="s">
        <v>68</v>
      </c>
      <c r="E110" s="14"/>
      <c r="F110" s="14">
        <v>100000.0</v>
      </c>
      <c r="G110" s="14">
        <v>-100000.0</v>
      </c>
      <c r="H110" s="4">
        <f t="array" ref="H110">IFERROR(INDEX(Data!$AB$2:$AB$81,MATCH(A110,Data!$A$2:$A$81,0)),1)</f>
        <v>1</v>
      </c>
      <c r="I110" s="14" t="str">
        <f t="shared" si="1"/>
        <v/>
      </c>
      <c r="J110" s="14">
        <f t="shared" si="2"/>
        <v>100000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>
        <v>28.0</v>
      </c>
      <c r="B111" s="4" t="s">
        <v>105</v>
      </c>
      <c r="C111" s="4" t="s">
        <v>88</v>
      </c>
      <c r="D111" s="4" t="s">
        <v>68</v>
      </c>
      <c r="E111" s="14"/>
      <c r="F111" s="14">
        <v>1000000.0</v>
      </c>
      <c r="G111" s="14">
        <v>-1000000.0</v>
      </c>
      <c r="H111" s="4">
        <f t="array" ref="H111">IFERROR(INDEX(Data!$AB$2:$AB$81,MATCH(A111,Data!$A$2:$A$81,0)),1)</f>
        <v>1</v>
      </c>
      <c r="I111" s="14" t="str">
        <f t="shared" si="1"/>
        <v/>
      </c>
      <c r="J111" s="14">
        <f t="shared" si="2"/>
        <v>1000000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>
        <v>29.0</v>
      </c>
      <c r="B112" s="4" t="s">
        <v>107</v>
      </c>
      <c r="C112" s="4" t="s">
        <v>66</v>
      </c>
      <c r="D112" s="4" t="s">
        <v>74</v>
      </c>
      <c r="E112" s="14"/>
      <c r="F112" s="14">
        <v>1000000.0</v>
      </c>
      <c r="G112" s="14">
        <v>-1000000.0</v>
      </c>
      <c r="H112" s="4">
        <f t="array" ref="H112">IFERROR(INDEX(Data!$AB$2:$AB$81,MATCH(A112,Data!$A$2:$A$81,0)),1)</f>
        <v>1</v>
      </c>
      <c r="I112" s="14" t="str">
        <f t="shared" si="1"/>
        <v/>
      </c>
      <c r="J112" s="14">
        <f t="shared" si="2"/>
        <v>1000000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>
        <v>30.0</v>
      </c>
      <c r="B113" s="4" t="s">
        <v>109</v>
      </c>
      <c r="C113" s="4" t="s">
        <v>101</v>
      </c>
      <c r="D113" s="4" t="s">
        <v>74</v>
      </c>
      <c r="E113" s="14"/>
      <c r="F113" s="14">
        <v>500000.0</v>
      </c>
      <c r="G113" s="14">
        <v>-500000.0</v>
      </c>
      <c r="H113" s="4">
        <f t="array" ref="H113">IFERROR(INDEX(Data!$AB$2:$AB$81,MATCH(A113,Data!$A$2:$A$81,0)),1)</f>
        <v>1</v>
      </c>
      <c r="I113" s="14" t="str">
        <f t="shared" si="1"/>
        <v/>
      </c>
      <c r="J113" s="14">
        <f t="shared" si="2"/>
        <v>500000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>
        <v>31.0</v>
      </c>
      <c r="B114" s="4" t="s">
        <v>111</v>
      </c>
      <c r="C114" s="4" t="s">
        <v>88</v>
      </c>
      <c r="D114" s="4" t="s">
        <v>95</v>
      </c>
      <c r="E114" s="14"/>
      <c r="F114" s="14">
        <v>5000000.0</v>
      </c>
      <c r="G114" s="14">
        <v>-5000000.0</v>
      </c>
      <c r="H114" s="4">
        <f t="array" ref="H114">IFERROR(INDEX(Data!$AB$2:$AB$81,MATCH(A114,Data!$A$2:$A$81,0)),1)</f>
        <v>1</v>
      </c>
      <c r="I114" s="14" t="str">
        <f t="shared" si="1"/>
        <v/>
      </c>
      <c r="J114" s="14">
        <f t="shared" si="2"/>
        <v>5000000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>
        <v>32.0</v>
      </c>
      <c r="B115" s="4" t="s">
        <v>113</v>
      </c>
      <c r="C115" s="4" t="s">
        <v>101</v>
      </c>
      <c r="D115" s="4" t="s">
        <v>74</v>
      </c>
      <c r="E115" s="14"/>
      <c r="F115" s="14">
        <v>1000000.0</v>
      </c>
      <c r="G115" s="14">
        <v>-1000000.0</v>
      </c>
      <c r="H115" s="4">
        <f t="array" ref="H115">IFERROR(INDEX(Data!$AB$2:$AB$81,MATCH(A115,Data!$A$2:$A$81,0)),1)</f>
        <v>1</v>
      </c>
      <c r="I115" s="14" t="str">
        <f t="shared" si="1"/>
        <v/>
      </c>
      <c r="J115" s="14">
        <f t="shared" si="2"/>
        <v>1000000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>
        <v>33.0</v>
      </c>
      <c r="B116" s="4" t="s">
        <v>115</v>
      </c>
      <c r="C116" s="4" t="s">
        <v>88</v>
      </c>
      <c r="D116" s="4" t="s">
        <v>74</v>
      </c>
      <c r="E116" s="14"/>
      <c r="F116" s="14">
        <v>1000000.0</v>
      </c>
      <c r="G116" s="14">
        <v>-1000000.0</v>
      </c>
      <c r="H116" s="4">
        <f t="array" ref="H116">IFERROR(INDEX(Data!$AB$2:$AB$81,MATCH(A116,Data!$A$2:$A$81,0)),1)</f>
        <v>1</v>
      </c>
      <c r="I116" s="14" t="str">
        <f t="shared" si="1"/>
        <v/>
      </c>
      <c r="J116" s="14">
        <f t="shared" si="2"/>
        <v>1000000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>
        <v>34.0</v>
      </c>
      <c r="B117" s="4" t="s">
        <v>119</v>
      </c>
      <c r="C117" s="4" t="s">
        <v>101</v>
      </c>
      <c r="D117" s="4" t="s">
        <v>68</v>
      </c>
      <c r="E117" s="14"/>
      <c r="F117" s="14">
        <v>100000.0</v>
      </c>
      <c r="G117" s="14">
        <v>-100000.0</v>
      </c>
      <c r="H117" s="4">
        <f t="array" ref="H117">IFERROR(INDEX(Data!$AB$2:$AB$81,MATCH(A117,Data!$A$2:$A$81,0)),1)</f>
        <v>1</v>
      </c>
      <c r="I117" s="14" t="str">
        <f t="shared" si="1"/>
        <v/>
      </c>
      <c r="J117" s="14">
        <f t="shared" si="2"/>
        <v>100000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>
        <v>35.0</v>
      </c>
      <c r="B118" s="4" t="s">
        <v>121</v>
      </c>
      <c r="C118" s="4" t="s">
        <v>85</v>
      </c>
      <c r="D118" s="4" t="s">
        <v>98</v>
      </c>
      <c r="E118" s="14"/>
      <c r="F118" s="14">
        <v>500000.0</v>
      </c>
      <c r="G118" s="14">
        <v>-500000.0</v>
      </c>
      <c r="H118" s="4">
        <f t="array" ref="H118">IFERROR(INDEX(Data!$AB$2:$AB$81,MATCH(A118,Data!$A$2:$A$81,0)),1)</f>
        <v>1</v>
      </c>
      <c r="I118" s="14" t="str">
        <f t="shared" si="1"/>
        <v/>
      </c>
      <c r="J118" s="14">
        <f t="shared" si="2"/>
        <v>500000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>
        <v>36.0</v>
      </c>
      <c r="B119" s="4" t="s">
        <v>126</v>
      </c>
      <c r="C119" s="4" t="s">
        <v>101</v>
      </c>
      <c r="D119" s="4" t="s">
        <v>95</v>
      </c>
      <c r="E119" s="14"/>
      <c r="F119" s="14">
        <v>5000000.0</v>
      </c>
      <c r="G119" s="14">
        <v>-5000000.0</v>
      </c>
      <c r="H119" s="4">
        <f t="array" ref="H119">IFERROR(INDEX(Data!$AB$2:$AB$81,MATCH(A119,Data!$A$2:$A$81,0)),1)</f>
        <v>1</v>
      </c>
      <c r="I119" s="14" t="str">
        <f t="shared" si="1"/>
        <v/>
      </c>
      <c r="J119" s="14">
        <f t="shared" si="2"/>
        <v>5000000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>
        <v>37.0</v>
      </c>
      <c r="B120" s="4" t="s">
        <v>130</v>
      </c>
      <c r="C120" s="4" t="s">
        <v>72</v>
      </c>
      <c r="D120" s="4" t="s">
        <v>95</v>
      </c>
      <c r="E120" s="14"/>
      <c r="F120" s="14">
        <v>500000.0</v>
      </c>
      <c r="G120" s="14">
        <v>-500000.0</v>
      </c>
      <c r="H120" s="4">
        <f t="array" ref="H120">IFERROR(INDEX(Data!$AB$2:$AB$81,MATCH(A120,Data!$A$2:$A$81,0)),1)</f>
        <v>1</v>
      </c>
      <c r="I120" s="14" t="str">
        <f t="shared" si="1"/>
        <v/>
      </c>
      <c r="J120" s="14">
        <f t="shared" si="2"/>
        <v>500000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>
        <v>38.0</v>
      </c>
      <c r="B121" s="4" t="s">
        <v>132</v>
      </c>
      <c r="C121" s="4" t="s">
        <v>72</v>
      </c>
      <c r="D121" s="4" t="s">
        <v>68</v>
      </c>
      <c r="E121" s="14"/>
      <c r="F121" s="14">
        <v>1000000.0</v>
      </c>
      <c r="G121" s="14">
        <v>-1000000.0</v>
      </c>
      <c r="H121" s="4">
        <f t="array" ref="H121">IFERROR(INDEX(Data!$AB$2:$AB$81,MATCH(A121,Data!$A$2:$A$81,0)),1)</f>
        <v>1</v>
      </c>
      <c r="I121" s="14" t="str">
        <f t="shared" si="1"/>
        <v/>
      </c>
      <c r="J121" s="14">
        <f t="shared" si="2"/>
        <v>1000000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>
        <v>39.0</v>
      </c>
      <c r="B122" s="4" t="s">
        <v>134</v>
      </c>
      <c r="C122" s="4" t="s">
        <v>85</v>
      </c>
      <c r="D122" s="4" t="s">
        <v>95</v>
      </c>
      <c r="E122" s="14"/>
      <c r="F122" s="14">
        <v>100000.0</v>
      </c>
      <c r="G122" s="14">
        <v>-100000.0</v>
      </c>
      <c r="H122" s="4">
        <f t="array" ref="H122">IFERROR(INDEX(Data!$AB$2:$AB$81,MATCH(A122,Data!$A$2:$A$81,0)),1)</f>
        <v>1</v>
      </c>
      <c r="I122" s="14" t="str">
        <f t="shared" si="1"/>
        <v/>
      </c>
      <c r="J122" s="14">
        <f t="shared" si="2"/>
        <v>100000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>
        <v>40.0</v>
      </c>
      <c r="B123" s="4" t="s">
        <v>136</v>
      </c>
      <c r="C123" s="4" t="s">
        <v>66</v>
      </c>
      <c r="D123" s="4" t="s">
        <v>95</v>
      </c>
      <c r="E123" s="14"/>
      <c r="F123" s="14">
        <v>100000.0</v>
      </c>
      <c r="G123" s="14">
        <v>-100000.0</v>
      </c>
      <c r="H123" s="4">
        <f t="array" ref="H123">IFERROR(INDEX(Data!$AB$2:$AB$81,MATCH(A123,Data!$A$2:$A$81,0)),1)</f>
        <v>1</v>
      </c>
      <c r="I123" s="14" t="str">
        <f t="shared" si="1"/>
        <v/>
      </c>
      <c r="J123" s="14">
        <f t="shared" si="2"/>
        <v>100000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>
        <v>41.0</v>
      </c>
      <c r="B124" s="4" t="s">
        <v>138</v>
      </c>
      <c r="C124" s="4" t="s">
        <v>66</v>
      </c>
      <c r="D124" s="4" t="s">
        <v>98</v>
      </c>
      <c r="E124" s="14"/>
      <c r="F124" s="14">
        <v>1000000.0</v>
      </c>
      <c r="G124" s="14">
        <v>-1000000.0</v>
      </c>
      <c r="H124" s="4">
        <f t="array" ref="H124">IFERROR(INDEX(Data!$AB$2:$AB$81,MATCH(A124,Data!$A$2:$A$81,0)),1)</f>
        <v>1</v>
      </c>
      <c r="I124" s="14" t="str">
        <f t="shared" si="1"/>
        <v/>
      </c>
      <c r="J124" s="14">
        <f t="shared" si="2"/>
        <v>1000000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>
        <v>42.0</v>
      </c>
      <c r="B125" s="4" t="s">
        <v>140</v>
      </c>
      <c r="C125" s="4" t="s">
        <v>85</v>
      </c>
      <c r="D125" s="4" t="s">
        <v>95</v>
      </c>
      <c r="E125" s="14"/>
      <c r="F125" s="14">
        <v>500000.0</v>
      </c>
      <c r="G125" s="14">
        <v>-500000.0</v>
      </c>
      <c r="H125" s="4">
        <f t="array" ref="H125">IFERROR(INDEX(Data!$AB$2:$AB$81,MATCH(A125,Data!$A$2:$A$81,0)),1)</f>
        <v>1</v>
      </c>
      <c r="I125" s="14" t="str">
        <f t="shared" si="1"/>
        <v/>
      </c>
      <c r="J125" s="14">
        <f t="shared" si="2"/>
        <v>500000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>
        <v>43.0</v>
      </c>
      <c r="B126" s="4" t="s">
        <v>142</v>
      </c>
      <c r="C126" s="4" t="s">
        <v>85</v>
      </c>
      <c r="D126" s="4" t="s">
        <v>98</v>
      </c>
      <c r="E126" s="14"/>
      <c r="F126" s="14">
        <v>500000.0</v>
      </c>
      <c r="G126" s="14">
        <v>-500000.0</v>
      </c>
      <c r="H126" s="4">
        <f t="array" ref="H126">IFERROR(INDEX(Data!$AB$2:$AB$81,MATCH(A126,Data!$A$2:$A$81,0)),1)</f>
        <v>1</v>
      </c>
      <c r="I126" s="14" t="str">
        <f t="shared" si="1"/>
        <v/>
      </c>
      <c r="J126" s="14">
        <f t="shared" si="2"/>
        <v>500000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>
        <v>44.0</v>
      </c>
      <c r="B127" s="4" t="s">
        <v>148</v>
      </c>
      <c r="C127" s="4" t="s">
        <v>72</v>
      </c>
      <c r="D127" s="4" t="s">
        <v>98</v>
      </c>
      <c r="E127" s="14"/>
      <c r="F127" s="14">
        <v>100000.0</v>
      </c>
      <c r="G127" s="14">
        <v>-100000.0</v>
      </c>
      <c r="H127" s="4">
        <f t="array" ref="H127">IFERROR(INDEX(Data!$AB$2:$AB$81,MATCH(A127,Data!$A$2:$A$81,0)),1)</f>
        <v>1</v>
      </c>
      <c r="I127" s="14" t="str">
        <f t="shared" si="1"/>
        <v/>
      </c>
      <c r="J127" s="14">
        <f t="shared" si="2"/>
        <v>100000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>
        <v>45.0</v>
      </c>
      <c r="B128" s="4" t="s">
        <v>150</v>
      </c>
      <c r="C128" s="4" t="s">
        <v>88</v>
      </c>
      <c r="D128" s="4" t="s">
        <v>68</v>
      </c>
      <c r="E128" s="14"/>
      <c r="F128" s="14">
        <v>100000.0</v>
      </c>
      <c r="G128" s="14">
        <v>-100000.0</v>
      </c>
      <c r="H128" s="4">
        <f t="array" ref="H128">IFERROR(INDEX(Data!$AB$2:$AB$81,MATCH(A128,Data!$A$2:$A$81,0)),1)</f>
        <v>1</v>
      </c>
      <c r="I128" s="14" t="str">
        <f t="shared" si="1"/>
        <v/>
      </c>
      <c r="J128" s="14">
        <f t="shared" si="2"/>
        <v>100000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>
        <v>46.0</v>
      </c>
      <c r="B129" s="4" t="s">
        <v>158</v>
      </c>
      <c r="C129" s="4" t="s">
        <v>101</v>
      </c>
      <c r="D129" s="4" t="s">
        <v>98</v>
      </c>
      <c r="E129" s="14"/>
      <c r="F129" s="14">
        <v>500000.0</v>
      </c>
      <c r="G129" s="14">
        <v>-500000.0</v>
      </c>
      <c r="H129" s="4">
        <f t="array" ref="H129">IFERROR(INDEX(Data!$AB$2:$AB$81,MATCH(A129,Data!$A$2:$A$81,0)),1)</f>
        <v>1</v>
      </c>
      <c r="I129" s="14" t="str">
        <f t="shared" si="1"/>
        <v/>
      </c>
      <c r="J129" s="14">
        <f t="shared" si="2"/>
        <v>500000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>
        <v>47.0</v>
      </c>
      <c r="B130" s="4" t="s">
        <v>160</v>
      </c>
      <c r="C130" s="4" t="s">
        <v>66</v>
      </c>
      <c r="D130" s="4" t="s">
        <v>98</v>
      </c>
      <c r="E130" s="14"/>
      <c r="F130" s="14">
        <v>100000.0</v>
      </c>
      <c r="G130" s="14">
        <v>-100000.0</v>
      </c>
      <c r="H130" s="4">
        <f t="array" ref="H130">IFERROR(INDEX(Data!$AB$2:$AB$81,MATCH(A130,Data!$A$2:$A$81,0)),1)</f>
        <v>1</v>
      </c>
      <c r="I130" s="14" t="str">
        <f t="shared" si="1"/>
        <v/>
      </c>
      <c r="J130" s="14">
        <f t="shared" si="2"/>
        <v>100000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>
        <v>48.0</v>
      </c>
      <c r="B131" s="4" t="s">
        <v>162</v>
      </c>
      <c r="C131" s="4" t="s">
        <v>85</v>
      </c>
      <c r="D131" s="4" t="s">
        <v>95</v>
      </c>
      <c r="E131" s="14"/>
      <c r="F131" s="14">
        <v>5000000.0</v>
      </c>
      <c r="G131" s="14">
        <v>-5000000.0</v>
      </c>
      <c r="H131" s="4">
        <f t="array" ref="H131">IFERROR(INDEX(Data!$AB$2:$AB$81,MATCH(A131,Data!$A$2:$A$81,0)),1)</f>
        <v>1</v>
      </c>
      <c r="I131" s="14" t="str">
        <f t="shared" si="1"/>
        <v/>
      </c>
      <c r="J131" s="14">
        <f t="shared" si="2"/>
        <v>5000000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>
        <v>49.0</v>
      </c>
      <c r="B132" s="4" t="s">
        <v>164</v>
      </c>
      <c r="C132" s="4" t="s">
        <v>88</v>
      </c>
      <c r="D132" s="4" t="s">
        <v>74</v>
      </c>
      <c r="E132" s="14"/>
      <c r="F132" s="14">
        <v>100000.0</v>
      </c>
      <c r="G132" s="14">
        <v>-100000.0</v>
      </c>
      <c r="H132" s="4">
        <f t="array" ref="H132">IFERROR(INDEX(Data!$AB$2:$AB$81,MATCH(A132,Data!$A$2:$A$81,0)),1)</f>
        <v>1</v>
      </c>
      <c r="I132" s="14" t="str">
        <f t="shared" si="1"/>
        <v/>
      </c>
      <c r="J132" s="14">
        <f t="shared" si="2"/>
        <v>100000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>
        <v>50.0</v>
      </c>
      <c r="B133" s="4" t="s">
        <v>166</v>
      </c>
      <c r="C133" s="4" t="s">
        <v>85</v>
      </c>
      <c r="D133" s="4" t="s">
        <v>98</v>
      </c>
      <c r="E133" s="14"/>
      <c r="F133" s="14">
        <v>1000000.0</v>
      </c>
      <c r="G133" s="14">
        <v>-1000000.0</v>
      </c>
      <c r="H133" s="4">
        <f t="array" ref="H133">IFERROR(INDEX(Data!$AB$2:$AB$81,MATCH(A133,Data!$A$2:$A$81,0)),1)</f>
        <v>1</v>
      </c>
      <c r="I133" s="14" t="str">
        <f t="shared" si="1"/>
        <v/>
      </c>
      <c r="J133" s="14">
        <f t="shared" si="2"/>
        <v>1000000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>
        <v>51.0</v>
      </c>
      <c r="B134" s="4" t="s">
        <v>168</v>
      </c>
      <c r="C134" s="4" t="s">
        <v>66</v>
      </c>
      <c r="D134" s="4" t="s">
        <v>95</v>
      </c>
      <c r="E134" s="14"/>
      <c r="F134" s="14">
        <v>5000000.0</v>
      </c>
      <c r="G134" s="14">
        <v>-5000000.0</v>
      </c>
      <c r="H134" s="4">
        <f t="array" ref="H134">IFERROR(INDEX(Data!$AB$2:$AB$81,MATCH(A134,Data!$A$2:$A$81,0)),1)</f>
        <v>1</v>
      </c>
      <c r="I134" s="14" t="str">
        <f t="shared" si="1"/>
        <v/>
      </c>
      <c r="J134" s="14">
        <f t="shared" si="2"/>
        <v>5000000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>
        <v>52.0</v>
      </c>
      <c r="B135" s="4" t="s">
        <v>172</v>
      </c>
      <c r="C135" s="4" t="s">
        <v>85</v>
      </c>
      <c r="D135" s="4" t="s">
        <v>74</v>
      </c>
      <c r="E135" s="14"/>
      <c r="F135" s="14">
        <v>5000000.0</v>
      </c>
      <c r="G135" s="14">
        <v>-5000000.0</v>
      </c>
      <c r="H135" s="4">
        <f t="array" ref="H135">IFERROR(INDEX(Data!$AB$2:$AB$81,MATCH(A135,Data!$A$2:$A$81,0)),1)</f>
        <v>1</v>
      </c>
      <c r="I135" s="14" t="str">
        <f t="shared" si="1"/>
        <v/>
      </c>
      <c r="J135" s="14">
        <f t="shared" si="2"/>
        <v>5000000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>
        <v>53.0</v>
      </c>
      <c r="B136" s="4" t="s">
        <v>174</v>
      </c>
      <c r="C136" s="4" t="s">
        <v>88</v>
      </c>
      <c r="D136" s="4" t="s">
        <v>98</v>
      </c>
      <c r="E136" s="14"/>
      <c r="F136" s="14">
        <v>500000.0</v>
      </c>
      <c r="G136" s="14">
        <v>-500000.0</v>
      </c>
      <c r="H136" s="4">
        <f t="array" ref="H136">IFERROR(INDEX(Data!$AB$2:$AB$81,MATCH(A136,Data!$A$2:$A$81,0)),1)</f>
        <v>1</v>
      </c>
      <c r="I136" s="14" t="str">
        <f t="shared" si="1"/>
        <v/>
      </c>
      <c r="J136" s="14">
        <f t="shared" si="2"/>
        <v>500000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>
        <v>54.0</v>
      </c>
      <c r="B137" s="4" t="s">
        <v>176</v>
      </c>
      <c r="C137" s="4" t="s">
        <v>85</v>
      </c>
      <c r="D137" s="4" t="s">
        <v>98</v>
      </c>
      <c r="E137" s="14"/>
      <c r="F137" s="14">
        <v>500000.0</v>
      </c>
      <c r="G137" s="14">
        <v>-500000.0</v>
      </c>
      <c r="H137" s="4">
        <f t="array" ref="H137">IFERROR(INDEX(Data!$AB$2:$AB$81,MATCH(A137,Data!$A$2:$A$81,0)),1)</f>
        <v>1</v>
      </c>
      <c r="I137" s="14" t="str">
        <f t="shared" si="1"/>
        <v/>
      </c>
      <c r="J137" s="14">
        <f t="shared" si="2"/>
        <v>500000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>
        <v>55.0</v>
      </c>
      <c r="B138" s="4" t="s">
        <v>178</v>
      </c>
      <c r="C138" s="4" t="s">
        <v>88</v>
      </c>
      <c r="D138" s="4" t="s">
        <v>74</v>
      </c>
      <c r="E138" s="14"/>
      <c r="F138" s="14">
        <v>500000.0</v>
      </c>
      <c r="G138" s="14">
        <v>-500000.0</v>
      </c>
      <c r="H138" s="4">
        <f t="array" ref="H138">IFERROR(INDEX(Data!$AB$2:$AB$81,MATCH(A138,Data!$A$2:$A$81,0)),1)</f>
        <v>1</v>
      </c>
      <c r="I138" s="14" t="str">
        <f t="shared" si="1"/>
        <v/>
      </c>
      <c r="J138" s="14">
        <f t="shared" si="2"/>
        <v>500000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>
        <v>56.0</v>
      </c>
      <c r="B139" s="4" t="s">
        <v>182</v>
      </c>
      <c r="C139" s="4" t="s">
        <v>66</v>
      </c>
      <c r="D139" s="4" t="s">
        <v>95</v>
      </c>
      <c r="E139" s="14"/>
      <c r="F139" s="14">
        <v>1000000.0</v>
      </c>
      <c r="G139" s="14">
        <v>-1000000.0</v>
      </c>
      <c r="H139" s="4">
        <f t="array" ref="H139">IFERROR(INDEX(Data!$AB$2:$AB$81,MATCH(A139,Data!$A$2:$A$81,0)),1)</f>
        <v>1</v>
      </c>
      <c r="I139" s="14" t="str">
        <f t="shared" si="1"/>
        <v/>
      </c>
      <c r="J139" s="14">
        <f t="shared" si="2"/>
        <v>1000000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>
        <v>57.0</v>
      </c>
      <c r="B140" s="4" t="s">
        <v>184</v>
      </c>
      <c r="C140" s="4" t="s">
        <v>72</v>
      </c>
      <c r="D140" s="4" t="s">
        <v>74</v>
      </c>
      <c r="E140" s="14"/>
      <c r="F140" s="14">
        <v>100000.0</v>
      </c>
      <c r="G140" s="14">
        <v>-100000.0</v>
      </c>
      <c r="H140" s="4">
        <f t="array" ref="H140">IFERROR(INDEX(Data!$AB$2:$AB$81,MATCH(A140,Data!$A$2:$A$81,0)),1)</f>
        <v>1</v>
      </c>
      <c r="I140" s="14" t="str">
        <f t="shared" si="1"/>
        <v/>
      </c>
      <c r="J140" s="14">
        <f t="shared" si="2"/>
        <v>100000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>
        <v>58.0</v>
      </c>
      <c r="B141" s="4" t="s">
        <v>188</v>
      </c>
      <c r="C141" s="4" t="s">
        <v>66</v>
      </c>
      <c r="D141" s="4" t="s">
        <v>68</v>
      </c>
      <c r="E141" s="14"/>
      <c r="F141" s="14">
        <v>500000.0</v>
      </c>
      <c r="G141" s="14">
        <v>-500000.0</v>
      </c>
      <c r="H141" s="4">
        <f t="array" ref="H141">IFERROR(INDEX(Data!$AB$2:$AB$81,MATCH(A141,Data!$A$2:$A$81,0)),1)</f>
        <v>1</v>
      </c>
      <c r="I141" s="14" t="str">
        <f t="shared" si="1"/>
        <v/>
      </c>
      <c r="J141" s="14">
        <f t="shared" si="2"/>
        <v>500000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>
        <v>59.0</v>
      </c>
      <c r="B142" s="4" t="s">
        <v>190</v>
      </c>
      <c r="C142" s="4" t="s">
        <v>66</v>
      </c>
      <c r="D142" s="4" t="s">
        <v>98</v>
      </c>
      <c r="E142" s="14"/>
      <c r="F142" s="14">
        <v>1000000.0</v>
      </c>
      <c r="G142" s="14">
        <v>-1000000.0</v>
      </c>
      <c r="H142" s="4">
        <f t="array" ref="H142">IFERROR(INDEX(Data!$AB$2:$AB$81,MATCH(A142,Data!$A$2:$A$81,0)),1)</f>
        <v>1</v>
      </c>
      <c r="I142" s="14" t="str">
        <f t="shared" si="1"/>
        <v/>
      </c>
      <c r="J142" s="14">
        <f t="shared" si="2"/>
        <v>1000000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>
        <v>60.0</v>
      </c>
      <c r="B143" s="4" t="s">
        <v>192</v>
      </c>
      <c r="C143" s="4" t="s">
        <v>88</v>
      </c>
      <c r="D143" s="4" t="s">
        <v>74</v>
      </c>
      <c r="E143" s="14"/>
      <c r="F143" s="14">
        <v>500000.0</v>
      </c>
      <c r="G143" s="14">
        <v>-500000.0</v>
      </c>
      <c r="H143" s="4">
        <f t="array" ref="H143">IFERROR(INDEX(Data!$AB$2:$AB$81,MATCH(A143,Data!$A$2:$A$81,0)),1)</f>
        <v>1</v>
      </c>
      <c r="I143" s="14" t="str">
        <f t="shared" si="1"/>
        <v/>
      </c>
      <c r="J143" s="14">
        <f t="shared" si="2"/>
        <v>500000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>
        <v>61.0</v>
      </c>
      <c r="B144" s="4" t="s">
        <v>196</v>
      </c>
      <c r="C144" s="4" t="s">
        <v>66</v>
      </c>
      <c r="D144" s="4" t="s">
        <v>98</v>
      </c>
      <c r="E144" s="14"/>
      <c r="F144" s="14">
        <v>100000.0</v>
      </c>
      <c r="G144" s="14">
        <v>-100000.0</v>
      </c>
      <c r="H144" s="4">
        <f t="array" ref="H144">IFERROR(INDEX(Data!$AB$2:$AB$81,MATCH(A144,Data!$A$2:$A$81,0)),1)</f>
        <v>1</v>
      </c>
      <c r="I144" s="14" t="str">
        <f t="shared" si="1"/>
        <v/>
      </c>
      <c r="J144" s="14">
        <f t="shared" si="2"/>
        <v>100000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>
        <v>62.0</v>
      </c>
      <c r="B145" s="4" t="s">
        <v>198</v>
      </c>
      <c r="C145" s="4" t="s">
        <v>66</v>
      </c>
      <c r="D145" s="4" t="s">
        <v>74</v>
      </c>
      <c r="E145" s="14"/>
      <c r="F145" s="14">
        <v>500000.0</v>
      </c>
      <c r="G145" s="14">
        <v>-500000.0</v>
      </c>
      <c r="H145" s="4">
        <f t="array" ref="H145">IFERROR(INDEX(Data!$AB$2:$AB$81,MATCH(A145,Data!$A$2:$A$81,0)),1)</f>
        <v>1</v>
      </c>
      <c r="I145" s="14" t="str">
        <f t="shared" si="1"/>
        <v/>
      </c>
      <c r="J145" s="14">
        <f t="shared" si="2"/>
        <v>500000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>
        <v>63.0</v>
      </c>
      <c r="B146" s="4" t="s">
        <v>200</v>
      </c>
      <c r="C146" s="4" t="s">
        <v>88</v>
      </c>
      <c r="D146" s="4" t="s">
        <v>98</v>
      </c>
      <c r="E146" s="14"/>
      <c r="F146" s="14">
        <v>500000.0</v>
      </c>
      <c r="G146" s="14">
        <v>-500000.0</v>
      </c>
      <c r="H146" s="4">
        <f t="array" ref="H146">IFERROR(INDEX(Data!$AB$2:$AB$81,MATCH(A146,Data!$A$2:$A$81,0)),1)</f>
        <v>1</v>
      </c>
      <c r="I146" s="14" t="str">
        <f t="shared" si="1"/>
        <v/>
      </c>
      <c r="J146" s="14">
        <f t="shared" si="2"/>
        <v>500000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>
        <v>64.0</v>
      </c>
      <c r="B147" s="4" t="s">
        <v>202</v>
      </c>
      <c r="C147" s="4" t="s">
        <v>88</v>
      </c>
      <c r="D147" s="4" t="s">
        <v>68</v>
      </c>
      <c r="E147" s="14"/>
      <c r="F147" s="14">
        <v>100000.0</v>
      </c>
      <c r="G147" s="14">
        <v>-100000.0</v>
      </c>
      <c r="H147" s="4">
        <f t="array" ref="H147">IFERROR(INDEX(Data!$AB$2:$AB$81,MATCH(A147,Data!$A$2:$A$81,0)),1)</f>
        <v>1</v>
      </c>
      <c r="I147" s="14" t="str">
        <f t="shared" si="1"/>
        <v/>
      </c>
      <c r="J147" s="14">
        <f t="shared" si="2"/>
        <v>100000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>
        <v>65.0</v>
      </c>
      <c r="B148" s="4" t="s">
        <v>206</v>
      </c>
      <c r="C148" s="4" t="s">
        <v>101</v>
      </c>
      <c r="D148" s="4" t="s">
        <v>68</v>
      </c>
      <c r="E148" s="14"/>
      <c r="F148" s="14">
        <v>1000000.0</v>
      </c>
      <c r="G148" s="14">
        <v>-1000000.0</v>
      </c>
      <c r="H148" s="4">
        <f t="array" ref="H148">IFERROR(INDEX(Data!$AB$2:$AB$81,MATCH(A148,Data!$A$2:$A$81,0)),1)</f>
        <v>1</v>
      </c>
      <c r="I148" s="14" t="str">
        <f t="shared" si="1"/>
        <v/>
      </c>
      <c r="J148" s="14">
        <f t="shared" si="2"/>
        <v>1000000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>
        <v>66.0</v>
      </c>
      <c r="B149" s="4" t="s">
        <v>208</v>
      </c>
      <c r="C149" s="4" t="s">
        <v>66</v>
      </c>
      <c r="D149" s="4" t="s">
        <v>98</v>
      </c>
      <c r="E149" s="14"/>
      <c r="F149" s="14">
        <v>500000.0</v>
      </c>
      <c r="G149" s="14">
        <v>-500000.0</v>
      </c>
      <c r="H149" s="4">
        <f t="array" ref="H149">IFERROR(INDEX(Data!$AB$2:$AB$81,MATCH(A149,Data!$A$2:$A$81,0)),1)</f>
        <v>1</v>
      </c>
      <c r="I149" s="14" t="str">
        <f t="shared" si="1"/>
        <v/>
      </c>
      <c r="J149" s="14">
        <f t="shared" si="2"/>
        <v>500000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>
        <v>67.0</v>
      </c>
      <c r="B150" s="4" t="s">
        <v>210</v>
      </c>
      <c r="C150" s="4" t="s">
        <v>85</v>
      </c>
      <c r="D150" s="4" t="s">
        <v>95</v>
      </c>
      <c r="E150" s="14"/>
      <c r="F150" s="14">
        <v>5000000.0</v>
      </c>
      <c r="G150" s="14">
        <v>-5000000.0</v>
      </c>
      <c r="H150" s="4">
        <f t="array" ref="H150">IFERROR(INDEX(Data!$AB$2:$AB$81,MATCH(A150,Data!$A$2:$A$81,0)),1)</f>
        <v>1</v>
      </c>
      <c r="I150" s="14" t="str">
        <f t="shared" si="1"/>
        <v/>
      </c>
      <c r="J150" s="14">
        <f t="shared" si="2"/>
        <v>5000000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>
        <v>68.0</v>
      </c>
      <c r="B151" s="4" t="s">
        <v>212</v>
      </c>
      <c r="C151" s="4" t="s">
        <v>101</v>
      </c>
      <c r="D151" s="4" t="s">
        <v>98</v>
      </c>
      <c r="E151" s="14"/>
      <c r="F151" s="14">
        <v>1000000.0</v>
      </c>
      <c r="G151" s="14">
        <v>-1000000.0</v>
      </c>
      <c r="H151" s="4">
        <f t="array" ref="H151">IFERROR(INDEX(Data!$AB$2:$AB$81,MATCH(A151,Data!$A$2:$A$81,0)),1)</f>
        <v>1</v>
      </c>
      <c r="I151" s="14" t="str">
        <f t="shared" si="1"/>
        <v/>
      </c>
      <c r="J151" s="14">
        <f t="shared" si="2"/>
        <v>1000000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>
        <v>69.0</v>
      </c>
      <c r="B152" s="4" t="s">
        <v>216</v>
      </c>
      <c r="C152" s="4" t="s">
        <v>66</v>
      </c>
      <c r="D152" s="4" t="s">
        <v>98</v>
      </c>
      <c r="E152" s="14"/>
      <c r="F152" s="14">
        <v>100000.0</v>
      </c>
      <c r="G152" s="14">
        <v>-100000.0</v>
      </c>
      <c r="H152" s="4">
        <f t="array" ref="H152">IFERROR(INDEX(Data!$AB$2:$AB$81,MATCH(A152,Data!$A$2:$A$81,0)),1)</f>
        <v>1</v>
      </c>
      <c r="I152" s="14" t="str">
        <f t="shared" si="1"/>
        <v/>
      </c>
      <c r="J152" s="14">
        <f t="shared" si="2"/>
        <v>100000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>
        <v>70.0</v>
      </c>
      <c r="B153" s="4" t="s">
        <v>220</v>
      </c>
      <c r="C153" s="4" t="s">
        <v>88</v>
      </c>
      <c r="D153" s="4" t="s">
        <v>68</v>
      </c>
      <c r="E153" s="14"/>
      <c r="F153" s="14">
        <v>5000000.0</v>
      </c>
      <c r="G153" s="14">
        <v>-5000000.0</v>
      </c>
      <c r="H153" s="4">
        <f t="array" ref="H153">IFERROR(INDEX(Data!$AB$2:$AB$81,MATCH(A153,Data!$A$2:$A$81,0)),1)</f>
        <v>1</v>
      </c>
      <c r="I153" s="14" t="str">
        <f t="shared" si="1"/>
        <v/>
      </c>
      <c r="J153" s="14">
        <f t="shared" si="2"/>
        <v>5000000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>
        <v>71.0</v>
      </c>
      <c r="B154" s="4" t="s">
        <v>222</v>
      </c>
      <c r="C154" s="4" t="s">
        <v>66</v>
      </c>
      <c r="D154" s="4" t="s">
        <v>98</v>
      </c>
      <c r="E154" s="14"/>
      <c r="F154" s="14">
        <v>500000.0</v>
      </c>
      <c r="G154" s="14">
        <v>-500000.0</v>
      </c>
      <c r="H154" s="4">
        <f t="array" ref="H154">IFERROR(INDEX(Data!$AB$2:$AB$81,MATCH(A154,Data!$A$2:$A$81,0)),1)</f>
        <v>1</v>
      </c>
      <c r="I154" s="14" t="str">
        <f t="shared" si="1"/>
        <v/>
      </c>
      <c r="J154" s="14">
        <f t="shared" si="2"/>
        <v>500000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>
        <v>72.0</v>
      </c>
      <c r="B155" s="4" t="s">
        <v>224</v>
      </c>
      <c r="C155" s="4" t="s">
        <v>88</v>
      </c>
      <c r="D155" s="4" t="s">
        <v>95</v>
      </c>
      <c r="E155" s="14"/>
      <c r="F155" s="14">
        <v>100000.0</v>
      </c>
      <c r="G155" s="14">
        <v>-100000.0</v>
      </c>
      <c r="H155" s="4">
        <f t="array" ref="H155">IFERROR(INDEX(Data!$AB$2:$AB$81,MATCH(A155,Data!$A$2:$A$81,0)),1)</f>
        <v>1</v>
      </c>
      <c r="I155" s="14" t="str">
        <f t="shared" si="1"/>
        <v/>
      </c>
      <c r="J155" s="14">
        <f t="shared" si="2"/>
        <v>100000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>
        <v>73.0</v>
      </c>
      <c r="B156" s="4" t="s">
        <v>228</v>
      </c>
      <c r="C156" s="4" t="s">
        <v>88</v>
      </c>
      <c r="D156" s="4" t="s">
        <v>68</v>
      </c>
      <c r="E156" s="14"/>
      <c r="F156" s="14">
        <v>1000000.0</v>
      </c>
      <c r="G156" s="14">
        <v>-1000000.0</v>
      </c>
      <c r="H156" s="4">
        <f t="array" ref="H156">IFERROR(INDEX(Data!$AB$2:$AB$81,MATCH(A156,Data!$A$2:$A$81,0)),1)</f>
        <v>1</v>
      </c>
      <c r="I156" s="14" t="str">
        <f t="shared" si="1"/>
        <v/>
      </c>
      <c r="J156" s="14">
        <f t="shared" si="2"/>
        <v>1000000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>
        <v>74.0</v>
      </c>
      <c r="B157" s="4" t="s">
        <v>230</v>
      </c>
      <c r="C157" s="4" t="s">
        <v>66</v>
      </c>
      <c r="D157" s="4" t="s">
        <v>68</v>
      </c>
      <c r="E157" s="14"/>
      <c r="F157" s="14">
        <v>5000000.0</v>
      </c>
      <c r="G157" s="14">
        <v>-5000000.0</v>
      </c>
      <c r="H157" s="4">
        <f t="array" ref="H157">IFERROR(INDEX(Data!$AB$2:$AB$81,MATCH(A157,Data!$A$2:$A$81,0)),1)</f>
        <v>1</v>
      </c>
      <c r="I157" s="14" t="str">
        <f t="shared" si="1"/>
        <v/>
      </c>
      <c r="J157" s="14">
        <f t="shared" si="2"/>
        <v>5000000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>
        <v>75.0</v>
      </c>
      <c r="B158" s="4" t="s">
        <v>232</v>
      </c>
      <c r="C158" s="4" t="s">
        <v>101</v>
      </c>
      <c r="D158" s="4" t="s">
        <v>95</v>
      </c>
      <c r="E158" s="14"/>
      <c r="F158" s="14">
        <v>100000.0</v>
      </c>
      <c r="G158" s="14">
        <v>-100000.0</v>
      </c>
      <c r="H158" s="4">
        <f t="array" ref="H158">IFERROR(INDEX(Data!$AB$2:$AB$81,MATCH(A158,Data!$A$2:$A$81,0)),1)</f>
        <v>1</v>
      </c>
      <c r="I158" s="14" t="str">
        <f t="shared" si="1"/>
        <v/>
      </c>
      <c r="J158" s="14">
        <f t="shared" si="2"/>
        <v>100000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>
        <v>76.0</v>
      </c>
      <c r="B159" s="4" t="s">
        <v>234</v>
      </c>
      <c r="C159" s="4" t="s">
        <v>88</v>
      </c>
      <c r="D159" s="4" t="s">
        <v>98</v>
      </c>
      <c r="E159" s="14"/>
      <c r="F159" s="14">
        <v>100000.0</v>
      </c>
      <c r="G159" s="14">
        <v>-100000.0</v>
      </c>
      <c r="H159" s="4">
        <f t="array" ref="H159">IFERROR(INDEX(Data!$AB$2:$AB$81,MATCH(A159,Data!$A$2:$A$81,0)),1)</f>
        <v>1</v>
      </c>
      <c r="I159" s="14" t="str">
        <f t="shared" si="1"/>
        <v/>
      </c>
      <c r="J159" s="14">
        <f t="shared" si="2"/>
        <v>100000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>
        <v>77.0</v>
      </c>
      <c r="B160" s="4" t="s">
        <v>236</v>
      </c>
      <c r="C160" s="4" t="s">
        <v>72</v>
      </c>
      <c r="D160" s="4" t="s">
        <v>98</v>
      </c>
      <c r="E160" s="14"/>
      <c r="F160" s="14">
        <v>1000000.0</v>
      </c>
      <c r="G160" s="14">
        <v>-1000000.0</v>
      </c>
      <c r="H160" s="4">
        <f t="array" ref="H160">IFERROR(INDEX(Data!$AB$2:$AB$81,MATCH(A160,Data!$A$2:$A$81,0)),1)</f>
        <v>1</v>
      </c>
      <c r="I160" s="14" t="str">
        <f t="shared" si="1"/>
        <v/>
      </c>
      <c r="J160" s="14">
        <f t="shared" si="2"/>
        <v>1000000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>
        <v>78.0</v>
      </c>
      <c r="B161" s="4" t="s">
        <v>238</v>
      </c>
      <c r="C161" s="4" t="s">
        <v>66</v>
      </c>
      <c r="D161" s="4" t="s">
        <v>74</v>
      </c>
      <c r="E161" s="14"/>
      <c r="F161" s="14">
        <v>500000.0</v>
      </c>
      <c r="G161" s="14">
        <v>-500000.0</v>
      </c>
      <c r="H161" s="4">
        <f t="array" ref="H161">IFERROR(INDEX(Data!$AB$2:$AB$81,MATCH(A161,Data!$A$2:$A$81,0)),1)</f>
        <v>1</v>
      </c>
      <c r="I161" s="14" t="str">
        <f t="shared" si="1"/>
        <v/>
      </c>
      <c r="J161" s="14">
        <f t="shared" si="2"/>
        <v>500000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>
        <v>79.0</v>
      </c>
      <c r="B162" s="4" t="s">
        <v>240</v>
      </c>
      <c r="C162" s="4" t="s">
        <v>85</v>
      </c>
      <c r="D162" s="4" t="s">
        <v>98</v>
      </c>
      <c r="E162" s="14"/>
      <c r="F162" s="14">
        <v>500000.0</v>
      </c>
      <c r="G162" s="14">
        <v>-500000.0</v>
      </c>
      <c r="H162" s="4">
        <f t="array" ref="H162">IFERROR(INDEX(Data!$AB$2:$AB$81,MATCH(A162,Data!$A$2:$A$81,0)),1)</f>
        <v>1</v>
      </c>
      <c r="I162" s="14" t="str">
        <f t="shared" si="1"/>
        <v/>
      </c>
      <c r="J162" s="14">
        <f t="shared" si="2"/>
        <v>500000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>
        <v>80.0</v>
      </c>
      <c r="B163" s="4" t="s">
        <v>242</v>
      </c>
      <c r="C163" s="4" t="s">
        <v>66</v>
      </c>
      <c r="D163" s="4" t="s">
        <v>74</v>
      </c>
      <c r="E163" s="14"/>
      <c r="F163" s="14">
        <v>1000000.0</v>
      </c>
      <c r="G163" s="14">
        <v>-1000000.0</v>
      </c>
      <c r="H163" s="4">
        <f t="array" ref="H163">IFERROR(INDEX(Data!$AB$2:$AB$81,MATCH(A163,Data!$A$2:$A$81,0)),1)</f>
        <v>1</v>
      </c>
      <c r="I163" s="14" t="str">
        <f t="shared" si="1"/>
        <v/>
      </c>
      <c r="J163" s="14">
        <f t="shared" si="2"/>
        <v>1000000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H$163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5.29"/>
    <col customWidth="1" min="3" max="3" width="18.57"/>
    <col customWidth="1" min="4" max="4" width="14.71"/>
    <col customWidth="1" min="5" max="5" width="15.0"/>
    <col customWidth="1" min="6" max="6" width="13.29"/>
    <col customWidth="1" min="7" max="26" width="8.71"/>
  </cols>
  <sheetData>
    <row r="1">
      <c r="A1" s="24" t="s">
        <v>318</v>
      </c>
      <c r="B1" s="4"/>
      <c r="C1" s="4"/>
      <c r="D1" s="4"/>
      <c r="E1" s="4"/>
      <c r="F1" s="4"/>
      <c r="G1" s="4"/>
      <c r="H1" s="4"/>
    </row>
    <row r="2">
      <c r="A2" s="4" t="s">
        <v>319</v>
      </c>
      <c r="B2" s="4" t="s">
        <v>320</v>
      </c>
      <c r="C2" s="4"/>
      <c r="D2" s="4"/>
      <c r="E2" s="4"/>
      <c r="F2" s="4"/>
      <c r="G2" s="4"/>
      <c r="H2" s="4"/>
    </row>
    <row r="3">
      <c r="A3" s="4"/>
      <c r="B3" s="4" t="s">
        <v>321</v>
      </c>
      <c r="C3" s="4" t="s">
        <v>322</v>
      </c>
      <c r="D3" s="4" t="s">
        <v>323</v>
      </c>
      <c r="E3" s="4" t="s">
        <v>324</v>
      </c>
      <c r="F3" s="4" t="s">
        <v>325</v>
      </c>
      <c r="G3" s="4" t="s">
        <v>326</v>
      </c>
      <c r="H3" s="4" t="s">
        <v>327</v>
      </c>
    </row>
    <row r="4">
      <c r="A4" s="4" t="s">
        <v>328</v>
      </c>
      <c r="B4" s="4">
        <f>COUNTIFS(Data!$U$2:$U$96,"&lt;-20",Data!$S$2:$S$96,"&lt;-30",Data!$AB$2:$AB$96,1)</f>
        <v>0</v>
      </c>
      <c r="C4" s="4">
        <f>COUNTIFS(Data!$U$2:$U$96,"&gt;=-20",Data!$U$2:$U$96,"&lt;-10",Data!$S$2:$S$96,"&lt;-30",Data!$AB$2:$AB$96,1)</f>
        <v>0</v>
      </c>
      <c r="D4" s="4">
        <f>COUNTIFS(Data!$U$2:$U$96,"&gt;=-10",Data!$U$2:$U$96,"&lt;0",Data!$S$2:$S$96,"&lt;-30",Data!$AB$2:$AB$96,1)</f>
        <v>0</v>
      </c>
      <c r="E4" s="4">
        <f>COUNTIFS(Data!$U$2:$U$96,"&gt;=0",Data!$U$2:$U$96,"&lt;10",Data!$S$2:$S$96,"&lt;-30",Data!$AB$2:$AB$96,1)</f>
        <v>0</v>
      </c>
      <c r="F4" s="4">
        <f>COUNTIFS(Data!$U$2:$U$96,"&gt;=10",Data!$U$2:$U$96,"&lt;20",Data!$S$2:$S$96,"&lt;-30",Data!$AB$2:$AB$96,1)</f>
        <v>0</v>
      </c>
      <c r="G4" s="4">
        <f>COUNTIFS(Data!$U$2:$U$96,"&gt;=20",Data!$S$2:$S$96,"&lt;-30",Data!$AB$2:$AB$96,1)</f>
        <v>0</v>
      </c>
      <c r="H4" s="4">
        <f t="shared" ref="H4:H9" si="1">SUM(B4:G4)</f>
        <v>0</v>
      </c>
    </row>
    <row r="5">
      <c r="A5" s="4" t="s">
        <v>329</v>
      </c>
      <c r="B5" s="4">
        <f>COUNTIFS(Data!$U$2:$U$96,"&lt;-20",Data!$S$2:$S$96,"&gt;=-30",Data!$S$2:$S$96,"&lt;-15",Data!$AB$2:$AB$96,1)</f>
        <v>0</v>
      </c>
      <c r="C5" s="4">
        <f>COUNTIFS(Data!$U$2:$U$96,"&gt;=-20",Data!$U$2:$U$96,"&lt;-10",Data!$S$2:$S$96,"&gt;=-30",Data!$S$2:$S$96,"&lt;-15",Data!$AB$2:$AB$96,1)</f>
        <v>0</v>
      </c>
      <c r="D5" s="4">
        <f>COUNTIFS(Data!$U$2:$U$96,"&gt;=-10",Data!$U$2:$U$96,"&lt;0",Data!$S$2:$S$96,"&gt;=-30",Data!$S$2:$S$96,"&lt;-15",Data!$AB$2:$AB$96,1)</f>
        <v>0</v>
      </c>
      <c r="E5" s="4">
        <f>COUNTIFS(Data!$U$2:$U$96,"&gt;=0",Data!$U$2:$U$96,"&lt;10",Data!$S$2:$S$96,"&gt;=-30",Data!$S$2:$S$96,"&lt;-15",Data!$AB$2:$AB$96,1)</f>
        <v>0</v>
      </c>
      <c r="F5" s="4">
        <f>COUNTIFS(Data!$U$2:$U$96,"&gt;=10",Data!$U$2:$U$96,"&lt;20",Data!$S$2:$S$96,"&gt;=-30",Data!$S$2:$S$96,"&lt;-15",Data!$AB$2:$AB$96,1)</f>
        <v>0</v>
      </c>
      <c r="G5" s="4">
        <f>COUNTIFS(Data!$U$2:$U$96,"&gt;=20",Data!$S$2:$S$96,"&gt;=-30",Data!$S$2:$S$96,"&lt;-15",Data!$AB$2:$AB$96,1)</f>
        <v>0</v>
      </c>
      <c r="H5" s="4">
        <f t="shared" si="1"/>
        <v>0</v>
      </c>
    </row>
    <row r="6">
      <c r="A6" s="4" t="s">
        <v>330</v>
      </c>
      <c r="B6" s="4">
        <f>COUNTIFS(Data!$U$2:$U$96,"&lt;-20",Data!$S$2:$S$96,"&gt;=-15",Data!$S$2:$S$96,"&lt;0",Data!$AB$2:$AB$96,1)</f>
        <v>0</v>
      </c>
      <c r="C6" s="4">
        <f>COUNTIFS(Data!$U$2:$U$96,"&gt;=-20",Data!$U$2:$U$96,"&lt;-10",Data!$S$2:$S$96,"&gt;=-15",Data!$S$2:$S$96,"&lt;0",Data!$AB$2:$AB$96,1)</f>
        <v>0</v>
      </c>
      <c r="D6" s="4">
        <f>COUNTIFS(Data!$U$2:$U$96,"&gt;=-10",Data!$U$2:$U$96,"&lt;0",Data!$S$2:$S$96,"&gt;=-15",Data!$S$2:$S$96,"&lt;0",Data!$AB$2:$AB$96,1)</f>
        <v>0</v>
      </c>
      <c r="E6" s="4">
        <f>COUNTIFS(Data!$U$2:$U$96,"&gt;=0",Data!$U$2:$U$96,"&lt;10",Data!$S$2:$S$96,"&gt;=-15",Data!$S$2:$S$96,"&lt;0",Data!$AB$2:$AB$96,1)</f>
        <v>1</v>
      </c>
      <c r="F6" s="4">
        <f>COUNTIFS(Data!$U$2:$U$96,"&gt;=10",Data!$U$2:$U$96,"&lt;20",Data!$S$2:$S$96,"&gt;=-15",Data!$S$2:$S$96,"&lt;0",Data!$AB$2:$AB$96,1)</f>
        <v>1</v>
      </c>
      <c r="G6" s="4">
        <f>COUNTIFS(Data!$U$2:$U$96,"&gt;=20",Data!$S$2:$S$96,"&gt;=-15",Data!$S$2:$S$96,"&lt;0",Data!$AB$2:$AB$96,1)</f>
        <v>2</v>
      </c>
      <c r="H6" s="4">
        <f t="shared" si="1"/>
        <v>4</v>
      </c>
    </row>
    <row r="7">
      <c r="A7" s="4" t="s">
        <v>331</v>
      </c>
      <c r="B7" s="4">
        <f>COUNTIFS(Data!$U$2:$U$81,"&lt;-20",Data!$S$2:$S$81,"&gt;=0",Data!$S$2:$S$81,"&lt;15",Data!$AB$2:$AB$81,1)</f>
        <v>0</v>
      </c>
      <c r="C7" s="4">
        <f>COUNTIFS(Data!$U$2:$U$96,"&gt;=-20",Data!$U$2:$U$96,"&lt;-10",Data!$S$2:$S$96,"&gt;=0",Data!$S$2:$S$96,"&lt;15",Data!$AB$2:$AB$96,1)</f>
        <v>0</v>
      </c>
      <c r="D7" s="4">
        <f>COUNTIFS(Data!$U$2:$U$96,"&gt;=-10",Data!$U$2:$U$96,"&lt;0",Data!$S$2:$S$96,"&gt;=0",Data!$S$2:$S$96,"&lt;15",Data!$AB$2:$AB$96,1)</f>
        <v>2</v>
      </c>
      <c r="E7" s="4">
        <f>COUNTIFS(Data!$U$2:$U$96,"&gt;=0",Data!$U$2:$U$96,"&lt;10",Data!$S$2:$S$96,"&gt;=0",Data!$S$2:$S$96,"&lt;15",Data!$AB$2:$AB$96,1)</f>
        <v>0</v>
      </c>
      <c r="F7" s="4">
        <f>COUNTIFS(Data!$U$2:$U$96,"&gt;=10",Data!$U$2:$U$96,"&lt;20",Data!$S$2:$S$96,"&gt;=0",Data!$S$2:$S$96,"&lt;15",Data!$AB$2:$AB$96,1)</f>
        <v>1</v>
      </c>
      <c r="G7" s="4">
        <f>COUNTIFS(Data!$U$2:$U$96,"&gt;=20",Data!$S$2:$S$96,"&gt;=0",Data!$S$2:$S$96,"&lt;15",Data!$AB$2:$AB$96,1)</f>
        <v>6</v>
      </c>
      <c r="H7" s="4">
        <f t="shared" si="1"/>
        <v>9</v>
      </c>
    </row>
    <row r="8">
      <c r="A8" s="4" t="s">
        <v>332</v>
      </c>
      <c r="B8" s="4">
        <f>COUNTIFS(Data!$U$2:$U$96,"&lt;-20",Data!$S$2:$S$96,"&gt;=15",Data!$S$2:$S$96,"&lt;30",Data!$AB$2:$AB$96,1)</f>
        <v>0</v>
      </c>
      <c r="C8" s="4">
        <f>COUNTIFS(Data!$U$2:$U$96,"&gt;=-20",Data!$U$2:$U$96,"&lt;-10",Data!$S$2:$S$96,"&gt;=15",Data!$S$2:$S$96,"&lt;30",Data!$AB$2:$AB$96,1)</f>
        <v>0</v>
      </c>
      <c r="D8" s="4">
        <f>COUNTIFS(Data!$U$2:$U$96,"&gt;=-10",Data!$U$2:$U$96,"&lt;0",Data!$S$2:$S$96,"&gt;=15",Data!$S$2:$S$96,"&lt;30",Data!$AB$2:$AB$96,1)</f>
        <v>0</v>
      </c>
      <c r="E8" s="4">
        <f>COUNTIFS(Data!$U$2:$U$96,"&gt;=0",Data!$U$2:$U$96,"&lt;10",Data!$S$2:$S$96,"&gt;=15",Data!$S$2:$S$96,"&lt;30",Data!$AB$2:$AB$96,1)</f>
        <v>0</v>
      </c>
      <c r="F8" s="4">
        <f>COUNTIFS(Data!$U$2:$U$96,"&gt;=10",Data!$U$2:$U$96,"&lt;20",Data!$S$2:$S$96,"&gt;=15",Data!$S$2:$S$96,"&lt;30",Data!$AB$2:$AB$96,1)</f>
        <v>0</v>
      </c>
      <c r="G8" s="4">
        <f>COUNTIFS(Data!$U$2:$U$96,"&gt;=20",Data!$S$2:$S$96,"&gt;=15",Data!$S$2:$S$96,"&lt;30",Data!$AB$2:$AB$96,1)</f>
        <v>1</v>
      </c>
      <c r="H8" s="4">
        <f t="shared" si="1"/>
        <v>1</v>
      </c>
    </row>
    <row r="9">
      <c r="A9" s="4" t="s">
        <v>333</v>
      </c>
      <c r="B9" s="4">
        <f>COUNTIFS(Data!$U$2:$U$96,"&lt;-20",Data!$S$2:$S$96,"&gt;=30",Data!$AB$2:$AB$96,1)</f>
        <v>0</v>
      </c>
      <c r="C9" s="4">
        <f>COUNTIFS(Data!$U$2:$U$96,"&gt;=-20",Data!$U$2:$U$96,"&lt;-10",Data!$S$2:$S$96,"&gt;=30",Data!$AB$2:$AB$96,1)</f>
        <v>0</v>
      </c>
      <c r="D9" s="4">
        <f>COUNTIFS(Data!$U$2:$U$96,"&gt;=-10",Data!$U$2:$U$96,"&lt;0",Data!$S$2:$S$96,"&gt;=30",Data!$AB$2:$AB$96,1)</f>
        <v>0</v>
      </c>
      <c r="E9" s="4">
        <f>COUNTIFS(Data!$U$2:$U$96,"&gt;=0",Data!$U$2:$U$96,"&lt;10",Data!$S$2:$S$96,"&gt;=30",Data!$AB$2:$AB$96,1)</f>
        <v>1</v>
      </c>
      <c r="F9" s="4">
        <f>COUNTIFS(Data!$U$2:$U$96,"&gt;=10",Data!$U$2:$U$96,"&lt;20",Data!$S$2:$S$96,"&gt;=30",Data!$AB$2:$AB$96,1)</f>
        <v>1</v>
      </c>
      <c r="G9" s="4">
        <f>COUNTIFS(Data!$U$2:$U$96,"&gt;=20",Data!$S$2:$S$96,"&gt;=30",Data!$AB$2:$AB$96,1)</f>
        <v>2</v>
      </c>
      <c r="H9" s="4">
        <f t="shared" si="1"/>
        <v>4</v>
      </c>
    </row>
    <row r="10">
      <c r="A10" s="4" t="s">
        <v>334</v>
      </c>
      <c r="B10" s="4">
        <f t="shared" ref="B10:G10" si="2">SUM(B4:B9)</f>
        <v>0</v>
      </c>
      <c r="C10" s="4">
        <f t="shared" si="2"/>
        <v>0</v>
      </c>
      <c r="D10" s="4">
        <f t="shared" si="2"/>
        <v>2</v>
      </c>
      <c r="E10" s="4">
        <f t="shared" si="2"/>
        <v>2</v>
      </c>
      <c r="F10" s="4">
        <f t="shared" si="2"/>
        <v>3</v>
      </c>
      <c r="G10" s="4">
        <f t="shared" si="2"/>
        <v>11</v>
      </c>
      <c r="H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conditionalFormatting sqref="B4:G9">
    <cfRule type="colorScale" priority="1">
      <colorScale>
        <cfvo type="min"/>
        <cfvo type="percentile" val="50"/>
        <cfvo type="max"/>
        <color rgb="FF63BE7B"/>
        <color rgb="FFFFD966"/>
        <color rgb="FFF8696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16.0"/>
    <col customWidth="1" min="6" max="6" width="10.0"/>
    <col customWidth="1" min="7" max="26" width="8.71"/>
  </cols>
  <sheetData>
    <row r="1">
      <c r="A1" s="10" t="s">
        <v>40</v>
      </c>
      <c r="B1" s="10" t="s">
        <v>77</v>
      </c>
      <c r="C1" s="10" t="s">
        <v>81</v>
      </c>
      <c r="D1" s="10" t="s">
        <v>67</v>
      </c>
      <c r="E1" s="10" t="s">
        <v>92</v>
      </c>
      <c r="F1" s="10" t="s">
        <v>335</v>
      </c>
    </row>
    <row r="2">
      <c r="A2" s="4" t="s">
        <v>101</v>
      </c>
      <c r="B2" s="4">
        <f>SUMPRODUCT(--(Data!$AB$2:$AB$81=1),--(Data!$C$2:$C$81="API"),--(Data!$D$2:$D$81="Planning"))</f>
        <v>4</v>
      </c>
      <c r="C2" s="4">
        <f>SUMPRODUCT(--(Data!$AB$2:$AB$81=1),--(Data!$C$2:$C$81="API"),--(Data!$D$2:$D$81="In Development"))</f>
        <v>1</v>
      </c>
      <c r="D2" s="4">
        <f>SUMPRODUCT(--(Data!$AB$2:$AB$81=1),--(Data!$C$2:$C$81="API"),--(Data!$D$2:$D$81="Testing"))</f>
        <v>3</v>
      </c>
      <c r="E2" s="4">
        <f>SUMPRODUCT(--(Data!$AB$2:$AB$81=1),--(Data!$C$2:$C$81="API"),--(Data!$D$2:$D$81="Launched"))</f>
        <v>7</v>
      </c>
      <c r="F2" s="4">
        <f t="shared" ref="F2:F6" si="1">SUM(B2:E2)</f>
        <v>15</v>
      </c>
    </row>
    <row r="3">
      <c r="A3" s="4" t="s">
        <v>66</v>
      </c>
      <c r="B3" s="4">
        <f>SUMPRODUCT(--(Data!$AB$2:$AB$81=1),--(Data!$C$2:$C$81="Analytics Suite"),--(Data!$D$2:$D$81="Planning"))</f>
        <v>5</v>
      </c>
      <c r="C3" s="4">
        <f>SUMPRODUCT(--(Data!$AB$2:$AB$81=1),--(Data!$C$2:$C$81="Analytics Suite"),--(Data!$D$2:$D$81="In Development"))</f>
        <v>3</v>
      </c>
      <c r="D3" s="4">
        <f>SUMPRODUCT(--(Data!$AB$2:$AB$81=1),--(Data!$C$2:$C$81="Analytics Suite"),--(Data!$D$2:$D$81="Testing"))</f>
        <v>4</v>
      </c>
      <c r="E3" s="4">
        <f>SUMPRODUCT(--(Data!$AB$2:$AB$81=1),--(Data!$C$2:$C$81="Analytics Suite"),--(Data!$D$2:$D$81="Launched"))</f>
        <v>4</v>
      </c>
      <c r="F3" s="4">
        <f t="shared" si="1"/>
        <v>16</v>
      </c>
    </row>
    <row r="4">
      <c r="A4" s="4" t="s">
        <v>85</v>
      </c>
      <c r="B4" s="4">
        <f>SUMPRODUCT(--(Data!$AB$2:$AB$81=1),--(Data!$C$2:$C$81="Data Infrastructure"),--(Data!$D$2:$D$81="Planning"))</f>
        <v>4</v>
      </c>
      <c r="C4" s="4">
        <f>SUMPRODUCT(--(Data!$AB$2:$AB$81=1),--(Data!$C$2:$C$81="Data Infrastructure"),--(Data!$D$2:$D$81="In Development"))</f>
        <v>3</v>
      </c>
      <c r="D4" s="4">
        <f>SUMPRODUCT(--(Data!$AB$2:$AB$81=1),--(Data!$C$2:$C$81="Data Infrastructure"),--(Data!$D$2:$D$81="Testing"))</f>
        <v>3</v>
      </c>
      <c r="E4" s="4">
        <f>SUMPRODUCT(--(Data!$AB$2:$AB$81=1),--(Data!$C$2:$C$81="Data Infrastructure"),--(Data!$D$2:$D$81="Launched"))</f>
        <v>4</v>
      </c>
      <c r="F4" s="4">
        <f t="shared" si="1"/>
        <v>14</v>
      </c>
    </row>
    <row r="5">
      <c r="A5" s="4" t="s">
        <v>72</v>
      </c>
      <c r="B5" s="4">
        <f>SUMPRODUCT(--(Data!$AB$2:$AB$81=1),--(Data!$C$2:$C$81="Mobile App"),--(Data!$D$2:$D$81="Planning"))</f>
        <v>1</v>
      </c>
      <c r="C5" s="4">
        <f>SUMPRODUCT(--(Data!$AB$2:$AB$81=1),--(Data!$C$2:$C$81="Mobile App"),--(Data!$D$2:$D$81="In Development"))</f>
        <v>3</v>
      </c>
      <c r="D5" s="4">
        <f>SUMPRODUCT(--(Data!$AB$2:$AB$81=1),--(Data!$C$2:$C$81="Mobile App"),--(Data!$D$2:$D$81="Testing"))</f>
        <v>1</v>
      </c>
      <c r="E5" s="4">
        <f>SUMPRODUCT(--(Data!$AB$2:$AB$81=1),--(Data!$C$2:$C$81="Mobile App"),--(Data!$D$2:$D$81="Launched"))</f>
        <v>3</v>
      </c>
      <c r="F5" s="4">
        <f t="shared" si="1"/>
        <v>8</v>
      </c>
    </row>
    <row r="6">
      <c r="A6" s="4" t="s">
        <v>88</v>
      </c>
      <c r="B6" s="4">
        <f>SUMPRODUCT(--(Data!$AB$2:$AB$81=1),--(Data!$C$2:$C$81="Web Platform"),--(Data!$D$2:$D$81="Planning"))</f>
        <v>4</v>
      </c>
      <c r="C6" s="4">
        <f>SUMPRODUCT(--(Data!$AB$2:$AB$81=1),--(Data!$C$2:$C$81="Web Platform"),--(Data!$D$2:$D$81="In Development"))</f>
        <v>3</v>
      </c>
      <c r="D6" s="4">
        <f>SUMPRODUCT(--(Data!$AB$2:$AB$81=1),--(Data!$C$2:$C$81="Web Platform"),--(Data!$D$2:$D$81="Testing"))</f>
        <v>5</v>
      </c>
      <c r="E6" s="4">
        <f>SUMPRODUCT(--(Data!$AB$2:$AB$81=1),--(Data!$C$2:$C$81="Web Platform"),--(Data!$D$2:$D$81="Launched"))</f>
        <v>0</v>
      </c>
      <c r="F6" s="4">
        <f t="shared" si="1"/>
        <v>12</v>
      </c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autoFilter ref="$A$1:$F$6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1.86"/>
    <col customWidth="1" min="3" max="3" width="62.0"/>
    <col customWidth="1" min="4" max="6" width="8.71"/>
  </cols>
  <sheetData>
    <row r="1">
      <c r="A1" s="5" t="s">
        <v>336</v>
      </c>
      <c r="B1" s="5" t="s">
        <v>337</v>
      </c>
      <c r="C1" s="5" t="s">
        <v>338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38</v>
      </c>
      <c r="B2" s="4" t="s">
        <v>339</v>
      </c>
      <c r="C2" s="4" t="s">
        <v>340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39</v>
      </c>
      <c r="B3" s="4" t="s">
        <v>339</v>
      </c>
      <c r="C3" s="4" t="s">
        <v>341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40</v>
      </c>
      <c r="B4" s="4" t="s">
        <v>339</v>
      </c>
      <c r="C4" s="4" t="s">
        <v>342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41</v>
      </c>
      <c r="B5" s="4" t="s">
        <v>339</v>
      </c>
      <c r="C5" s="4" t="s">
        <v>343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42</v>
      </c>
      <c r="B6" s="4" t="s">
        <v>344</v>
      </c>
      <c r="C6" s="4" t="s">
        <v>345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43</v>
      </c>
      <c r="B7" s="4" t="s">
        <v>344</v>
      </c>
      <c r="C7" s="4" t="s">
        <v>346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44</v>
      </c>
      <c r="B8" s="4" t="s">
        <v>344</v>
      </c>
      <c r="C8" s="4" t="s">
        <v>347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45</v>
      </c>
      <c r="B9" s="4" t="s">
        <v>348</v>
      </c>
      <c r="C9" s="4" t="s">
        <v>349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46</v>
      </c>
      <c r="B10" s="4" t="s">
        <v>348</v>
      </c>
      <c r="C10" s="4" t="s">
        <v>350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47</v>
      </c>
      <c r="B11" s="4" t="s">
        <v>348</v>
      </c>
      <c r="C11" s="4" t="s">
        <v>351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48</v>
      </c>
      <c r="B12" s="4" t="s">
        <v>348</v>
      </c>
      <c r="C12" s="4" t="s">
        <v>352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49</v>
      </c>
      <c r="B13" s="4" t="s">
        <v>339</v>
      </c>
      <c r="C13" s="4" t="s">
        <v>353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50</v>
      </c>
      <c r="B14" s="4" t="s">
        <v>348</v>
      </c>
      <c r="C14" s="4" t="s">
        <v>354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51</v>
      </c>
      <c r="B15" s="4" t="s">
        <v>355</v>
      </c>
      <c r="C15" s="4" t="s">
        <v>356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52</v>
      </c>
      <c r="B16" s="4" t="s">
        <v>348</v>
      </c>
      <c r="C16" s="4" t="s">
        <v>357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53</v>
      </c>
      <c r="B17" s="4" t="s">
        <v>339</v>
      </c>
      <c r="C17" s="4" t="s">
        <v>358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54</v>
      </c>
      <c r="B18" s="4" t="s">
        <v>348</v>
      </c>
      <c r="C18" s="4" t="s">
        <v>359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55</v>
      </c>
      <c r="B19" s="4" t="s">
        <v>355</v>
      </c>
      <c r="C19" s="4" t="s">
        <v>360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56</v>
      </c>
      <c r="B20" s="4" t="s">
        <v>355</v>
      </c>
      <c r="C20" s="4" t="s">
        <v>361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57</v>
      </c>
      <c r="B21" s="4" t="s">
        <v>348</v>
      </c>
      <c r="C21" s="4" t="s">
        <v>362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58</v>
      </c>
      <c r="B22" s="4" t="s">
        <v>355</v>
      </c>
      <c r="C22" s="4" t="s">
        <v>363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59</v>
      </c>
      <c r="B23" s="4" t="s">
        <v>355</v>
      </c>
      <c r="C23" s="4" t="s">
        <v>364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60</v>
      </c>
      <c r="B24" s="4" t="s">
        <v>355</v>
      </c>
      <c r="C24" s="4" t="s">
        <v>365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2025-10-28T16:41:54Z</dcterms:created>
  <dc:creator>openpyxl</dc:creator>
</cp:coreProperties>
</file>