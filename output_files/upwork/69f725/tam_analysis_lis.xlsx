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v\Downloads\TAM ANALYSIS\"/>
    </mc:Choice>
  </mc:AlternateContent>
  <xr:revisionPtr revIDLastSave="0" documentId="13_ncr:1_{83E32C44-46E2-4E58-AF61-74BA55AA6E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2" r:id="rId1"/>
    <sheet name="Macro Landscape" sheetId="1" r:id="rId2"/>
    <sheet name="Product Verticals" sheetId="2" r:id="rId3"/>
    <sheet name="Customer Segments" sheetId="3" r:id="rId4"/>
    <sheet name="Growth Drivers-Barriers" sheetId="13" r:id="rId5"/>
    <sheet name="Financial Model" sheetId="4" r:id="rId6"/>
    <sheet name="Regional Split" sheetId="5" r:id="rId7"/>
    <sheet name="Cost Structure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<sst xmlns="http://schemas.openxmlformats.org/spreadsheetml/2006/main" count="97" uniqueCount="96">
  <si>
    <t>Indicator</t>
  </si>
  <si>
    <t>Value</t>
  </si>
  <si>
    <t>Estimated global healthcare spending by 2030</t>
  </si>
  <si>
    <t>Wearable technology CAGR (2024–2030)</t>
  </si>
  <si>
    <t>Telehealth market CAGR</t>
  </si>
  <si>
    <t>Chronic illness prevalence increase (global) by 2028</t>
  </si>
  <si>
    <t>Digitally native Gen Z weekly wearable use</t>
  </si>
  <si>
    <t>Vertical</t>
  </si>
  <si>
    <t>Representative Products</t>
  </si>
  <si>
    <t>Clinical-Grade Devices</t>
  </si>
  <si>
    <t>Consumer Wellness</t>
  </si>
  <si>
    <t>Post-Acute Rehabilitation</t>
  </si>
  <si>
    <t>Geriatric Monitoring</t>
  </si>
  <si>
    <t>Continuous Glucose Monitors; Wearable ECG patches; Smart Blood Pressure Bands</t>
  </si>
  <si>
    <t>Fitness Bands; Smartwatches; Smart Rings (HRV, sleep)</t>
  </si>
  <si>
    <t>Motion Sensors for PT; Remote posture coaching devices</t>
  </si>
  <si>
    <t>Fall detection bands; Hydration sensors; Location-aware bracelets</t>
  </si>
  <si>
    <t>Persona</t>
  </si>
  <si>
    <t>Percent_of_TAM</t>
  </si>
  <si>
    <t>Value_USD</t>
  </si>
  <si>
    <t>Needs</t>
  </si>
  <si>
    <t>Acquisition Strategy</t>
  </si>
  <si>
    <t>Tech-savvy Adults</t>
  </si>
  <si>
    <t>Elderly Populations</t>
  </si>
  <si>
    <t>Diabetics</t>
  </si>
  <si>
    <t>Fitness Enthusiasts</t>
  </si>
  <si>
    <t>Corporate Wellness</t>
  </si>
  <si>
    <t>Integration, data insights, minimalist design</t>
  </si>
  <si>
    <t>Safety, simplicity, family integration</t>
  </si>
  <si>
    <t>CGM accuracy, insurance coverage</t>
  </si>
  <si>
    <t>Multi-sensor tracking, real-time coaching</t>
  </si>
  <si>
    <t>Engagement, reporting, incentives</t>
  </si>
  <si>
    <t>D2C, social media influencers</t>
  </si>
  <si>
    <t>Caregivers, pharmacy partners</t>
  </si>
  <si>
    <t>Endocrinologist networks</t>
  </si>
  <si>
    <t>Gym chains, fitness bundles</t>
  </si>
  <si>
    <t>B2B/B2B2C HR partnerships</t>
  </si>
  <si>
    <t>Metric</t>
  </si>
  <si>
    <t>TAM (Global, all verticals)</t>
  </si>
  <si>
    <t>SAM (markets with infra + regulatory readiness)</t>
  </si>
  <si>
    <t>SOM (8% penetration of SAM by 2030)</t>
  </si>
  <si>
    <t>Region</t>
  </si>
  <si>
    <t>TAM_USD</t>
  </si>
  <si>
    <t>SAM_USD</t>
  </si>
  <si>
    <t>SOM_USD</t>
  </si>
  <si>
    <t>Launch_Year</t>
  </si>
  <si>
    <t>Market Notes</t>
  </si>
  <si>
    <t>North America</t>
  </si>
  <si>
    <t>Europe</t>
  </si>
  <si>
    <t>Asia-Pacific</t>
  </si>
  <si>
    <t>LATAM</t>
  </si>
  <si>
    <t>Middle East</t>
  </si>
  <si>
    <t>Africa</t>
  </si>
  <si>
    <t>FDA-cleared, D2C-ready</t>
  </si>
  <si>
    <t>CE-certified, primary care channels</t>
  </si>
  <si>
    <t>Market fit high, regulatory pending</t>
  </si>
  <si>
    <t>High shipping cost barrier</t>
  </si>
  <si>
    <t>Pilot with insurer in negotiation</t>
  </si>
  <si>
    <t>Early adoption via NGO channels</t>
  </si>
  <si>
    <t>TBD</t>
  </si>
  <si>
    <t>Cost Type</t>
  </si>
  <si>
    <t>Percent_Revenue</t>
  </si>
  <si>
    <t>Description</t>
  </si>
  <si>
    <t>Hardware Production</t>
  </si>
  <si>
    <t>Software Licensing</t>
  </si>
  <si>
    <t>Marketing &amp; Sales</t>
  </si>
  <si>
    <t>Regulatory Compliance</t>
  </si>
  <si>
    <t>Logistics &amp; Shipping</t>
  </si>
  <si>
    <t>R&amp;D</t>
  </si>
  <si>
    <t>Support &amp; Success</t>
  </si>
  <si>
    <t>Sensor fabrication, assembly</t>
  </si>
  <si>
    <t>Health insights engine, UI stack</t>
  </si>
  <si>
    <t>Influencer, SEO, enterprise sales</t>
  </si>
  <si>
    <t>FDA, CE, local certifications</t>
  </si>
  <si>
    <t>Global DDP and returns</t>
  </si>
  <si>
    <t>New devices, AI, risk profiling</t>
  </si>
  <si>
    <t>Tiered support, onboarding</t>
  </si>
  <si>
    <t>Notes &amp; Quick Takeaways</t>
  </si>
  <si>
    <t>• Global TAM estimated at $85B; SAM $21.3B; SOM $1.68B by 2030.</t>
  </si>
  <si>
    <t>• North America, Europe and Asia-Pacific represent the largest TAM pools.</t>
  </si>
  <si>
    <t>• Cost structure and regulatory compliance are key cost drivers.</t>
  </si>
  <si>
    <t>• Recommended next steps: run region pilot, validate pricing, finalize supply chain.</t>
  </si>
  <si>
    <t>Top Growth Barriers</t>
  </si>
  <si>
    <t>Top Growth Accelerators</t>
  </si>
  <si>
    <t>AI-powered health predictions</t>
  </si>
  <si>
    <t>Remote diagnostics &amp; real-time triage</t>
  </si>
  <si>
    <t>Data privacy risk (HIPAA, GDPR)</t>
  </si>
  <si>
    <t>Chip shortages &amp; logistics</t>
  </si>
  <si>
    <t>Partnerships with Apple Health, Samsung Health, and WHO</t>
  </si>
  <si>
    <t>Regional language UI constraints</t>
  </si>
  <si>
    <t>- 2025 Q3: Finalize manufacturing in Taiwan &amp; Mexico</t>
  </si>
  <si>
    <t>- 2026 Q1: US + EU Launch (pilot with 5k early adopters)</t>
  </si>
  <si>
    <t>- 2026 Q3: Onboard 5 corporate wellness programs</t>
  </si>
  <si>
    <t>- 2027: Asia-Pacific expansion post-regulatory clearance</t>
  </si>
  <si>
    <t>- 2028: South America pilot rollouts</t>
  </si>
  <si>
    <t>Timeline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</si>
</sst>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_-[$$-409]* #,##0.00_ ;_-[$$-409]* \-#,##0.00\ ;_-[$$-409]* &quot;-&quot;??_ ;_-@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wrapText="1"/>
    </xf>
    <xf numFmtId="10" fontId="0" fillId="0" borderId="1" xfId="0" applyNumberFormat="1" applyBorder="1"/>
    <xf numFmtId="164" fontId="0" fillId="0" borderId="1" xfId="0" applyNumberFormat="1" applyBorder="1"/>
    <xf numFmtId="1" fontId="0" fillId="0" borderId="1" xfId="0" applyNumberFormat="1" applyBorder="1"/>
    <xf numFmtId="10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165" fontId="0" fillId="0" borderId="1" xfId="0" applyNumberFormat="1" applyBorder="1" applyAlignment="1">
      <alignment wrapText="1"/>
    </xf>
    <xf numFmtId="9" fontId="0" fillId="0" borderId="1" xfId="0" applyNumberFormat="1" applyBorder="1" applyAlignment="1">
      <alignment wrapText="1"/>
    </xf>
    <xf numFmtId="10" fontId="0" fillId="0" borderId="1" xfId="0" applyNumberFormat="1" applyBorder="1" applyAlignment="1">
      <alignment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TAM</a:t>
            </a:r>
            <a:r>
              <a:rPr lang="en-US" sz="1200" baseline="0"/>
              <a:t> Regional Share</a:t>
            </a:r>
            <a:endParaRPr lang="en-US" sz="1200"/>
          </a:p>
        </c:rich>
      </c:tx>
      <c:layout>
        <c:manualLayout>
          <c:xMode val="edge"/>
          <c:yMode val="edge"/>
          <c:x val="0.27755937386850493"/>
          <c:y val="1.48848383667231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'Regional Split'!$B$1</c:f>
              <c:strCache>
                <c:ptCount val="1"/>
                <c:pt idx="0">
                  <c:v>TAM_USD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4B1-4BC0-959C-9FF3ABE714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4B1-4BC0-959C-9FF3ABE714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4B1-4BC0-959C-9FF3ABE7149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4B1-4BC0-959C-9FF3ABE7149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B1-4BC0-959C-9FF3ABE7149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4B1-4BC0-959C-9FF3ABE71491}"/>
              </c:ext>
            </c:extLst>
          </c:dPt>
          <c:dLbls>
            <c:dLbl>
              <c:idx val="0"/>
              <c:layout>
                <c:manualLayout>
                  <c:x val="-4.1666666666666782E-2"/>
                  <c:y val="-3.660158010551711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4B1-4BC0-959C-9FF3ABE71491}"/>
                </c:ext>
              </c:extLst>
            </c:dLbl>
            <c:dLbl>
              <c:idx val="1"/>
              <c:layout>
                <c:manualLayout>
                  <c:x val="1.1720581340834419E-2"/>
                  <c:y val="-6.9735006973500697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B1-4BC0-959C-9FF3ABE71491}"/>
                </c:ext>
              </c:extLst>
            </c:dLbl>
            <c:dLbl>
              <c:idx val="2"/>
              <c:layout>
                <c:manualLayout>
                  <c:x val="-1.4064697609001406E-2"/>
                  <c:y val="-1.2784603589643508E-1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4B1-4BC0-959C-9FF3ABE71491}"/>
                </c:ext>
              </c:extLst>
            </c:dLbl>
            <c:dLbl>
              <c:idx val="3"/>
              <c:layout>
                <c:manualLayout>
                  <c:x val="-1.1720581340834549E-2"/>
                  <c:y val="6.9735006973500697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4B1-4BC0-959C-9FF3ABE71491}"/>
                </c:ext>
              </c:extLst>
            </c:dLbl>
            <c:dLbl>
              <c:idx val="4"/>
              <c:layout>
                <c:manualLayout>
                  <c:x val="-7.0323488045007029E-3"/>
                  <c:y val="-3.4867503486750509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4B1-4BC0-959C-9FF3ABE71491}"/>
                </c:ext>
              </c:extLst>
            </c:dLbl>
            <c:dLbl>
              <c:idx val="5"/>
              <c:layout>
                <c:manualLayout>
                  <c:x val="4.4538209095171123E-2"/>
                  <c:y val="-3.732736095558044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4B1-4BC0-959C-9FF3ABE714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'Regional Split'!$A$2:$A$7</c:f>
              <c:strCache>
                <c:ptCount val="6"/>
                <c:pt idx="0">
                  <c:v>North America</c:v>
                </c:pt>
                <c:pt idx="1">
                  <c:v>Europe</c:v>
                </c:pt>
                <c:pt idx="2">
                  <c:v>Asia-Pacific</c:v>
                </c:pt>
                <c:pt idx="3">
                  <c:v>LATAM</c:v>
                </c:pt>
                <c:pt idx="4">
                  <c:v>Middle East</c:v>
                </c:pt>
                <c:pt idx="5">
                  <c:v>Africa</c:v>
                </c:pt>
              </c:strCache>
            </c:strRef>
          </c:cat>
          <c:val>
            <c:numRef>
              <c:f>'Regional Split'!$B$2:$B$7</c:f>
              <c:numCache>
                <c:formatCode>\$#,##0</c:formatCode>
                <c:ptCount val="6"/>
                <c:pt idx="0">
                  <c:v>22000000000</c:v>
                </c:pt>
                <c:pt idx="1">
                  <c:v>18000000000</c:v>
                </c:pt>
                <c:pt idx="2">
                  <c:v>30000000000</c:v>
                </c:pt>
                <c:pt idx="3">
                  <c:v>10000000000</c:v>
                </c:pt>
                <c:pt idx="4">
                  <c:v>3000000000</c:v>
                </c:pt>
                <c:pt idx="5">
                  <c:v>2000000000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B1-4BC0-959C-9FF3ABE7149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Model'!$B$1</c:f>
              <c:strCache>
                <c:ptCount val="1"/>
                <c:pt idx="0">
                  <c:v>Value_USD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'Financial Model'!$A$2:$A$4</c:f>
              <c:strCache>
                <c:ptCount val="3"/>
                <c:pt idx="0">
                  <c:v>TAM (Global, all verticals)</c:v>
                </c:pt>
                <c:pt idx="1">
                  <c:v>SAM (markets with infra + regulatory readiness)</c:v>
                </c:pt>
                <c:pt idx="2">
                  <c:v>SOM (8% penetration of SAM by 2030)</c:v>
                </c:pt>
              </c:strCache>
            </c:strRef>
          </c:cat>
          <c:val>
            <c:numRef>
              <c:f>'Financial Model'!$B$2:$B$4</c:f>
              <c:numCache>
                <c:formatCode>\$#,##0</c:formatCode>
                <c:ptCount val="3"/>
                <c:pt idx="0">
                  <c:v>85000000000</c:v>
                </c:pt>
                <c:pt idx="1">
                  <c:v>21300000000</c:v>
                </c:pt>
                <c:pt idx="2">
                  <c:v>1680000000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A2-4801-95BB-A33139FC0E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02387311"/>
        <c:axId val="1502387791"/>
      </c:barChart>
      <c:catAx>
        <c:axId val="150238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2387791"/>
        <c:crosses val="autoZero"/>
        <c:auto val="1"/>
        <c:lblAlgn val="ctr"/>
        <c:lblOffset val="100"/>
        <c:noMultiLvlLbl val="0"/>
      </c:catAx>
      <c:valAx>
        <c:axId val="150238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_ ;_-@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2387311"/>
        <c:crosses val="autoZero"/>
        <c:crossBetween val="between"/>
        <c:dispUnits>
          <c:builtInUnit val="b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pt-BR"/>
                    <a:t>Billions (USD)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'Regional Split'!$B$1</c:f>
              <c:strCache>
                <c:ptCount val="1"/>
                <c:pt idx="0">
                  <c:v>TAM_USD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-9.9711330715771295E-17"/>
                  <c:y val="-4.64600340056556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9E4-429A-A786-DBF6DD1AA4C1}"/>
                </c:ext>
              </c:extLst>
            </c:dLbl>
            <c:dLbl>
              <c:idx val="5"/>
              <c:layout>
                <c:manualLayout>
                  <c:x val="-9.9711330715771295E-17"/>
                  <c:y val="-3.6135582004398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9E4-429A-A786-DBF6DD1AA4C1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Split'!$A$2:$A$7</c:f>
              <c:strCache>
                <c:ptCount val="6"/>
                <c:pt idx="0">
                  <c:v>North America</c:v>
                </c:pt>
                <c:pt idx="1">
                  <c:v>Europe</c:v>
                </c:pt>
                <c:pt idx="2">
                  <c:v>Asia-Pacific</c:v>
                </c:pt>
                <c:pt idx="3">
                  <c:v>LATAM</c:v>
                </c:pt>
                <c:pt idx="4">
                  <c:v>Middle East</c:v>
                </c:pt>
                <c:pt idx="5">
                  <c:v>Africa</c:v>
                </c:pt>
              </c:strCache>
            </c:strRef>
          </c:cat>
          <c:val>
            <c:numRef>
              <c:f>'Regional Split'!$B$2:$B$7</c:f>
              <c:numCache>
                <c:formatCode>\$#,##0</c:formatCode>
                <c:ptCount val="6"/>
                <c:pt idx="0">
                  <c:v>22000000000</c:v>
                </c:pt>
                <c:pt idx="1">
                  <c:v>18000000000</c:v>
                </c:pt>
                <c:pt idx="2">
                  <c:v>30000000000</c:v>
                </c:pt>
                <c:pt idx="3">
                  <c:v>10000000000</c:v>
                </c:pt>
                <c:pt idx="4">
                  <c:v>3000000000</c:v>
                </c:pt>
                <c:pt idx="5">
                  <c:v>2000000000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38-4434-8924-D85426B604EB}"/>
            </c:ext>
          </c:extLst>
        </c:ser>
        <c:ser>
          <c:idx val="1"/>
          <c:order val="1"/>
          <c:tx>
            <c:strRef>
              <c:f>'Regional Split'!$C$1</c:f>
              <c:strCache>
                <c:ptCount val="1"/>
                <c:pt idx="0">
                  <c:v>SAM_USD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9E4-429A-A786-DBF6DD1AA4C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9E4-429A-A786-DBF6DD1AA4C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9E4-429A-A786-DBF6DD1AA4C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9E4-429A-A786-DBF6DD1AA4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Split'!$A$2:$A$7</c:f>
              <c:strCache>
                <c:ptCount val="6"/>
                <c:pt idx="0">
                  <c:v>North America</c:v>
                </c:pt>
                <c:pt idx="1">
                  <c:v>Europe</c:v>
                </c:pt>
                <c:pt idx="2">
                  <c:v>Asia-Pacific</c:v>
                </c:pt>
                <c:pt idx="3">
                  <c:v>LATAM</c:v>
                </c:pt>
                <c:pt idx="4">
                  <c:v>Middle East</c:v>
                </c:pt>
                <c:pt idx="5">
                  <c:v>Africa</c:v>
                </c:pt>
              </c:strCache>
            </c:strRef>
          </c:cat>
          <c:val>
            <c:numRef>
              <c:f>'Regional Split'!$C$2:$C$7</c:f>
              <c:numCache>
                <c:formatCode>\$#,##0</c:formatCode>
                <c:ptCount val="6"/>
                <c:pt idx="0">
                  <c:v>12000000000</c:v>
                </c:pt>
                <c:pt idx="1">
                  <c:v>8000000000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38-4434-8924-D85426B604EB}"/>
            </c:ext>
          </c:extLst>
        </c:ser>
        <c:ser>
          <c:idx val="2"/>
          <c:order val="2"/>
          <c:tx>
            <c:strRef>
              <c:f>'Regional Split'!$D$1</c:f>
              <c:strCache>
                <c:ptCount val="1"/>
                <c:pt idx="0">
                  <c:v>SOM_USD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3.687315634218289E-3"/>
                  <c:y val="-4.68164794007490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A38-4434-8924-D85426B604EB}"/>
                </c:ext>
              </c:extLst>
            </c:dLbl>
            <c:dLbl>
              <c:idx val="1"/>
              <c:layout>
                <c:manualLayout>
                  <c:x val="-1.8436578171091783E-3"/>
                  <c:y val="-3.7453183520599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A38-4434-8924-D85426B604E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A38-4434-8924-D85426B604E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A38-4434-8924-D85426B604E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A38-4434-8924-D85426B604E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A38-4434-8924-D85426B604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Split'!$A$2:$A$7</c:f>
              <c:strCache>
                <c:ptCount val="6"/>
                <c:pt idx="0">
                  <c:v>North America</c:v>
                </c:pt>
                <c:pt idx="1">
                  <c:v>Europe</c:v>
                </c:pt>
                <c:pt idx="2">
                  <c:v>Asia-Pacific</c:v>
                </c:pt>
                <c:pt idx="3">
                  <c:v>LATAM</c:v>
                </c:pt>
                <c:pt idx="4">
                  <c:v>Middle East</c:v>
                </c:pt>
                <c:pt idx="5">
                  <c:v>Africa</c:v>
                </c:pt>
              </c:strCache>
            </c:strRef>
          </c:cat>
          <c:val>
            <c:numRef>
              <c:f>'Regional Split'!$D$2:$D$7</c:f>
              <c:numCache>
                <c:formatCode>\$#,##0</c:formatCode>
                <c:ptCount val="6"/>
                <c:pt idx="0">
                  <c:v>900000000</c:v>
                </c:pt>
                <c:pt idx="1">
                  <c:v>600000000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38-4434-8924-D85426B604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502387311"/>
        <c:axId val="1502387791"/>
      </c:barChart>
      <c:catAx>
        <c:axId val="150238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2387791"/>
        <c:crosses val="autoZero"/>
        <c:auto val="1"/>
        <c:lblAlgn val="ctr"/>
        <c:lblOffset val="100"/>
        <c:noMultiLvlLbl val="0"/>
      </c:catAx>
      <c:valAx>
        <c:axId val="150238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_ ;_-@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2387311"/>
        <c:crosses val="autoZero"/>
        <c:crossBetween val="between"/>
        <c:dispUnits>
          <c:builtInUnit val="b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pt-BR"/>
                    <a:t>Billions (USD)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 b="0" i="0" u="none" strike="noStrike" baseline="0"/>
              <a:t>Cost Structure (% of Revenue)</a:t>
            </a:r>
            <a:endParaRPr lang="en-US" sz="1100"/>
          </a:p>
        </c:rich>
      </c:tx>
      <c:layout>
        <c:manualLayout>
          <c:xMode val="edge"/>
          <c:yMode val="edge"/>
          <c:x val="0.11127132333305108"/>
          <c:y val="6.320604174559435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'Cost Structure'!$B$1</c:f>
              <c:strCache>
                <c:ptCount val="1"/>
                <c:pt idx="0">
                  <c:v>Percent_Revenue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E2-42BF-B954-D1F5FE1BAF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E2-42BF-B954-D1F5FE1BAF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0E2-42BF-B954-D1F5FE1BAF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0E2-42BF-B954-D1F5FE1BAF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0E2-42BF-B954-D1F5FE1BAFB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0E2-42BF-B954-D1F5FE1BAFB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C-1131-485C-A531-EECE74EE1246}"/>
              </c:ext>
            </c:extLst>
          </c:dPt>
          <c:dLbls>
            <c:dLbl>
              <c:idx val="0"/>
              <c:layout>
                <c:manualLayout>
                  <c:x val="1.6408813877168308E-2"/>
                  <c:y val="5.599104143337069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0E2-42BF-B954-D1F5FE1BAFB4}"/>
                </c:ext>
              </c:extLst>
            </c:dLbl>
            <c:dLbl>
              <c:idx val="1"/>
              <c:layout>
                <c:manualLayout>
                  <c:x val="3.9556391968282555E-2"/>
                  <c:y val="-6.9734402465746826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0E2-42BF-B954-D1F5FE1BAFB4}"/>
                </c:ext>
              </c:extLst>
            </c:dLbl>
            <c:dLbl>
              <c:idx val="2"/>
              <c:layout>
                <c:manualLayout>
                  <c:x val="-3.5055567676206718E-2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0E2-42BF-B954-D1F5FE1BAFB4}"/>
                </c:ext>
              </c:extLst>
            </c:dLbl>
            <c:dLbl>
              <c:idx val="3"/>
              <c:layout>
                <c:manualLayout>
                  <c:x val="1.2045769854555216E-3"/>
                  <c:y val="6.912332457499341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644363605572889"/>
                      <c:h val="0.1925608621697220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B0E2-42BF-B954-D1F5FE1BAFB4}"/>
                </c:ext>
              </c:extLst>
            </c:dLbl>
            <c:dLbl>
              <c:idx val="4"/>
              <c:layout>
                <c:manualLayout>
                  <c:x val="-0.10793705936390321"/>
                  <c:y val="6.786903930586658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0E2-42BF-B954-D1F5FE1BAFB4}"/>
                </c:ext>
              </c:extLst>
            </c:dLbl>
            <c:dLbl>
              <c:idx val="5"/>
              <c:layout>
                <c:manualLayout>
                  <c:x val="4.4538209095171123E-2"/>
                  <c:y val="-3.732736095558044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0E2-42BF-B954-D1F5FE1BAFB4}"/>
                </c:ext>
              </c:extLst>
            </c:dLbl>
            <c:dLbl>
              <c:idx val="6"/>
              <c:layout>
                <c:manualLayout>
                  <c:x val="3.7783375314861464E-2"/>
                  <c:y val="1.092896174863386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1131-485C-A531-EECE74EE12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'Cost Structure'!$A$2:$A$8</c:f>
              <c:strCache>
                <c:ptCount val="7"/>
                <c:pt idx="0">
                  <c:v>Hardware Production</c:v>
                </c:pt>
                <c:pt idx="1">
                  <c:v>Software Licensing</c:v>
                </c:pt>
                <c:pt idx="2">
                  <c:v>Marketing &amp; Sales</c:v>
                </c:pt>
                <c:pt idx="3">
                  <c:v>Regulatory Compliance</c:v>
                </c:pt>
                <c:pt idx="4">
                  <c:v>Logistics &amp; Shipping</c:v>
                </c:pt>
                <c:pt idx="5">
                  <c:v>R&amp;D</c:v>
                </c:pt>
                <c:pt idx="6">
                  <c:v>Support &amp; Success</c:v>
                </c:pt>
              </c:strCache>
            </c:strRef>
          </c:cat>
          <c:val>
            <c:numRef>
              <c:f>'Cost Structure'!$B$2:$B$8</c:f>
              <c:numCache>
                <c:formatCode>0.00%</c:formatCode>
                <c:ptCount val="7"/>
                <c:pt idx="0">
                  <c:v>0.28000000000000003</c:v>
                </c:pt>
                <c:pt idx="1">
                  <c:v>0.15</c:v>
                </c:pt>
                <c:pt idx="2">
                  <c:v>0.18</c:v>
                </c:pt>
                <c:pt idx="3">
                  <c:v>0.1</c:v>
                </c:pt>
                <c:pt idx="4">
                  <c:v>0.09</c:v>
                </c:pt>
                <c:pt idx="5">
                  <c:v>0.12</c:v>
                </c:pt>
                <c:pt idx="6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0E2-42BF-B954-D1F5FE1BAFB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TAM</a:t>
            </a:r>
            <a:r>
              <a:rPr lang="en-US" sz="1200" baseline="0"/>
              <a:t> Costumer Segments</a:t>
            </a:r>
            <a:endParaRPr lang="en-US" sz="1200"/>
          </a:p>
        </c:rich>
      </c:tx>
      <c:layout>
        <c:manualLayout>
          <c:xMode val="edge"/>
          <c:yMode val="edge"/>
          <c:x val="0.10902726508064192"/>
          <c:y val="1.99278589144686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'Customer Segments'!$B$1</c:f>
              <c:strCache>
                <c:ptCount val="1"/>
                <c:pt idx="0">
                  <c:v>Percent_of_TAM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FF-4407-B906-73C76AE97F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FF-4407-B906-73C76AE97F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CFF-4407-B906-73C76AE97F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CFF-4407-B906-73C76AE97F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CFF-4407-B906-73C76AE97F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CFF-4407-B906-73C76AE97F6D}"/>
              </c:ext>
            </c:extLst>
          </c:dPt>
          <c:dLbls>
            <c:dLbl>
              <c:idx val="0"/>
              <c:layout>
                <c:manualLayout>
                  <c:x val="1.6408813877168308E-2"/>
                  <c:y val="5.599104143337069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CFF-4407-B906-73C76AE97F6D}"/>
                </c:ext>
              </c:extLst>
            </c:dLbl>
            <c:dLbl>
              <c:idx val="1"/>
              <c:layout>
                <c:manualLayout>
                  <c:x val="7.5159856678000153E-2"/>
                  <c:y val="-6.9734402465746826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911672970362215"/>
                      <c:h val="0.20961282183092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CFF-4407-B906-73C76AE97F6D}"/>
                </c:ext>
              </c:extLst>
            </c:dLbl>
            <c:dLbl>
              <c:idx val="2"/>
              <c:layout>
                <c:manualLayout>
                  <c:x val="-1.4064697609001406E-2"/>
                  <c:y val="-1.2784603589643508E-1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CFF-4407-B906-73C76AE97F6D}"/>
                </c:ext>
              </c:extLst>
            </c:dLbl>
            <c:dLbl>
              <c:idx val="3"/>
              <c:layout>
                <c:manualLayout>
                  <c:x val="-1.1720581340834549E-2"/>
                  <c:y val="6.9735006973500697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CFF-4407-B906-73C76AE97F6D}"/>
                </c:ext>
              </c:extLst>
            </c:dLbl>
            <c:dLbl>
              <c:idx val="4"/>
              <c:layout>
                <c:manualLayout>
                  <c:x val="-0.10793705936390321"/>
                  <c:y val="6.786903930586658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CFF-4407-B906-73C76AE97F6D}"/>
                </c:ext>
              </c:extLst>
            </c:dLbl>
            <c:dLbl>
              <c:idx val="5"/>
              <c:layout>
                <c:manualLayout>
                  <c:x val="4.4538209095171123E-2"/>
                  <c:y val="-3.732736095558044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CFF-4407-B906-73C76AE97F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Segments'!$A$2:$A$6</c:f>
              <c:strCache>
                <c:ptCount val="5"/>
                <c:pt idx="0">
                  <c:v>Tech-savvy Adults</c:v>
                </c:pt>
                <c:pt idx="1">
                  <c:v>Elderly Populations</c:v>
                </c:pt>
                <c:pt idx="2">
                  <c:v>Diabetics</c:v>
                </c:pt>
                <c:pt idx="3">
                  <c:v>Fitness Enthusiasts</c:v>
                </c:pt>
                <c:pt idx="4">
                  <c:v>Corporate Wellness</c:v>
                </c:pt>
              </c:strCache>
            </c:strRef>
          </c:cat>
          <c:val>
            <c:numRef>
              <c:f>'Customer Segments'!$B$2:$B$6</c:f>
              <c:numCache>
                <c:formatCode>0.00%</c:formatCode>
                <c:ptCount val="5"/>
                <c:pt idx="0">
                  <c:v>0.35</c:v>
                </c:pt>
                <c:pt idx="1">
                  <c:v>0.2</c:v>
                </c:pt>
                <c:pt idx="2">
                  <c:v>0.15</c:v>
                </c:pt>
                <c:pt idx="3">
                  <c:v>0.18</c:v>
                </c:pt>
                <c:pt idx="4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CFF-4407-B906-73C76AE97F6D}"/>
            </c:ext>
          </c:extLst>
        </c:ser>
        <c:ser>
          <c:idx val="1"/>
          <c:order val="1"/>
          <c:tx>
            <c:strRef>
              <c:f>'Customer Segments'!$C$1</c:f>
              <c:strCache>
                <c:ptCount val="1"/>
                <c:pt idx="0">
                  <c:v>Value_USD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9CFF-4407-B906-73C76AE97F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9CFF-4407-B906-73C76AE97F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9CFF-4407-B906-73C76AE97F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9CFF-4407-B906-73C76AE97F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9CFF-4407-B906-73C76AE97F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Segments'!$A$2:$A$6</c:f>
              <c:strCache>
                <c:ptCount val="5"/>
                <c:pt idx="0">
                  <c:v>Tech-savvy Adults</c:v>
                </c:pt>
                <c:pt idx="1">
                  <c:v>Elderly Populations</c:v>
                </c:pt>
                <c:pt idx="2">
                  <c:v>Diabetics</c:v>
                </c:pt>
                <c:pt idx="3">
                  <c:v>Fitness Enthusiasts</c:v>
                </c:pt>
                <c:pt idx="4">
                  <c:v>Corporate Wellness</c:v>
                </c:pt>
              </c:strCache>
            </c:strRef>
          </c:cat>
          <c:val>
            <c:numRef>
              <c:f>'Customer Segments'!$C$2:$C$6</c:f>
              <c:numCache>
                <c:formatCode>\$#,##0</c:formatCode>
                <c:ptCount val="5"/>
                <c:pt idx="0">
                  <c:v>29750000000</c:v>
                </c:pt>
                <c:pt idx="1">
                  <c:v>17000000000</c:v>
                </c:pt>
                <c:pt idx="2">
                  <c:v>12750000000</c:v>
                </c:pt>
                <c:pt idx="3">
                  <c:v>15300000000</c:v>
                </c:pt>
                <c:pt idx="4">
                  <c:v>10200000000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CFF-4407-B906-73C76AE97F6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38100</xdr:rowOff>
    </xdr:from>
    <xdr:to>
      <xdr:col>12</xdr:col>
      <xdr:colOff>518160</xdr:colOff>
      <xdr:row>25</xdr:row>
      <xdr:rowOff>38100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C3B371E5-FED2-3872-B563-230F2575F47E}"/>
            </a:ext>
          </a:extLst>
        </xdr:cNvPr>
        <xdr:cNvGrpSpPr/>
      </xdr:nvGrpSpPr>
      <xdr:grpSpPr>
        <a:xfrm>
          <a:off x="76200" y="38100"/>
          <a:ext cx="10401300" cy="4815840"/>
          <a:chOff x="76200" y="38100"/>
          <a:chExt cx="12809220" cy="4564380"/>
        </a:xfrm>
      </xdr:grpSpPr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B86D37C5-6734-BB36-2AE5-2516D6F7A20B}"/>
              </a:ext>
            </a:extLst>
          </xdr:cNvPr>
          <xdr:cNvGraphicFramePr/>
        </xdr:nvGraphicFramePr>
        <xdr:xfrm>
          <a:off x="76200" y="38100"/>
          <a:ext cx="3962400" cy="45643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5" name="Gráfico 4">
            <a:extLst>
              <a:ext uri="{FF2B5EF4-FFF2-40B4-BE49-F238E27FC236}">
                <a16:creationId xmlns:a16="http://schemas.microsoft.com/office/drawing/2014/main" id="{B187E1FB-947E-D662-2818-94ECEC1ECAE3}"/>
              </a:ext>
            </a:extLst>
          </xdr:cNvPr>
          <xdr:cNvGraphicFramePr/>
        </xdr:nvGraphicFramePr>
        <xdr:xfrm>
          <a:off x="7132320" y="38230"/>
          <a:ext cx="5753100" cy="21944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6" name="Gráfico 5">
            <a:extLst>
              <a:ext uri="{FF2B5EF4-FFF2-40B4-BE49-F238E27FC236}">
                <a16:creationId xmlns:a16="http://schemas.microsoft.com/office/drawing/2014/main" id="{55EAC910-36B4-44AF-9F1B-B431C85BAB8D}"/>
              </a:ext>
            </a:extLst>
          </xdr:cNvPr>
          <xdr:cNvGraphicFramePr>
            <a:graphicFrameLocks/>
          </xdr:cNvGraphicFramePr>
        </xdr:nvGraphicFramePr>
        <xdr:xfrm>
          <a:off x="7124699" y="2263140"/>
          <a:ext cx="5751229" cy="23317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8" name="Gráfico 7">
            <a:extLst>
              <a:ext uri="{FF2B5EF4-FFF2-40B4-BE49-F238E27FC236}">
                <a16:creationId xmlns:a16="http://schemas.microsoft.com/office/drawing/2014/main" id="{28110564-A803-4AEE-B875-9E5F7ADCE931}"/>
              </a:ext>
            </a:extLst>
          </xdr:cNvPr>
          <xdr:cNvGraphicFramePr>
            <a:graphicFrameLocks/>
          </xdr:cNvGraphicFramePr>
        </xdr:nvGraphicFramePr>
        <xdr:xfrm>
          <a:off x="4069080" y="2278380"/>
          <a:ext cx="3025140" cy="23241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5231DC9E-B6DB-4BFC-A256-4F9D797A76D8}"/>
              </a:ext>
            </a:extLst>
          </xdr:cNvPr>
          <xdr:cNvGraphicFramePr>
            <a:graphicFrameLocks/>
          </xdr:cNvGraphicFramePr>
        </xdr:nvGraphicFramePr>
        <xdr:xfrm>
          <a:off x="4076700" y="45720"/>
          <a:ext cx="3017521" cy="21869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N4:N25"/>
  <sheetViews>
    <sheetView showGridLines="0" tabSelected="1" workbookViewId="0">
      <selection activeCell="L27" sqref="L27"/>
    </sheetView>
  </sheetViews>
  <sheetFormatPr defaultRowHeight="14.4" x14ac:dyDescent="0.3"/>
  <cols>
    <col min="1" max="1" width="46.44140625" customWidth="1"/>
    <col min="2" max="2" width="13.77734375" bestFit="1" customWidth="1"/>
    <col min="11" max="11" width="2" customWidth="1"/>
    <col min="12" max="12" width="11.88671875" customWidth="1"/>
    <col min="13" max="13" width="11.109375" customWidth="1"/>
    <col min="14" max="14" width="46" customWidth="1"/>
  </cols>
  <sheetData>
    <row r="4" spans="14:14" x14ac:dyDescent="0.3">
      <c r="N4" s="13" t="s">
        <v>95</v>
      </c>
    </row>
    <row r="5" spans="14:14" x14ac:dyDescent="0.3">
      <c r="N5" s="14" t="s">
        <v>90</v>
      </c>
    </row>
    <row r="6" spans="14:14" x14ac:dyDescent="0.3">
      <c r="N6" s="14" t="s">
        <v>91</v>
      </c>
    </row>
    <row r="7" spans="14:14" x14ac:dyDescent="0.3">
      <c r="N7" s="14" t="s">
        <v>92</v>
      </c>
    </row>
    <row r="8" spans="14:14" x14ac:dyDescent="0.3">
      <c r="N8" s="14" t="s">
        <v>93</v>
      </c>
    </row>
    <row r="9" spans="14:14" x14ac:dyDescent="0.3">
      <c r="N9" s="14" t="s">
        <v>94</v>
      </c>
    </row>
    <row r="21" spans="14:14" x14ac:dyDescent="0.3">
      <c r="N21" s="13" t="s">
        <v>77</v>
      </c>
    </row>
    <row r="22" spans="14:14" x14ac:dyDescent="0.3">
      <c r="N22" s="14" t="s">
        <v>78</v>
      </c>
    </row>
    <row r="23" spans="14:14" ht="24" x14ac:dyDescent="0.3">
      <c r="N23" s="14" t="s">
        <v>79</v>
      </c>
    </row>
    <row r="24" spans="14:14" x14ac:dyDescent="0.3">
      <c r="N24" s="14" t="s">
        <v>80</v>
      </c>
    </row>
    <row r="25" spans="14:14" ht="24" x14ac:dyDescent="0.3">
      <c r="N25" s="14" t="s">
        <v>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F11" sqref="F11:F15"/>
    </sheetView>
  </sheetViews>
  <sheetFormatPr defaultRowHeight="14.4" x14ac:dyDescent="0.3"/>
  <cols>
    <col min="1" max="1" width="54.6640625" customWidth="1"/>
    <col min="2" max="2" width="21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10">
        <v>12300000000000</v>
      </c>
    </row>
    <row r="3" spans="1:2" x14ac:dyDescent="0.3">
      <c r="A3" s="2" t="s">
        <v>3</v>
      </c>
      <c r="B3" s="12">
        <v>0.125</v>
      </c>
    </row>
    <row r="4" spans="1:2" x14ac:dyDescent="0.3">
      <c r="A4" s="2" t="s">
        <v>4</v>
      </c>
      <c r="B4" s="12">
        <v>0.189</v>
      </c>
    </row>
    <row r="5" spans="1:2" x14ac:dyDescent="0.3">
      <c r="A5" s="2" t="s">
        <v>5</v>
      </c>
      <c r="B5" s="11">
        <v>0.23</v>
      </c>
    </row>
    <row r="6" spans="1:2" x14ac:dyDescent="0.3">
      <c r="A6" s="2" t="s">
        <v>6</v>
      </c>
      <c r="B6" s="11">
        <v>0.68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cols>
    <col min="1" max="1" width="27.6640625" customWidth="1"/>
    <col min="2" max="2" width="79.6640625" customWidth="1"/>
  </cols>
  <sheetData>
    <row r="1" spans="1:2" x14ac:dyDescent="0.3">
      <c r="A1" s="1" t="s">
        <v>7</v>
      </c>
      <c r="B1" s="1" t="s">
        <v>8</v>
      </c>
    </row>
    <row r="2" spans="1:2" x14ac:dyDescent="0.3">
      <c r="A2" s="2" t="s">
        <v>9</v>
      </c>
      <c r="B2" s="2" t="s">
        <v>13</v>
      </c>
    </row>
    <row r="3" spans="1:2" x14ac:dyDescent="0.3">
      <c r="A3" s="2" t="s">
        <v>10</v>
      </c>
      <c r="B3" s="2" t="s">
        <v>14</v>
      </c>
    </row>
    <row r="4" spans="1:2" x14ac:dyDescent="0.3">
      <c r="A4" s="2" t="s">
        <v>11</v>
      </c>
      <c r="B4" s="2" t="s">
        <v>15</v>
      </c>
    </row>
    <row r="5" spans="1:2" x14ac:dyDescent="0.3">
      <c r="A5" s="2" t="s">
        <v>12</v>
      </c>
      <c r="B5" s="2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C2" sqref="C2:C6"/>
    </sheetView>
  </sheetViews>
  <sheetFormatPr defaultRowHeight="14.4" x14ac:dyDescent="0.3"/>
  <cols>
    <col min="1" max="1" width="20.6640625" customWidth="1"/>
    <col min="2" max="2" width="15.44140625" style="6" customWidth="1"/>
    <col min="3" max="3" width="18.6640625" style="8" customWidth="1"/>
    <col min="4" max="5" width="40.6640625" style="9" customWidth="1"/>
  </cols>
  <sheetData>
    <row r="1" spans="1:5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 x14ac:dyDescent="0.3">
      <c r="A2" s="2" t="s">
        <v>22</v>
      </c>
      <c r="B2" s="3">
        <v>0.35</v>
      </c>
      <c r="C2" s="4">
        <v>29750000000</v>
      </c>
      <c r="D2" s="2" t="s">
        <v>27</v>
      </c>
      <c r="E2" s="2" t="s">
        <v>32</v>
      </c>
    </row>
    <row r="3" spans="1:5" x14ac:dyDescent="0.3">
      <c r="A3" s="2" t="s">
        <v>23</v>
      </c>
      <c r="B3" s="3">
        <v>0.2</v>
      </c>
      <c r="C3" s="4">
        <v>17000000000</v>
      </c>
      <c r="D3" s="2" t="s">
        <v>28</v>
      </c>
      <c r="E3" s="2" t="s">
        <v>33</v>
      </c>
    </row>
    <row r="4" spans="1:5" x14ac:dyDescent="0.3">
      <c r="A4" s="2" t="s">
        <v>24</v>
      </c>
      <c r="B4" s="3">
        <v>0.15</v>
      </c>
      <c r="C4" s="4">
        <v>12750000000</v>
      </c>
      <c r="D4" s="2" t="s">
        <v>29</v>
      </c>
      <c r="E4" s="2" t="s">
        <v>34</v>
      </c>
    </row>
    <row r="5" spans="1:5" x14ac:dyDescent="0.3">
      <c r="A5" s="2" t="s">
        <v>25</v>
      </c>
      <c r="B5" s="3">
        <v>0.18</v>
      </c>
      <c r="C5" s="4">
        <v>15300000000</v>
      </c>
      <c r="D5" s="2" t="s">
        <v>30</v>
      </c>
      <c r="E5" s="2" t="s">
        <v>35</v>
      </c>
    </row>
    <row r="6" spans="1:5" x14ac:dyDescent="0.3">
      <c r="A6" s="2" t="s">
        <v>26</v>
      </c>
      <c r="B6" s="3">
        <v>0.12</v>
      </c>
      <c r="C6" s="4">
        <v>10200000000</v>
      </c>
      <c r="D6" s="2" t="s">
        <v>31</v>
      </c>
      <c r="E6" s="2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EAD9E-A561-482D-92F7-3B1941E19021}">
  <dimension ref="A1:B5"/>
  <sheetViews>
    <sheetView workbookViewId="0">
      <selection activeCell="B11" sqref="B11"/>
    </sheetView>
  </sheetViews>
  <sheetFormatPr defaultRowHeight="14.4" x14ac:dyDescent="0.3"/>
  <cols>
    <col min="1" max="1" width="52.33203125" customWidth="1"/>
    <col min="2" max="2" width="29.5546875" customWidth="1"/>
  </cols>
  <sheetData>
    <row r="1" spans="1:2" x14ac:dyDescent="0.3">
      <c r="A1" s="1" t="s">
        <v>83</v>
      </c>
      <c r="B1" s="1" t="s">
        <v>82</v>
      </c>
    </row>
    <row r="2" spans="1:2" x14ac:dyDescent="0.3">
      <c r="A2" s="2" t="s">
        <v>84</v>
      </c>
      <c r="B2" s="10" t="s">
        <v>86</v>
      </c>
    </row>
    <row r="3" spans="1:2" x14ac:dyDescent="0.3">
      <c r="A3" s="2" t="s">
        <v>85</v>
      </c>
      <c r="B3" s="12" t="s">
        <v>87</v>
      </c>
    </row>
    <row r="4" spans="1:2" ht="18" customHeight="1" x14ac:dyDescent="0.3">
      <c r="A4" s="2" t="s">
        <v>88</v>
      </c>
      <c r="B4" s="12" t="s">
        <v>89</v>
      </c>
    </row>
    <row r="5" spans="1:2" x14ac:dyDescent="0.3">
      <c r="A5" s="15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F11" sqref="F11"/>
    </sheetView>
  </sheetViews>
  <sheetFormatPr defaultRowHeight="14.4" x14ac:dyDescent="0.3"/>
  <cols>
    <col min="1" max="1" width="60.6640625" customWidth="1"/>
    <col min="2" max="2" width="22.6640625" customWidth="1"/>
  </cols>
  <sheetData>
    <row r="1" spans="1:2" x14ac:dyDescent="0.3">
      <c r="A1" s="1" t="s">
        <v>37</v>
      </c>
      <c r="B1" s="1" t="s">
        <v>19</v>
      </c>
    </row>
    <row r="2" spans="1:2" x14ac:dyDescent="0.3">
      <c r="A2" s="2" t="s">
        <v>38</v>
      </c>
      <c r="B2" s="4">
        <v>85000000000</v>
      </c>
    </row>
    <row r="3" spans="1:2" x14ac:dyDescent="0.3">
      <c r="A3" s="2" t="s">
        <v>39</v>
      </c>
      <c r="B3" s="4">
        <v>21300000000</v>
      </c>
    </row>
    <row r="4" spans="1:2" x14ac:dyDescent="0.3">
      <c r="A4" s="2" t="s">
        <v>40</v>
      </c>
      <c r="B4" s="4">
        <v>1680000000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>
      <selection activeCell="F14" sqref="F14"/>
    </sheetView>
  </sheetViews>
  <sheetFormatPr defaultRowHeight="14.4" x14ac:dyDescent="0.3"/>
  <cols>
    <col min="1" max="1" width="18.6640625" customWidth="1"/>
    <col min="2" max="4" width="20.6640625" customWidth="1"/>
    <col min="5" max="5" width="12.6640625" customWidth="1"/>
    <col min="6" max="6" width="40.6640625" customWidth="1"/>
  </cols>
  <sheetData>
    <row r="1" spans="1:6" x14ac:dyDescent="0.3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 x14ac:dyDescent="0.3">
      <c r="A2" s="2" t="s">
        <v>47</v>
      </c>
      <c r="B2" s="4">
        <v>22000000000</v>
      </c>
      <c r="C2" s="4">
        <v>12000000000</v>
      </c>
      <c r="D2" s="4">
        <v>900000000</v>
      </c>
      <c r="E2" s="5">
        <v>2026</v>
      </c>
      <c r="F2" s="2" t="s">
        <v>53</v>
      </c>
    </row>
    <row r="3" spans="1:6" x14ac:dyDescent="0.3">
      <c r="A3" s="2" t="s">
        <v>48</v>
      </c>
      <c r="B3" s="4">
        <v>18000000000</v>
      </c>
      <c r="C3" s="4">
        <v>8000000000</v>
      </c>
      <c r="D3" s="4">
        <v>600000000</v>
      </c>
      <c r="E3" s="5">
        <v>2026</v>
      </c>
      <c r="F3" s="2" t="s">
        <v>54</v>
      </c>
    </row>
    <row r="4" spans="1:6" x14ac:dyDescent="0.3">
      <c r="A4" s="2" t="s">
        <v>49</v>
      </c>
      <c r="B4" s="4">
        <v>30000000000</v>
      </c>
      <c r="C4" s="4">
        <v>0</v>
      </c>
      <c r="D4" s="4">
        <v>0</v>
      </c>
      <c r="E4" s="5">
        <v>2027</v>
      </c>
      <c r="F4" s="2" t="s">
        <v>55</v>
      </c>
    </row>
    <row r="5" spans="1:6" x14ac:dyDescent="0.3">
      <c r="A5" s="2" t="s">
        <v>50</v>
      </c>
      <c r="B5" s="4">
        <v>10000000000</v>
      </c>
      <c r="C5" s="4">
        <v>0</v>
      </c>
      <c r="D5" s="4">
        <v>0</v>
      </c>
      <c r="E5" s="2" t="s">
        <v>59</v>
      </c>
      <c r="F5" s="2" t="s">
        <v>56</v>
      </c>
    </row>
    <row r="6" spans="1:6" x14ac:dyDescent="0.3">
      <c r="A6" s="2" t="s">
        <v>51</v>
      </c>
      <c r="B6" s="4">
        <v>3000000000</v>
      </c>
      <c r="C6" s="4">
        <v>0</v>
      </c>
      <c r="D6" s="4">
        <v>0</v>
      </c>
      <c r="E6" s="5">
        <v>2028</v>
      </c>
      <c r="F6" s="2" t="s">
        <v>57</v>
      </c>
    </row>
    <row r="7" spans="1:6" x14ac:dyDescent="0.3">
      <c r="A7" s="2" t="s">
        <v>52</v>
      </c>
      <c r="B7" s="4">
        <v>2000000000</v>
      </c>
      <c r="C7" s="4">
        <v>0</v>
      </c>
      <c r="D7" s="4">
        <v>0</v>
      </c>
      <c r="E7" s="5">
        <v>2030</v>
      </c>
      <c r="F7" s="2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8"/>
  <sheetViews>
    <sheetView workbookViewId="0">
      <selection activeCell="C22" sqref="C22"/>
    </sheetView>
  </sheetViews>
  <sheetFormatPr defaultRowHeight="14.4" x14ac:dyDescent="0.3"/>
  <cols>
    <col min="1" max="1" width="24.6640625" customWidth="1"/>
    <col min="2" max="2" width="15.88671875" style="7" bestFit="1" customWidth="1"/>
    <col min="3" max="3" width="60.6640625" style="9" customWidth="1"/>
  </cols>
  <sheetData>
    <row r="1" spans="1:3" ht="28.8" x14ac:dyDescent="0.3">
      <c r="A1" s="1" t="s">
        <v>60</v>
      </c>
      <c r="B1" s="1" t="s">
        <v>61</v>
      </c>
      <c r="C1" s="1" t="s">
        <v>62</v>
      </c>
    </row>
    <row r="2" spans="1:3" x14ac:dyDescent="0.3">
      <c r="A2" s="2" t="s">
        <v>63</v>
      </c>
      <c r="B2" s="3">
        <v>0.28000000000000003</v>
      </c>
      <c r="C2" s="2" t="s">
        <v>70</v>
      </c>
    </row>
    <row r="3" spans="1:3" x14ac:dyDescent="0.3">
      <c r="A3" s="2" t="s">
        <v>64</v>
      </c>
      <c r="B3" s="3">
        <v>0.15</v>
      </c>
      <c r="C3" s="2" t="s">
        <v>71</v>
      </c>
    </row>
    <row r="4" spans="1:3" x14ac:dyDescent="0.3">
      <c r="A4" s="2" t="s">
        <v>65</v>
      </c>
      <c r="B4" s="3">
        <v>0.18</v>
      </c>
      <c r="C4" s="2" t="s">
        <v>72</v>
      </c>
    </row>
    <row r="5" spans="1:3" x14ac:dyDescent="0.3">
      <c r="A5" s="2" t="s">
        <v>66</v>
      </c>
      <c r="B5" s="3">
        <v>0.1</v>
      </c>
      <c r="C5" s="2" t="s">
        <v>73</v>
      </c>
    </row>
    <row r="6" spans="1:3" x14ac:dyDescent="0.3">
      <c r="A6" s="2" t="s">
        <v>67</v>
      </c>
      <c r="B6" s="3">
        <v>0.09</v>
      </c>
      <c r="C6" s="2" t="s">
        <v>74</v>
      </c>
    </row>
    <row r="7" spans="1:3" x14ac:dyDescent="0.3">
      <c r="A7" s="2" t="s">
        <v>68</v>
      </c>
      <c r="B7" s="3">
        <v>0.12</v>
      </c>
      <c r="C7" s="2" t="s">
        <v>75</v>
      </c>
    </row>
    <row r="8" spans="1:3" x14ac:dyDescent="0.3">
      <c r="A8" s="2" t="s">
        <v>69</v>
      </c>
      <c r="B8" s="3">
        <v>0.08</v>
      </c>
      <c r="C8" s="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Dashboard</vt:lpstr>
      <vt:lpstr>Macro Landscape</vt:lpstr>
      <vt:lpstr>Product Verticals</vt:lpstr>
      <vt:lpstr>Customer Segments</vt:lpstr>
      <vt:lpstr>Growth Drivers-Barriers</vt:lpstr>
      <vt:lpstr>Financial Model</vt:lpstr>
      <vt:lpstr>Regional Split</vt:lpstr>
      <vt:lpstr>Cost 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Augusto Mondini Verzoto</dc:creator>
  <cp:lastModifiedBy>Andre Augusto Mondini Verzoto</cp:lastModifiedBy>
  <dcterms:created xsi:type="dcterms:W3CDTF">2025-10-01T10:37:36Z</dcterms:created>
  <dcterms:modified xsi:type="dcterms:W3CDTF">2025-10-01T14:38:16Z</dcterms:modified>
</cp:coreProperties>
</file>