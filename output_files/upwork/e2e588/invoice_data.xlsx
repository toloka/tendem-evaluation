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\Desktop\Upwork\Iryna\"/>
    </mc:Choice>
  </mc:AlternateContent>
  <xr:revisionPtr revIDLastSave="0" documentId="13_ncr:1_{2F3F70D5-658C-4A30-BEA6-56F86F03C33D}" xr6:coauthVersionLast="47" xr6:coauthVersionMax="47" xr10:uidLastSave="{00000000-0000-0000-0000-000000000000}"/>
  <bookViews>
    <workbookView xWindow="165" yWindow="0" windowWidth="14235" windowHeight="15600" xr2:uid="{0E15AEB6-85A6-4766-8B90-327C84C54FCB}"/>
  </bookViews>
  <sheets>
    <sheet name="PDL-2025-0892" sheetId="1" r:id="rId1"/>
    <sheet name="ISC-2025-1547" sheetId="3" r:id="rId2"/>
    <sheet name="HCP-2025-0334" sheetId="4" r:id="rId3"/>
    <sheet name="GLA-2025-2156" sheetId="5" r:id="rId4"/>
    <sheet name="TNE-2025-5423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6" l="1"/>
  <c r="K12" i="6" s="1"/>
  <c r="H12" i="6"/>
  <c r="J11" i="6"/>
  <c r="K11" i="6" s="1"/>
  <c r="H11" i="6"/>
  <c r="J10" i="6"/>
  <c r="K10" i="6" s="1"/>
  <c r="H10" i="6"/>
  <c r="J9" i="6"/>
  <c r="K9" i="6" s="1"/>
  <c r="H9" i="6"/>
  <c r="J11" i="5"/>
  <c r="K11" i="5" s="1"/>
  <c r="H11" i="5"/>
  <c r="J10" i="5"/>
  <c r="K10" i="5" s="1"/>
  <c r="H10" i="5"/>
  <c r="J9" i="5"/>
  <c r="K9" i="5" s="1"/>
  <c r="H9" i="5"/>
  <c r="H9" i="4"/>
  <c r="J11" i="4"/>
  <c r="K11" i="4" s="1"/>
  <c r="H11" i="4"/>
  <c r="J10" i="4"/>
  <c r="K10" i="4" s="1"/>
  <c r="H10" i="4"/>
  <c r="J9" i="4"/>
  <c r="K9" i="4" s="1"/>
  <c r="J12" i="3"/>
  <c r="K12" i="3" s="1"/>
  <c r="H12" i="3"/>
  <c r="H9" i="3"/>
  <c r="J11" i="3"/>
  <c r="K11" i="3" s="1"/>
  <c r="H11" i="3"/>
  <c r="J10" i="3"/>
  <c r="K10" i="3" s="1"/>
  <c r="H10" i="3"/>
  <c r="J9" i="3"/>
  <c r="K9" i="3" s="1"/>
  <c r="J11" i="1"/>
  <c r="K11" i="1" s="1"/>
  <c r="J10" i="1"/>
  <c r="K10" i="1" s="1"/>
  <c r="J9" i="1"/>
  <c r="K9" i="1" s="1"/>
  <c r="H9" i="1"/>
  <c r="H11" i="1"/>
  <c r="H10" i="1"/>
</calcChain>
</file>

<file path=xl/sharedStrings.xml><?xml version="1.0" encoding="utf-8"?>
<sst xmlns="http://schemas.openxmlformats.org/spreadsheetml/2006/main" count="238" uniqueCount="101">
  <si>
    <t>Invoice Number</t>
  </si>
  <si>
    <t>Issue Date</t>
  </si>
  <si>
    <t>Due Date</t>
  </si>
  <si>
    <t>Currency</t>
  </si>
  <si>
    <t>Customer Name</t>
  </si>
  <si>
    <t>Issuer Name</t>
  </si>
  <si>
    <t>Issuer Country</t>
  </si>
  <si>
    <t>Issuer VAT Number</t>
  </si>
  <si>
    <t>Issuer IBAN</t>
  </si>
  <si>
    <t>Total Amount</t>
  </si>
  <si>
    <t>Total Tax</t>
  </si>
  <si>
    <t>Reverse Charge</t>
  </si>
  <si>
    <t>Invoice-Level Data</t>
  </si>
  <si>
    <t>Item-Level Data</t>
  </si>
  <si>
    <t>Item 1</t>
  </si>
  <si>
    <t>Name</t>
  </si>
  <si>
    <t>Description</t>
  </si>
  <si>
    <t>Quantity</t>
  </si>
  <si>
    <t>Quantity Unit</t>
  </si>
  <si>
    <t>Unit Price</t>
  </si>
  <si>
    <t>Tax Rate</t>
  </si>
  <si>
    <t>Tax Amount</t>
  </si>
  <si>
    <t>Discount Rate</t>
  </si>
  <si>
    <t>Discount Amount</t>
  </si>
  <si>
    <t>Item Price (Net)</t>
  </si>
  <si>
    <t>PDL-2025-0892</t>
  </si>
  <si>
    <t>GBP</t>
  </si>
  <si>
    <t>Sterling Marketing Group</t>
  </si>
  <si>
    <t>Premier Digital Services Ltd</t>
  </si>
  <si>
    <t>GB456789012</t>
  </si>
  <si>
    <t>GB82 HBUK 4005 2021 2345 67</t>
  </si>
  <si>
    <t>United Kingdom</t>
  </si>
  <si>
    <t>No</t>
  </si>
  <si>
    <t>Web Development Services</t>
  </si>
  <si>
    <t>Custom website design and development, responsive mobile design</t>
  </si>
  <si>
    <t>project</t>
  </si>
  <si>
    <t>SEO Optimization Package</t>
  </si>
  <si>
    <t>3-month comprehensive SEO strategy and implementation</t>
  </si>
  <si>
    <t>Content Writing Services</t>
  </si>
  <si>
    <t>Professional copywriting for website and marketing materials</t>
  </si>
  <si>
    <t>ISC-2025-1547</t>
  </si>
  <si>
    <t>Manchester Manufacturing Ltd</t>
  </si>
  <si>
    <t>Industrial Supply Co Ltd</t>
  </si>
  <si>
    <t>GB234567890</t>
  </si>
  <si>
    <t>GB90 LOYD 3066 2209 8765 43</t>
  </si>
  <si>
    <t>Stainless Steel Bearings</t>
  </si>
  <si>
    <t>SKF model 6200-2Z, precision grade</t>
  </si>
  <si>
    <t>pcs</t>
  </si>
  <si>
    <t>Industrial Hydraulic Oil</t>
  </si>
  <si>
    <t>ISO VG 46, 20-litre drums</t>
  </si>
  <si>
    <t>Pneumatic Control Valves</t>
  </si>
  <si>
    <t>Directional solenoid valve, 24V DC</t>
  </si>
  <si>
    <t>Delivery and Installation</t>
  </si>
  <si>
    <t>Transportation and setup at customer site</t>
  </si>
  <si>
    <t>service</t>
  </si>
  <si>
    <t>HCP-2025-0334</t>
  </si>
  <si>
    <t>Apex Financial Advisors Ltd</t>
  </si>
  <si>
    <t>Heritage Consulting Partners</t>
  </si>
  <si>
    <t>GB789012345</t>
  </si>
  <si>
    <t>GB33 COUTGB22 1800 0261 2478 89</t>
  </si>
  <si>
    <t>Item No.</t>
  </si>
  <si>
    <t>Item 2</t>
  </si>
  <si>
    <t>Item 3</t>
  </si>
  <si>
    <t>Item 4</t>
  </si>
  <si>
    <t>Management Consulting Services</t>
  </si>
  <si>
    <t>Business process improvement and strategy development</t>
  </si>
  <si>
    <t>Change Management Workshop</t>
  </si>
  <si>
    <t>Training session for 25 participants, 2 days</t>
  </si>
  <si>
    <t>Post-Implementation Review</t>
  </si>
  <si>
    <t>3-month engagement for ongoing support</t>
  </si>
  <si>
    <t>event</t>
  </si>
  <si>
    <t>GLA-2025-2156</t>
  </si>
  <si>
    <t>Cotswolds Farm Management Ltd</t>
  </si>
  <si>
    <t>GreenLeaf Agriculture Ltd</t>
  </si>
  <si>
    <t>GB567890123</t>
  </si>
  <si>
    <t>GB23 BARCS 2028 4747 3829 10</t>
  </si>
  <si>
    <t>Organic Fertilizer - NPK 5-10-5</t>
  </si>
  <si>
    <t>Granular, 50kg bags</t>
  </si>
  <si>
    <t>Pest Control Solution - Neem Oil</t>
  </si>
  <si>
    <t>Concentrated spray, 5-litre containers</t>
  </si>
  <si>
    <t>Farm Equipment Rental</t>
  </si>
  <si>
    <t>Soil pH testing kit - weekly rental</t>
  </si>
  <si>
    <t>drums</t>
  </si>
  <si>
    <t>mos.</t>
  </si>
  <si>
    <t>hrs</t>
  </si>
  <si>
    <t>bags</t>
  </si>
  <si>
    <t>TEU</t>
  </si>
  <si>
    <t>wks</t>
  </si>
  <si>
    <t>TNE-2025-5423</t>
  </si>
  <si>
    <t>ElectroWorks Distribution</t>
  </si>
  <si>
    <t>Technovate Electronics Ltd</t>
  </si>
  <si>
    <t>GB012345678</t>
  </si>
  <si>
    <t>GB51 METRO 2305 8033 8640 20</t>
  </si>
  <si>
    <t>LED Display Modules - 480x320</t>
  </si>
  <si>
    <t>Full-color RGB, 16-bit color depth</t>
  </si>
  <si>
    <t>Power Supply Units - 500W</t>
  </si>
  <si>
    <t>Industrial grade, 85+ efficiency</t>
  </si>
  <si>
    <t>Control Board PCB</t>
  </si>
  <si>
    <t>Programmable microcontroller board</t>
  </si>
  <si>
    <t>Technical Support - Remote</t>
  </si>
  <si>
    <t>30 days of 24/5 technical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</si>
</sst>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yyyy\-mm\-dd;@"/>
    <numFmt numFmtId="174" formatCode="[$£-809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8181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8181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174" fontId="3" fillId="0" borderId="0" xfId="0" applyNumberFormat="1" applyFont="1"/>
    <xf numFmtId="0" fontId="4" fillId="2" borderId="0" xfId="0" applyFont="1" applyFill="1" applyAlignment="1">
      <alignment wrapText="1"/>
    </xf>
    <xf numFmtId="171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1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74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9" fontId="3" fillId="0" borderId="1" xfId="1" applyFont="1" applyBorder="1" applyAlignment="1">
      <alignment vertical="center"/>
    </xf>
    <xf numFmtId="0" fontId="5" fillId="0" borderId="0" xfId="0" applyFont="1" applyAlignment="1"/>
    <xf numFmtId="0" fontId="4" fillId="2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2C03-8843-46A8-9965-EAD81F9A790B}">
  <dimension ref="A1:L12"/>
  <sheetViews>
    <sheetView tabSelected="1" workbookViewId="0">
      <selection activeCell="A10" sqref="A10"/>
    </sheetView>
  </sheetViews>
  <sheetFormatPr defaultRowHeight="14.25" x14ac:dyDescent="0.2"/>
  <cols>
    <col min="1" max="1" width="20.28515625" style="1" bestFit="1" customWidth="1"/>
    <col min="2" max="2" width="20" style="5" customWidth="1"/>
    <col min="3" max="3" width="22.42578125" style="4" customWidth="1"/>
    <col min="4" max="4" width="9.5703125" style="1" bestFit="1" customWidth="1"/>
    <col min="5" max="6" width="16.5703125" style="1" bestFit="1" customWidth="1"/>
    <col min="7" max="7" width="14.7109375" style="1" bestFit="1" customWidth="1"/>
    <col min="8" max="9" width="19.42578125" style="1" bestFit="1" customWidth="1"/>
    <col min="10" max="10" width="17.28515625" style="1" bestFit="1" customWidth="1"/>
    <col min="11" max="11" width="15.7109375" style="1" bestFit="1" customWidth="1"/>
    <col min="12" max="13" width="16.42578125" style="1" bestFit="1" customWidth="1"/>
    <col min="14" max="16384" width="9.140625" style="1"/>
  </cols>
  <sheetData>
    <row r="1" spans="1:12" ht="15" x14ac:dyDescent="0.25">
      <c r="A1" s="3" t="s">
        <v>25</v>
      </c>
      <c r="B1" s="4"/>
      <c r="C1" s="1"/>
    </row>
    <row r="2" spans="1:12" x14ac:dyDescent="0.2">
      <c r="A2" s="5"/>
      <c r="B2" s="4"/>
      <c r="C2" s="1"/>
    </row>
    <row r="3" spans="1:12" ht="15" x14ac:dyDescent="0.25">
      <c r="A3" s="23" t="s">
        <v>12</v>
      </c>
      <c r="B3" s="4"/>
      <c r="C3" s="1"/>
    </row>
    <row r="4" spans="1:12" s="7" customFormat="1" x14ac:dyDescent="0.2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</row>
    <row r="5" spans="1:12" s="8" customFormat="1" ht="42.75" x14ac:dyDescent="0.25">
      <c r="A5" s="12" t="s">
        <v>25</v>
      </c>
      <c r="B5" s="13">
        <v>45706</v>
      </c>
      <c r="C5" s="13">
        <v>45736</v>
      </c>
      <c r="D5" s="9" t="s">
        <v>26</v>
      </c>
      <c r="E5" s="12" t="s">
        <v>27</v>
      </c>
      <c r="F5" s="12" t="s">
        <v>28</v>
      </c>
      <c r="G5" s="9" t="s">
        <v>31</v>
      </c>
      <c r="H5" s="9" t="s">
        <v>29</v>
      </c>
      <c r="I5" s="9" t="s">
        <v>30</v>
      </c>
      <c r="J5" s="15">
        <v>7136.4</v>
      </c>
      <c r="K5" s="15">
        <v>1189.4000000000001</v>
      </c>
      <c r="L5" s="9" t="s">
        <v>32</v>
      </c>
    </row>
    <row r="7" spans="1:12" ht="15" x14ac:dyDescent="0.25">
      <c r="A7" s="23" t="s">
        <v>13</v>
      </c>
    </row>
    <row r="8" spans="1:12" s="7" customFormat="1" x14ac:dyDescent="0.25">
      <c r="A8" s="14" t="s">
        <v>60</v>
      </c>
      <c r="B8" s="16" t="s">
        <v>15</v>
      </c>
      <c r="C8" s="16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11" t="s">
        <v>23</v>
      </c>
      <c r="K8" s="11" t="s">
        <v>24</v>
      </c>
    </row>
    <row r="9" spans="1:12" s="6" customFormat="1" ht="85.5" x14ac:dyDescent="0.25">
      <c r="A9" s="19" t="s">
        <v>14</v>
      </c>
      <c r="B9" s="17" t="s">
        <v>33</v>
      </c>
      <c r="C9" s="18" t="s">
        <v>34</v>
      </c>
      <c r="D9" s="19">
        <v>1</v>
      </c>
      <c r="E9" s="19" t="s">
        <v>35</v>
      </c>
      <c r="F9" s="20">
        <v>3500</v>
      </c>
      <c r="G9" s="21">
        <v>0.2</v>
      </c>
      <c r="H9" s="20">
        <f>F9*D9*G9</f>
        <v>700</v>
      </c>
      <c r="I9" s="22">
        <v>0.08</v>
      </c>
      <c r="J9" s="20">
        <f>F9*I9</f>
        <v>280</v>
      </c>
      <c r="K9" s="20">
        <f>F9-J9</f>
        <v>3220</v>
      </c>
    </row>
    <row r="10" spans="1:12" s="6" customFormat="1" ht="71.25" x14ac:dyDescent="0.25">
      <c r="A10" s="19" t="s">
        <v>61</v>
      </c>
      <c r="B10" s="17" t="s">
        <v>36</v>
      </c>
      <c r="C10" s="18" t="s">
        <v>37</v>
      </c>
      <c r="D10" s="19">
        <v>3</v>
      </c>
      <c r="E10" s="19" t="s">
        <v>83</v>
      </c>
      <c r="F10" s="20">
        <v>450</v>
      </c>
      <c r="G10" s="21">
        <v>0.2</v>
      </c>
      <c r="H10" s="20">
        <f t="shared" ref="H10:H11" si="0">F10*D10*G10</f>
        <v>270</v>
      </c>
      <c r="I10" s="22">
        <v>0.08</v>
      </c>
      <c r="J10" s="20">
        <f>F10*I10</f>
        <v>36</v>
      </c>
      <c r="K10" s="20">
        <f t="shared" ref="K10:K11" si="1">F10-J10</f>
        <v>414</v>
      </c>
    </row>
    <row r="11" spans="1:12" s="6" customFormat="1" ht="71.25" x14ac:dyDescent="0.25">
      <c r="A11" s="19" t="s">
        <v>62</v>
      </c>
      <c r="B11" s="17" t="s">
        <v>38</v>
      </c>
      <c r="C11" s="18" t="s">
        <v>39</v>
      </c>
      <c r="D11" s="19">
        <v>25</v>
      </c>
      <c r="E11" s="19" t="s">
        <v>84</v>
      </c>
      <c r="F11" s="20">
        <v>65</v>
      </c>
      <c r="G11" s="21">
        <v>0.2</v>
      </c>
      <c r="H11" s="20">
        <f>F11*D11*G11</f>
        <v>325</v>
      </c>
      <c r="I11" s="22">
        <v>0.08</v>
      </c>
      <c r="J11" s="20">
        <f>F11*I11</f>
        <v>5.2</v>
      </c>
      <c r="K11" s="20">
        <f t="shared" si="1"/>
        <v>59.8</v>
      </c>
    </row>
    <row r="12" spans="1:12" x14ac:dyDescent="0.2">
      <c r="F12" s="2"/>
      <c r="H12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92DE-87FB-4AF1-AC0E-62314BD6AEF7}">
  <dimension ref="A1:L18"/>
  <sheetViews>
    <sheetView workbookViewId="0">
      <selection activeCell="E11" sqref="E11"/>
    </sheetView>
  </sheetViews>
  <sheetFormatPr defaultRowHeight="14.25" x14ac:dyDescent="0.2"/>
  <cols>
    <col min="1" max="1" width="17.7109375" style="1" customWidth="1"/>
    <col min="2" max="2" width="18.7109375" style="5" customWidth="1"/>
    <col min="3" max="3" width="20.28515625" style="4" customWidth="1"/>
    <col min="4" max="4" width="9.5703125" style="1" bestFit="1" customWidth="1"/>
    <col min="5" max="5" width="16.5703125" style="1" bestFit="1" customWidth="1"/>
    <col min="6" max="6" width="16.28515625" style="1" bestFit="1" customWidth="1"/>
    <col min="7" max="7" width="14.7109375" style="1" bestFit="1" customWidth="1"/>
    <col min="8" max="8" width="19.42578125" style="1" bestFit="1" customWidth="1"/>
    <col min="9" max="9" width="18" style="1" bestFit="1" customWidth="1"/>
    <col min="10" max="10" width="17.28515625" style="1" bestFit="1" customWidth="1"/>
    <col min="11" max="11" width="15.7109375" style="1" bestFit="1" customWidth="1"/>
    <col min="12" max="13" width="16.42578125" style="1" bestFit="1" customWidth="1"/>
    <col min="14" max="16384" width="9.140625" style="1"/>
  </cols>
  <sheetData>
    <row r="1" spans="1:12" ht="15" x14ac:dyDescent="0.25">
      <c r="A1" s="3" t="s">
        <v>40</v>
      </c>
      <c r="B1" s="4"/>
      <c r="C1" s="1"/>
    </row>
    <row r="2" spans="1:12" x14ac:dyDescent="0.2">
      <c r="A2" s="5"/>
      <c r="B2" s="4"/>
      <c r="C2" s="1"/>
    </row>
    <row r="3" spans="1:12" ht="15" x14ac:dyDescent="0.25">
      <c r="A3" s="23" t="s">
        <v>12</v>
      </c>
      <c r="B3" s="4"/>
      <c r="C3" s="1"/>
    </row>
    <row r="4" spans="1:12" s="7" customFormat="1" x14ac:dyDescent="0.2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</row>
    <row r="5" spans="1:12" s="8" customFormat="1" ht="42.75" x14ac:dyDescent="0.25">
      <c r="A5" s="12" t="s">
        <v>40</v>
      </c>
      <c r="B5" s="13">
        <v>45741</v>
      </c>
      <c r="C5" s="13">
        <v>45771</v>
      </c>
      <c r="D5" s="9" t="s">
        <v>26</v>
      </c>
      <c r="E5" s="12" t="s">
        <v>41</v>
      </c>
      <c r="F5" s="12" t="s">
        <v>42</v>
      </c>
      <c r="G5" s="9" t="s">
        <v>31</v>
      </c>
      <c r="H5" s="9" t="s">
        <v>43</v>
      </c>
      <c r="I5" s="9" t="s">
        <v>44</v>
      </c>
      <c r="J5" s="15">
        <v>4674</v>
      </c>
      <c r="K5" s="15">
        <v>779</v>
      </c>
      <c r="L5" s="9" t="s">
        <v>32</v>
      </c>
    </row>
    <row r="7" spans="1:12" ht="15" x14ac:dyDescent="0.25">
      <c r="A7" s="23" t="s">
        <v>13</v>
      </c>
      <c r="B7" s="23"/>
    </row>
    <row r="8" spans="1:12" s="7" customFormat="1" x14ac:dyDescent="0.25">
      <c r="A8" s="14" t="s">
        <v>60</v>
      </c>
      <c r="B8" s="16" t="s">
        <v>15</v>
      </c>
      <c r="C8" s="16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11" t="s">
        <v>23</v>
      </c>
      <c r="K8" s="11" t="s">
        <v>24</v>
      </c>
    </row>
    <row r="9" spans="1:12" s="6" customFormat="1" ht="42.75" x14ac:dyDescent="0.25">
      <c r="A9" s="19" t="s">
        <v>14</v>
      </c>
      <c r="B9" s="17" t="s">
        <v>45</v>
      </c>
      <c r="C9" s="18" t="s">
        <v>46</v>
      </c>
      <c r="D9" s="19">
        <v>150</v>
      </c>
      <c r="E9" s="19" t="s">
        <v>47</v>
      </c>
      <c r="F9" s="20">
        <v>12.5</v>
      </c>
      <c r="G9" s="21">
        <v>0.2</v>
      </c>
      <c r="H9" s="20">
        <f>F9*D9*G9</f>
        <v>375</v>
      </c>
      <c r="I9" s="22">
        <v>0</v>
      </c>
      <c r="J9" s="20">
        <f>F9*I9</f>
        <v>0</v>
      </c>
      <c r="K9" s="20">
        <f>F9-J9</f>
        <v>12.5</v>
      </c>
    </row>
    <row r="10" spans="1:12" s="6" customFormat="1" ht="28.5" x14ac:dyDescent="0.25">
      <c r="A10" s="19" t="s">
        <v>61</v>
      </c>
      <c r="B10" s="17" t="s">
        <v>48</v>
      </c>
      <c r="C10" s="18" t="s">
        <v>49</v>
      </c>
      <c r="D10" s="19">
        <v>8</v>
      </c>
      <c r="E10" s="19" t="s">
        <v>82</v>
      </c>
      <c r="F10" s="20">
        <v>85</v>
      </c>
      <c r="G10" s="21">
        <v>0.2</v>
      </c>
      <c r="H10" s="20">
        <f t="shared" ref="H10" si="0">F10*D10*G10</f>
        <v>136</v>
      </c>
      <c r="I10" s="22">
        <v>0</v>
      </c>
      <c r="J10" s="20">
        <f>F10*I10</f>
        <v>0</v>
      </c>
      <c r="K10" s="20">
        <f t="shared" ref="K10:K11" si="1">F10-J10</f>
        <v>85</v>
      </c>
    </row>
    <row r="11" spans="1:12" s="6" customFormat="1" ht="42.75" x14ac:dyDescent="0.25">
      <c r="A11" s="19" t="s">
        <v>62</v>
      </c>
      <c r="B11" s="17" t="s">
        <v>50</v>
      </c>
      <c r="C11" s="18" t="s">
        <v>51</v>
      </c>
      <c r="D11" s="19">
        <v>12</v>
      </c>
      <c r="E11" s="19" t="s">
        <v>47</v>
      </c>
      <c r="F11" s="20">
        <v>95</v>
      </c>
      <c r="G11" s="21">
        <v>0.2</v>
      </c>
      <c r="H11" s="20">
        <f>F11*D11*G11</f>
        <v>228</v>
      </c>
      <c r="I11" s="22">
        <v>0</v>
      </c>
      <c r="J11" s="20">
        <f>F11*I11</f>
        <v>0</v>
      </c>
      <c r="K11" s="20">
        <f t="shared" si="1"/>
        <v>95</v>
      </c>
    </row>
    <row r="12" spans="1:12" s="6" customFormat="1" ht="42.75" x14ac:dyDescent="0.25">
      <c r="A12" s="19" t="s">
        <v>63</v>
      </c>
      <c r="B12" s="17" t="s">
        <v>52</v>
      </c>
      <c r="C12" s="18" t="s">
        <v>53</v>
      </c>
      <c r="D12" s="19">
        <v>1</v>
      </c>
      <c r="E12" s="19" t="s">
        <v>54</v>
      </c>
      <c r="F12" s="20">
        <v>200</v>
      </c>
      <c r="G12" s="21">
        <v>0.2</v>
      </c>
      <c r="H12" s="20">
        <f>F12*D12*G12</f>
        <v>40</v>
      </c>
      <c r="I12" s="22">
        <v>0</v>
      </c>
      <c r="J12" s="20">
        <f>F12*I12</f>
        <v>0</v>
      </c>
      <c r="K12" s="20">
        <f t="shared" ref="K12" si="2">F12-J12</f>
        <v>200</v>
      </c>
    </row>
    <row r="14" spans="1:12" x14ac:dyDescent="0.2">
      <c r="G14" s="2"/>
    </row>
    <row r="15" spans="1:12" x14ac:dyDescent="0.2">
      <c r="G15" s="2"/>
    </row>
    <row r="16" spans="1:12" x14ac:dyDescent="0.2">
      <c r="G16" s="2"/>
    </row>
    <row r="17" spans="7:8" x14ac:dyDescent="0.2">
      <c r="G17" s="2"/>
    </row>
    <row r="18" spans="7:8" x14ac:dyDescent="0.2">
      <c r="G18" s="2"/>
      <c r="H18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BDCD-2400-4C29-94AC-6886E839639E}">
  <dimension ref="A1:L17"/>
  <sheetViews>
    <sheetView workbookViewId="0">
      <selection activeCell="E10" sqref="E10"/>
    </sheetView>
  </sheetViews>
  <sheetFormatPr defaultRowHeight="14.25" x14ac:dyDescent="0.2"/>
  <cols>
    <col min="1" max="1" width="16.7109375" style="1" customWidth="1"/>
    <col min="2" max="2" width="17.28515625" style="5" customWidth="1"/>
    <col min="3" max="3" width="20.140625" style="4" customWidth="1"/>
    <col min="4" max="4" width="9.5703125" style="1" bestFit="1" customWidth="1"/>
    <col min="5" max="5" width="17" style="1" customWidth="1"/>
    <col min="6" max="6" width="19.7109375" style="1" customWidth="1"/>
    <col min="7" max="7" width="15.85546875" style="1" bestFit="1" customWidth="1"/>
    <col min="8" max="9" width="19.42578125" style="1" bestFit="1" customWidth="1"/>
    <col min="10" max="10" width="17.28515625" style="1" bestFit="1" customWidth="1"/>
    <col min="11" max="11" width="15.7109375" style="1" bestFit="1" customWidth="1"/>
    <col min="12" max="13" width="16.42578125" style="1" bestFit="1" customWidth="1"/>
    <col min="14" max="16384" width="9.140625" style="1"/>
  </cols>
  <sheetData>
    <row r="1" spans="1:12" ht="15" x14ac:dyDescent="0.25">
      <c r="A1" s="24" t="s">
        <v>55</v>
      </c>
      <c r="B1" s="4"/>
      <c r="C1" s="1"/>
    </row>
    <row r="2" spans="1:12" x14ac:dyDescent="0.2">
      <c r="A2" s="5"/>
      <c r="B2" s="4"/>
      <c r="C2" s="1"/>
    </row>
    <row r="3" spans="1:12" ht="15" x14ac:dyDescent="0.25">
      <c r="A3" s="23" t="s">
        <v>12</v>
      </c>
      <c r="B3" s="4"/>
      <c r="C3" s="1"/>
    </row>
    <row r="4" spans="1:12" s="7" customFormat="1" ht="28.5" x14ac:dyDescent="0.2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</row>
    <row r="5" spans="1:12" s="8" customFormat="1" ht="42.75" x14ac:dyDescent="0.25">
      <c r="A5" s="12" t="s">
        <v>55</v>
      </c>
      <c r="B5" s="13">
        <v>45728</v>
      </c>
      <c r="C5" s="13">
        <v>45758</v>
      </c>
      <c r="D5" s="9" t="s">
        <v>26</v>
      </c>
      <c r="E5" s="12" t="s">
        <v>56</v>
      </c>
      <c r="F5" s="12" t="s">
        <v>57</v>
      </c>
      <c r="G5" s="9" t="s">
        <v>31</v>
      </c>
      <c r="H5" s="9" t="s">
        <v>58</v>
      </c>
      <c r="I5" s="9" t="s">
        <v>59</v>
      </c>
      <c r="J5" s="15">
        <v>26460</v>
      </c>
      <c r="K5" s="15">
        <v>4410</v>
      </c>
      <c r="L5" s="9" t="s">
        <v>32</v>
      </c>
    </row>
    <row r="7" spans="1:12" ht="15" x14ac:dyDescent="0.25">
      <c r="A7" s="23" t="s">
        <v>13</v>
      </c>
      <c r="B7" s="23"/>
    </row>
    <row r="8" spans="1:12" s="7" customFormat="1" x14ac:dyDescent="0.25">
      <c r="A8" s="14" t="s">
        <v>60</v>
      </c>
      <c r="B8" s="16" t="s">
        <v>15</v>
      </c>
      <c r="C8" s="16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11" t="s">
        <v>23</v>
      </c>
      <c r="K8" s="11" t="s">
        <v>24</v>
      </c>
    </row>
    <row r="9" spans="1:12" s="6" customFormat="1" ht="42.75" x14ac:dyDescent="0.25">
      <c r="A9" s="19" t="s">
        <v>14</v>
      </c>
      <c r="B9" s="17" t="s">
        <v>64</v>
      </c>
      <c r="C9" s="18" t="s">
        <v>65</v>
      </c>
      <c r="D9" s="19">
        <v>40</v>
      </c>
      <c r="E9" s="19" t="s">
        <v>84</v>
      </c>
      <c r="F9" s="20">
        <v>350</v>
      </c>
      <c r="G9" s="21">
        <v>0.2</v>
      </c>
      <c r="H9" s="20">
        <f>F9*D9*G9</f>
        <v>2800</v>
      </c>
      <c r="I9" s="22">
        <v>0.1</v>
      </c>
      <c r="J9" s="20">
        <f>F9*I9</f>
        <v>35</v>
      </c>
      <c r="K9" s="20">
        <f>F9-J9</f>
        <v>315</v>
      </c>
    </row>
    <row r="10" spans="1:12" s="6" customFormat="1" ht="42.75" x14ac:dyDescent="0.25">
      <c r="A10" s="19" t="s">
        <v>61</v>
      </c>
      <c r="B10" s="17" t="s">
        <v>66</v>
      </c>
      <c r="C10" s="18" t="s">
        <v>67</v>
      </c>
      <c r="D10" s="19">
        <v>1</v>
      </c>
      <c r="E10" s="19" t="s">
        <v>70</v>
      </c>
      <c r="F10" s="20">
        <v>4500</v>
      </c>
      <c r="G10" s="21">
        <v>0.2</v>
      </c>
      <c r="H10" s="20">
        <f t="shared" ref="H10" si="0">F10*D10*G10</f>
        <v>900</v>
      </c>
      <c r="I10" s="22">
        <v>0.1</v>
      </c>
      <c r="J10" s="20">
        <f>F10*I10</f>
        <v>450</v>
      </c>
      <c r="K10" s="20">
        <f t="shared" ref="K10:K11" si="1">F10-J10</f>
        <v>4050</v>
      </c>
    </row>
    <row r="11" spans="1:12" s="6" customFormat="1" ht="42.75" x14ac:dyDescent="0.25">
      <c r="A11" s="19" t="s">
        <v>62</v>
      </c>
      <c r="B11" s="17" t="s">
        <v>68</v>
      </c>
      <c r="C11" s="18" t="s">
        <v>69</v>
      </c>
      <c r="D11" s="19">
        <v>3</v>
      </c>
      <c r="E11" s="19" t="s">
        <v>83</v>
      </c>
      <c r="F11" s="20">
        <v>2000</v>
      </c>
      <c r="G11" s="21">
        <v>0.2</v>
      </c>
      <c r="H11" s="20">
        <f>F11*D11*G11</f>
        <v>1200</v>
      </c>
      <c r="I11" s="22">
        <v>0.1</v>
      </c>
      <c r="J11" s="20">
        <f>F11*I11</f>
        <v>200</v>
      </c>
      <c r="K11" s="20">
        <f t="shared" si="1"/>
        <v>1800</v>
      </c>
    </row>
    <row r="12" spans="1:12" x14ac:dyDescent="0.2">
      <c r="F12" s="2"/>
      <c r="H12" s="2"/>
    </row>
    <row r="13" spans="1:12" x14ac:dyDescent="0.2">
      <c r="F13" s="2"/>
    </row>
    <row r="14" spans="1:12" x14ac:dyDescent="0.2">
      <c r="F14" s="2"/>
    </row>
    <row r="15" spans="1:12" x14ac:dyDescent="0.2">
      <c r="F15" s="2"/>
      <c r="G15" s="2"/>
    </row>
    <row r="16" spans="1:12" x14ac:dyDescent="0.2">
      <c r="F16" s="2"/>
    </row>
    <row r="17" spans="6:6" x14ac:dyDescent="0.2">
      <c r="F17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F658-B56C-4922-84AB-5F19E007B8C7}">
  <dimension ref="A1:L18"/>
  <sheetViews>
    <sheetView workbookViewId="0">
      <selection activeCell="C14" sqref="C14"/>
    </sheetView>
  </sheetViews>
  <sheetFormatPr defaultRowHeight="14.25" x14ac:dyDescent="0.2"/>
  <cols>
    <col min="1" max="1" width="16.7109375" style="1" customWidth="1"/>
    <col min="2" max="2" width="17.28515625" style="5" customWidth="1"/>
    <col min="3" max="3" width="20.140625" style="4" customWidth="1"/>
    <col min="4" max="4" width="9.5703125" style="1" bestFit="1" customWidth="1"/>
    <col min="5" max="5" width="17" style="1" customWidth="1"/>
    <col min="6" max="6" width="19.7109375" style="1" customWidth="1"/>
    <col min="7" max="7" width="15.85546875" style="1" bestFit="1" customWidth="1"/>
    <col min="8" max="9" width="19.42578125" style="1" bestFit="1" customWidth="1"/>
    <col min="10" max="10" width="17.28515625" style="1" bestFit="1" customWidth="1"/>
    <col min="11" max="11" width="15.7109375" style="1" bestFit="1" customWidth="1"/>
    <col min="12" max="13" width="16.42578125" style="1" bestFit="1" customWidth="1"/>
    <col min="14" max="16384" width="9.140625" style="1"/>
  </cols>
  <sheetData>
    <row r="1" spans="1:12" ht="15" x14ac:dyDescent="0.25">
      <c r="A1" s="24" t="s">
        <v>71</v>
      </c>
      <c r="B1" s="4"/>
      <c r="C1" s="1"/>
    </row>
    <row r="2" spans="1:12" x14ac:dyDescent="0.2">
      <c r="A2" s="5"/>
      <c r="B2" s="4"/>
      <c r="C2" s="1"/>
    </row>
    <row r="3" spans="1:12" ht="15" x14ac:dyDescent="0.25">
      <c r="A3" s="23" t="s">
        <v>12</v>
      </c>
      <c r="B3" s="4"/>
      <c r="C3" s="1"/>
    </row>
    <row r="4" spans="1:12" s="7" customFormat="1" ht="28.5" x14ac:dyDescent="0.2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</row>
    <row r="5" spans="1:12" s="8" customFormat="1" ht="28.5" x14ac:dyDescent="0.25">
      <c r="A5" s="12" t="s">
        <v>71</v>
      </c>
      <c r="B5" s="13">
        <v>45736</v>
      </c>
      <c r="C5" s="13">
        <v>45766</v>
      </c>
      <c r="D5" s="9" t="s">
        <v>26</v>
      </c>
      <c r="E5" s="12" t="s">
        <v>72</v>
      </c>
      <c r="F5" s="12" t="s">
        <v>73</v>
      </c>
      <c r="G5" s="9" t="s">
        <v>31</v>
      </c>
      <c r="H5" s="9" t="s">
        <v>74</v>
      </c>
      <c r="I5" s="9" t="s">
        <v>75</v>
      </c>
      <c r="J5" s="15">
        <v>2275.1999999999998</v>
      </c>
      <c r="K5" s="15">
        <v>379.2</v>
      </c>
      <c r="L5" s="9" t="s">
        <v>32</v>
      </c>
    </row>
    <row r="7" spans="1:12" ht="15" x14ac:dyDescent="0.25">
      <c r="A7" s="23" t="s">
        <v>13</v>
      </c>
      <c r="B7" s="23"/>
    </row>
    <row r="8" spans="1:12" s="7" customFormat="1" x14ac:dyDescent="0.25">
      <c r="A8" s="14" t="s">
        <v>60</v>
      </c>
      <c r="B8" s="16" t="s">
        <v>15</v>
      </c>
      <c r="C8" s="16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11" t="s">
        <v>23</v>
      </c>
      <c r="K8" s="11" t="s">
        <v>24</v>
      </c>
    </row>
    <row r="9" spans="1:12" s="6" customFormat="1" ht="28.5" x14ac:dyDescent="0.25">
      <c r="A9" s="19" t="s">
        <v>14</v>
      </c>
      <c r="B9" s="17" t="s">
        <v>76</v>
      </c>
      <c r="C9" s="18" t="s">
        <v>77</v>
      </c>
      <c r="D9" s="19">
        <v>80</v>
      </c>
      <c r="E9" s="19" t="s">
        <v>85</v>
      </c>
      <c r="F9" s="20">
        <v>22.5</v>
      </c>
      <c r="G9" s="21">
        <v>0.2</v>
      </c>
      <c r="H9" s="20">
        <f>F9*D9*G9</f>
        <v>360</v>
      </c>
      <c r="I9" s="22">
        <v>0.15</v>
      </c>
      <c r="J9" s="20">
        <f>F9*I9</f>
        <v>3.375</v>
      </c>
      <c r="K9" s="20">
        <f>F9-J9</f>
        <v>19.125</v>
      </c>
    </row>
    <row r="10" spans="1:12" s="6" customFormat="1" ht="42.75" x14ac:dyDescent="0.25">
      <c r="A10" s="19" t="s">
        <v>61</v>
      </c>
      <c r="B10" s="17" t="s">
        <v>78</v>
      </c>
      <c r="C10" s="18" t="s">
        <v>79</v>
      </c>
      <c r="D10" s="19">
        <v>6</v>
      </c>
      <c r="E10" s="19" t="s">
        <v>86</v>
      </c>
      <c r="F10" s="20">
        <v>38</v>
      </c>
      <c r="G10" s="21">
        <v>0.2</v>
      </c>
      <c r="H10" s="20">
        <f t="shared" ref="H10" si="0">F10*D10*G10</f>
        <v>45.6</v>
      </c>
      <c r="I10" s="22">
        <v>0.15</v>
      </c>
      <c r="J10" s="20">
        <f>F10*I10</f>
        <v>5.7</v>
      </c>
      <c r="K10" s="20">
        <f t="shared" ref="K10:K11" si="1">F10-J10</f>
        <v>32.299999999999997</v>
      </c>
    </row>
    <row r="11" spans="1:12" s="6" customFormat="1" ht="28.5" x14ac:dyDescent="0.25">
      <c r="A11" s="19" t="s">
        <v>62</v>
      </c>
      <c r="B11" s="17" t="s">
        <v>80</v>
      </c>
      <c r="C11" s="18" t="s">
        <v>81</v>
      </c>
      <c r="D11" s="19">
        <v>4</v>
      </c>
      <c r="E11" s="19" t="s">
        <v>87</v>
      </c>
      <c r="F11" s="20">
        <v>75</v>
      </c>
      <c r="G11" s="21">
        <v>0.2</v>
      </c>
      <c r="H11" s="20">
        <f>F11*D11*G11</f>
        <v>60</v>
      </c>
      <c r="I11" s="22">
        <v>0.15</v>
      </c>
      <c r="J11" s="20">
        <f>F11*I11</f>
        <v>11.25</v>
      </c>
      <c r="K11" s="20">
        <f t="shared" si="1"/>
        <v>63.75</v>
      </c>
    </row>
    <row r="12" spans="1:12" x14ac:dyDescent="0.2">
      <c r="F12" s="2"/>
      <c r="H12" s="2"/>
    </row>
    <row r="13" spans="1:12" x14ac:dyDescent="0.2">
      <c r="F13" s="2"/>
    </row>
    <row r="14" spans="1:12" x14ac:dyDescent="0.2">
      <c r="F14" s="2"/>
    </row>
    <row r="15" spans="1:12" x14ac:dyDescent="0.2">
      <c r="F15" s="2"/>
      <c r="G15" s="2"/>
    </row>
    <row r="16" spans="1:12" x14ac:dyDescent="0.2">
      <c r="F16" s="2"/>
      <c r="G16" s="2"/>
    </row>
    <row r="17" spans="6:8" x14ac:dyDescent="0.2">
      <c r="F17" s="2"/>
      <c r="G17" s="2"/>
      <c r="H17" s="2"/>
    </row>
    <row r="18" spans="6:8" x14ac:dyDescent="0.2">
      <c r="F18" s="2"/>
      <c r="H18" s="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7582-3EA2-4C8D-BB16-DDFAD768B9C2}">
  <dimension ref="A1:L20"/>
  <sheetViews>
    <sheetView workbookViewId="0">
      <selection activeCell="I27" sqref="I27"/>
    </sheetView>
  </sheetViews>
  <sheetFormatPr defaultRowHeight="14.25" x14ac:dyDescent="0.2"/>
  <cols>
    <col min="1" max="1" width="16.7109375" style="1" customWidth="1"/>
    <col min="2" max="2" width="17.28515625" style="5" customWidth="1"/>
    <col min="3" max="3" width="20.140625" style="4" customWidth="1"/>
    <col min="4" max="4" width="9.5703125" style="1" bestFit="1" customWidth="1"/>
    <col min="5" max="5" width="17" style="1" customWidth="1"/>
    <col min="6" max="6" width="19.7109375" style="1" customWidth="1"/>
    <col min="7" max="7" width="15.85546875" style="1" bestFit="1" customWidth="1"/>
    <col min="8" max="9" width="19.42578125" style="1" bestFit="1" customWidth="1"/>
    <col min="10" max="10" width="17.28515625" style="1" bestFit="1" customWidth="1"/>
    <col min="11" max="11" width="15.7109375" style="1" bestFit="1" customWidth="1"/>
    <col min="12" max="13" width="16.42578125" style="1" bestFit="1" customWidth="1"/>
    <col min="14" max="16384" width="9.140625" style="1"/>
  </cols>
  <sheetData>
    <row r="1" spans="1:12" ht="15" x14ac:dyDescent="0.25">
      <c r="A1" s="24" t="s">
        <v>88</v>
      </c>
      <c r="B1" s="4"/>
      <c r="C1" s="1"/>
    </row>
    <row r="2" spans="1:12" x14ac:dyDescent="0.2">
      <c r="A2" s="5"/>
      <c r="B2" s="4"/>
      <c r="C2" s="1"/>
    </row>
    <row r="3" spans="1:12" ht="15" x14ac:dyDescent="0.25">
      <c r="A3" s="23" t="s">
        <v>12</v>
      </c>
      <c r="B3" s="4"/>
      <c r="C3" s="1"/>
    </row>
    <row r="4" spans="1:12" s="7" customFormat="1" ht="28.5" x14ac:dyDescent="0.2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</row>
    <row r="5" spans="1:12" s="8" customFormat="1" ht="28.5" x14ac:dyDescent="0.25">
      <c r="A5" s="12" t="s">
        <v>88</v>
      </c>
      <c r="B5" s="13">
        <v>45744</v>
      </c>
      <c r="C5" s="13">
        <v>45774</v>
      </c>
      <c r="D5" s="9" t="s">
        <v>26</v>
      </c>
      <c r="E5" s="12" t="s">
        <v>89</v>
      </c>
      <c r="F5" s="12" t="s">
        <v>90</v>
      </c>
      <c r="G5" s="9" t="s">
        <v>31</v>
      </c>
      <c r="H5" s="9" t="s">
        <v>91</v>
      </c>
      <c r="I5" s="9" t="s">
        <v>92</v>
      </c>
      <c r="J5" s="15">
        <v>30822</v>
      </c>
      <c r="K5" s="15">
        <v>5137</v>
      </c>
      <c r="L5" s="9" t="s">
        <v>32</v>
      </c>
    </row>
    <row r="7" spans="1:12" ht="15" x14ac:dyDescent="0.25">
      <c r="A7" s="23" t="s">
        <v>13</v>
      </c>
      <c r="B7" s="23"/>
    </row>
    <row r="8" spans="1:12" s="7" customFormat="1" x14ac:dyDescent="0.25">
      <c r="A8" s="14" t="s">
        <v>60</v>
      </c>
      <c r="B8" s="16" t="s">
        <v>15</v>
      </c>
      <c r="C8" s="16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11" t="s">
        <v>23</v>
      </c>
      <c r="K8" s="11" t="s">
        <v>24</v>
      </c>
    </row>
    <row r="9" spans="1:12" s="6" customFormat="1" ht="42.75" x14ac:dyDescent="0.25">
      <c r="A9" s="19" t="s">
        <v>14</v>
      </c>
      <c r="B9" s="17" t="s">
        <v>93</v>
      </c>
      <c r="C9" s="18" t="s">
        <v>94</v>
      </c>
      <c r="D9" s="19">
        <v>500</v>
      </c>
      <c r="E9" s="19" t="s">
        <v>47</v>
      </c>
      <c r="F9" s="20">
        <v>18.75</v>
      </c>
      <c r="G9" s="21">
        <v>0.2</v>
      </c>
      <c r="H9" s="20">
        <f>F9*D9*G9</f>
        <v>1875</v>
      </c>
      <c r="I9" s="22">
        <v>0.12</v>
      </c>
      <c r="J9" s="20">
        <f>F9*I9</f>
        <v>2.25</v>
      </c>
      <c r="K9" s="20">
        <f>F9-J9</f>
        <v>16.5</v>
      </c>
    </row>
    <row r="10" spans="1:12" s="6" customFormat="1" ht="28.5" x14ac:dyDescent="0.25">
      <c r="A10" s="19" t="s">
        <v>61</v>
      </c>
      <c r="B10" s="17" t="s">
        <v>95</v>
      </c>
      <c r="C10" s="18" t="s">
        <v>96</v>
      </c>
      <c r="D10" s="19">
        <v>250</v>
      </c>
      <c r="E10" s="19" t="s">
        <v>47</v>
      </c>
      <c r="F10" s="20">
        <v>45</v>
      </c>
      <c r="G10" s="21">
        <v>0.2</v>
      </c>
      <c r="H10" s="20">
        <f t="shared" ref="H10" si="0">F10*D10*G10</f>
        <v>2250</v>
      </c>
      <c r="I10" s="22">
        <v>0.12</v>
      </c>
      <c r="J10" s="20">
        <f>F10*I10</f>
        <v>5.3999999999999995</v>
      </c>
      <c r="K10" s="20">
        <f t="shared" ref="K10:K11" si="1">F10-J10</f>
        <v>39.6</v>
      </c>
    </row>
    <row r="11" spans="1:12" s="6" customFormat="1" ht="42.75" x14ac:dyDescent="0.25">
      <c r="A11" s="19" t="s">
        <v>62</v>
      </c>
      <c r="B11" s="17" t="s">
        <v>97</v>
      </c>
      <c r="C11" s="18" t="s">
        <v>98</v>
      </c>
      <c r="D11" s="19">
        <v>200</v>
      </c>
      <c r="E11" s="19" t="s">
        <v>47</v>
      </c>
      <c r="F11" s="20">
        <v>32.5</v>
      </c>
      <c r="G11" s="21">
        <v>0.2</v>
      </c>
      <c r="H11" s="20">
        <f>F11*D11*G11</f>
        <v>1300</v>
      </c>
      <c r="I11" s="22">
        <v>0.12</v>
      </c>
      <c r="J11" s="20">
        <f>F11*I11</f>
        <v>3.9</v>
      </c>
      <c r="K11" s="20">
        <f t="shared" si="1"/>
        <v>28.6</v>
      </c>
    </row>
    <row r="12" spans="1:12" s="6" customFormat="1" ht="42.75" x14ac:dyDescent="0.25">
      <c r="A12" s="19" t="s">
        <v>63</v>
      </c>
      <c r="B12" s="17" t="s">
        <v>99</v>
      </c>
      <c r="C12" s="18" t="s">
        <v>100</v>
      </c>
      <c r="D12" s="19">
        <v>1</v>
      </c>
      <c r="E12" s="19" t="s">
        <v>54</v>
      </c>
      <c r="F12" s="20">
        <v>1500</v>
      </c>
      <c r="G12" s="21">
        <v>0.2</v>
      </c>
      <c r="H12" s="20">
        <f>F12*D12*G12</f>
        <v>300</v>
      </c>
      <c r="I12" s="22">
        <v>0.12</v>
      </c>
      <c r="J12" s="20">
        <f>F12*I12</f>
        <v>180</v>
      </c>
      <c r="K12" s="20">
        <f t="shared" ref="K12" si="2">F12-J12</f>
        <v>1320</v>
      </c>
    </row>
    <row r="13" spans="1:12" x14ac:dyDescent="0.2">
      <c r="F13" s="2"/>
      <c r="H13" s="2"/>
    </row>
    <row r="14" spans="1:12" x14ac:dyDescent="0.2">
      <c r="F14" s="2"/>
    </row>
    <row r="15" spans="1:12" x14ac:dyDescent="0.2">
      <c r="F15" s="2"/>
    </row>
    <row r="16" spans="1:12" x14ac:dyDescent="0.2">
      <c r="F16" s="2"/>
    </row>
    <row r="17" spans="6:8" x14ac:dyDescent="0.2">
      <c r="F17" s="2"/>
      <c r="G17" s="2"/>
    </row>
    <row r="18" spans="6:8" x14ac:dyDescent="0.2">
      <c r="F18" s="2"/>
      <c r="G18" s="2"/>
    </row>
    <row r="19" spans="6:8" x14ac:dyDescent="0.2">
      <c r="F19" s="2"/>
      <c r="G19" s="2"/>
      <c r="H19" s="2"/>
    </row>
    <row r="20" spans="6:8" x14ac:dyDescent="0.2">
      <c r="F20" s="2"/>
      <c r="H20" s="2"/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PDL-2025-0892</vt:lpstr>
      <vt:lpstr>ISC-2025-1547</vt:lpstr>
      <vt:lpstr>HCP-2025-0334</vt:lpstr>
      <vt:lpstr>GLA-2025-2156</vt:lpstr>
      <vt:lpstr>TNE-2025-5423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2025-10-30T12:13:30Z</dcterms:created>
  <dcterms:modified xsi:type="dcterms:W3CDTF">2025-10-30T13:59:07Z</dcterms:modified>
</cp:coreProperties>
</file>