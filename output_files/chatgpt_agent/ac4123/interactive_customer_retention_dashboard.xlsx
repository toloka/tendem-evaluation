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MonthlyMetrics" sheetId="2" r:id="rId2"/>
    <sheet name="ProductMetrics" sheetId="3" r:id="rId3"/>
    <sheet name="SegmentMetrics" sheetId="4" r:id="rId4"/>
    <sheet name="HealthDistribution" sheetId="5" r:id="rId5"/>
    <sheet name="ScatterData" sheetId="6" r:id="rId6"/>
    <sheet name="BoxData" sheetId="7" r:id="rId7"/>
    <sheet name="Lists" sheetId="8" r:id="rId8"/>
    <sheet name="Dashboard" sheetId="9" r:id="rId9"/>
  </sheets>
  <definedNames>
    <definedName name="MonthList">Lists!$A$1:$A$34</definedName>
  </definedNames>
  <calcPr calcId="124519" fullCalcOnLoad="1"/>
</workbook>
</file>

<file path=xl/sharedStrings.xml><?xml version="1.0" encoding="utf-8"?>
<sst xmlns="http://schemas.openxmlformats.org/spreadsheetml/2006/main" count="5779" uniqueCount="998">
  <si>
    <t>Customer_ID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</si>
  <si>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</si>
  <si>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</si>
  <si>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</si>
  <si>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</si>
  <si>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</si>
  <si>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</si>
  <si>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</si>
  <si>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</si>
  <si>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</si>
  <si>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</si>
  <si>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</si>
  <si>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</si>
  <si>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</si>
  <si>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</si>
  <si>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</si>
  <si>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</si>
  <si>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</si>
  <si>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</si>
  <si>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</si>
  <si>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</si>
  <si>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</si>
  <si>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</si>
  <si>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</si>
  <si>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</si>
  <si>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</si>
  <si>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</si>
  <si>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</si>
  <si>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</si>
  <si>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</si>
  <si>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</si>
  <si>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</si>
  <si>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</si>
  <si>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</si>
  <si>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</si>
  <si>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</si>
  <si>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</si>
  <si>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</si>
  <si>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</si>
  <si>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</si>
  <si>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</si>
  <si>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</si>
  <si>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</si>
  <si>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</si>
  <si>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</si>
  <si>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</si>
  <si>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</si>
  <si>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</si>
  <si>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</si>
  <si>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</si>
  <si>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</si>
  <si>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</si>
  <si>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</si>
  <si>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</si>
  <si>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</si>
  <si>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</si>
  <si>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</si>
  <si>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</si>
  <si>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</si>
  <si>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</si>
  <si>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</si>
  <si>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</si>
  <si>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</si>
  <si>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</si>
  <si>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</si>
  <si>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</si>
  <si>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</si>
  <si>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</si>
  <si>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</si>
  <si>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</si>
  <si>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</si>
  <si>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</si>
  <si>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</si>
  <si>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</si>
  <si>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</si>
  <si>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</si>
  <si>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</si>
  <si>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</si>
  <si>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</si>
  <si>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</si>
  <si>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</si>
  <si>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</si>
  <si>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</si>
  <si>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</si>
  <si>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</si>
  <si>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</si>
  <si>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</si>
  <si>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</si>
  <si>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</si>
  <si>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</si>
  <si>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</si>
  <si>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</si>
  <si>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</si>
  <si>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</si>
  <si>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</si>
  <si>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</si>
  <si>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</si>
  <si>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</si>
  <si>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</si>
  <si>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</si>
  <si>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</si>
  <si>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</si>
  <si>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</si>
  <si>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</si>
  <si>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</si>
  <si>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</si>
  <si>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</si>
  <si>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</si>
  <si>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</si>
  <si>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</si>
  <si>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</si>
  <si>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</si>
  <si>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</si>
  <si>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</si>
  <si>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</si>
  <si>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</si>
  <si>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</si>
  <si>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</si>
  <si>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</si>
  <si>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</si>
  <si>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</si>
  <si>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</si>
  <si>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</si>
  <si>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</si>
  <si>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</si>
  <si>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</si>
  <si>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</si>
  <si>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</si>
  <si>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</si>
  <si>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</si>
  <si>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</si>
  <si>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</si>
  <si>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</si>
  <si>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</si>
  <si>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</si>
  <si>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</si>
  <si>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</si>
  <si>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</si>
  <si>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</si>
  <si>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</si>
  <si>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</si>
  <si>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</si>
  <si>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</si>
  <si>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</si>
  <si>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</si>
  <si>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</si>
  <si>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</si>
  <si>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</si>
  <si>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</si>
  <si>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</si>
  <si>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</si>
  <si>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</si>
  <si>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</si>
  <si>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</si>
  <si>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</si>
  <si>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</si>
  <si>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</si>
  <si>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</si>
  <si>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</si>
  <si>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</si>
  <si>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</si>
  <si>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</si>
  <si>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</si>
  <si>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</si>
  <si>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</si>
  <si>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</si>
  <si>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</si>
  <si>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</si>
  <si>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</si>
  <si>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</si>
  <si>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</si>
  <si>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</si>
  <si>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</si>
  <si>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</si>
  <si>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</si>
  <si>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</si>
  <si>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</si>
  <si>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</si>
  <si>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</si>
  <si>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</si>
  <si>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</si>
  <si>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</si>
  <si>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</si>
  <si>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</si>
  <si>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</si>
  <si>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</si>
  <si>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</si>
  <si>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</si>
  <si>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</si>
  <si>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</si>
  <si>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</si>
  <si>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</si>
  <si>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</si>
  <si>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</si>
  <si>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</si>
  <si>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</si>
  <si>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</si>
  <si>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</si>
  <si>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</si>
  <si>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</si>
  <si>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</si>
  <si>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</si>
  <si>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</si>
  <si>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</si>
  <si>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</si>
  <si>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</si>
  <si>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</si>
  <si>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</si>
  <si>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</si>
  <si>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</si>
  <si>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</si>
  <si>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</si>
  <si>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</si>
  <si>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</si>
  <si>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</si>
  <si>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</si>
  <si>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</si>
  <si>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</si>
  <si>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</si>
  <si>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</si>
  <si>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</si>
  <si>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</si>
  <si>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</si>
  <si>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</si>
  <si>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</si>
  <si>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</si>
  <si>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</si>
  <si>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</si>
  <si>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</si>
  <si>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</si>
  <si>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</si>
  <si>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</si>
  <si>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</si>
  <si>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</si>
  <si>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</si>
  <si>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</si>
  <si>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</si>
  <si>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</si>
  <si>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</si>
  <si>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</si>
  <si>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</si>
  <si>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</si>
  <si>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</si>
  <si>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</si>
  <si>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</si>
  <si>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</si>
  <si>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</si>
  <si>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</si>
  <si>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</si>
  <si>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</si>
  <si>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</si>
  <si>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</si>
  <si>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</si>
  <si>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</si>
  <si>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</si>
  <si>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</si>
  <si>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</si>
  <si>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</si>
  <si>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</si>
  <si>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</si>
  <si>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</si>
  <si>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</si>
  <si>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</si>
  <si>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</si>
  <si>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</si>
  <si>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</si>
  <si>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</si>
  <si>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</si>
  <si>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</si>
  <si>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</si>
  <si>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</si>
  <si>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</si>
  <si>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</si>
  <si>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</si>
  <si>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</si>
  <si>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</si>
  <si>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</si>
  <si>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</si>
  <si>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</si>
  <si>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</si>
  <si>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</si>
  <si>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</si>
  <si>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</si>
  <si>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</si>
  <si>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</si>
  <si>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</si>
  <si>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</si>
  <si>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</si>
  <si>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</si>
  <si>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</si>
  <si>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</si>
  <si>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</si>
  <si>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</si>
  <si>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</si>
  <si>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</si>
  <si>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</si>
  <si>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</si>
  <si>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</si>
  <si>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</si>
  <si>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</si>
  <si>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</si>
  <si>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</si>
  <si>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</si>
  <si>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</si>
  <si>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</si>
  <si>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</si>
  <si>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</si>
  <si>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</si>
  <si>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</si>
  <si>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</si>
  <si>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</si>
  <si>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</si>
  <si>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</si>
  <si>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</si>
  <si>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</si>
  <si>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</si>
  <si>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</si>
  <si>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</si>
  <si>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</si>
  <si>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</si>
  <si>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</si>
  <si>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</si>
  <si>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</si>
  <si>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</si>
  <si>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</si>
  <si>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</si>
  <si>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</si>
  <si>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</si>
  <si>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</si>
  <si>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</si>
  <si>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</si>
  <si>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</si>
  <si>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</si>
  <si>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</si>
  <si>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</si>
  <si>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</si>
  <si>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</si>
  <si>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</si>
  <si>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</si>
  <si>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</si>
  <si>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</si>
  <si>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</si>
  <si>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</si>
  <si>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</si>
  <si>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</si>
  <si>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</si>
  <si>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</si>
  <si>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</si>
  <si>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</si>
  <si>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</si>
  <si>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</si>
  <si>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</si>
  <si>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</si>
  <si>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</si>
  <si>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</si>
  <si>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</si>
  <si>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</si>
  <si>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</si>
  <si>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</si>
  <si>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</si>
  <si>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</si>
  <si>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</si>
  <si>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</si>
  <si>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</si>
  <si>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</si>
  <si>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</si>
  <si>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</si>
  <si>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</si>
  <si>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</si>
  <si>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</si>
  <si>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</si>
  <si>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</si>
  <si>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</si>
  <si>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</si>
  <si>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</si>
  <si>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</si>
  <si>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</si>
  <si>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</si>
  <si>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</si>
  <si>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</si>
  <si>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</si>
  <si>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</si>
  <si>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</si>
  <si>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</si>
  <si>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</si>
  <si>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</si>
  <si>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</si>
  <si>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</si>
  <si>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</si>
  <si>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</si>
  <si>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</si>
  <si>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</si>
  <si>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</si>
  <si>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</si>
  <si>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</si>
  <si>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</si>
  <si>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</si>
  <si>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</si>
  <si>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</si>
  <si>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</si>
  <si>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</si>
  <si>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</si>
  <si>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</si>
  <si>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</si>
  <si>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</si>
  <si>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</si>
  <si>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</si>
  <si>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</si>
  <si>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</si>
  <si>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</si>
  <si>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</si>
  <si>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</si>
  <si>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</si>
  <si>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</si>
  <si>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</si>
  <si>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</si>
  <si>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</si>
  <si>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</si>
  <si>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</si>
  <si>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</si>
  <si>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</si>
  <si>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</si>
  <si>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</si>
  <si>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</si>
  <si>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</si>
  <si>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</si>
  <si>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</si>
  <si>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</si>
  <si>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</si>
  <si>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</si>
  <si>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</si>
  <si>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</si>
  <si>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</si>
  <si>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</si>
  <si>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</si>
  <si>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</si>
  <si>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</si>
  <si>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</si>
  <si>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</si>
  <si>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</si>
  <si>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</si>
  <si>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</si>
  <si>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</si>
  <si>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</si>
  <si>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</si>
  <si>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</si>
  <si>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</si>
  <si>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</si>
  <si>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</si>
  <si>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</si>
  <si>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</si>
  <si>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</si>
  <si>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</si>
  <si>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</si>
  <si>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</si>
  <si>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</si>
  <si>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</si>
  <si>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</si>
  <si>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</si>
  <si>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</si>
  <si>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</si>
  <si>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</si>
  <si>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</si>
  <si>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</si>
  <si>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</si>
  <si>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</si>
  <si>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</si>
  <si>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</si>
  <si>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</si>
  <si>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</si>
  <si>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</si>
  <si>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</si>
  <si>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</si>
  <si>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</si>
  <si>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</si>
  <si>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</si>
  <si>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</si>
  <si>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</si>
  <si>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</si>
  <si>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</si>
  <si>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</si>
  <si>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</si>
  <si>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</si>
  <si>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</si>
  <si>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</si>
  <si>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</si>
  <si>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</si>
  <si>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</si>
  <si>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</si>
  <si>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</si>
  <si>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</si>
  <si>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</si>
  <si>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</si>
  <si>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</si>
  <si>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</si>
  <si>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</si>
  <si>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</si>
  <si>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</si>
  <si>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</si>
  <si>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</si>
  <si>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</si>
  <si>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Product_Line</t>
  </si>
  <si>
    <t>Enterprise Software</t>
  </si>
  <si>
    <t>AI/ML</t>
  </si>
  <si>
    <t>Security</t>
  </si>
  <si>
    <t>Cloud Services</t>
  </si>
  <si>
    <t>Analytics</t>
  </si>
  <si>
    <t>Subscription_Start_Date</t>
  </si>
  <si>
    <t>2023-10-09</t>
  </si>
  <si>
    <t>2024-08-27</t>
  </si>
  <si>
    <t>2023-01-28</t>
  </si>
  <si>
    <t>2023-06-13</t>
  </si>
  <si>
    <t>2023-04-05</t>
  </si>
  <si>
    <t>2024-04-15</t>
  </si>
  <si>
    <t>2024-08-14</t>
  </si>
  <si>
    <t>2023-08-27</t>
  </si>
  <si>
    <t>2024-01-15</t>
  </si>
  <si>
    <t>2023-09-08</t>
  </si>
  <si>
    <t>2024-12-02</t>
  </si>
  <si>
    <t>2023-03-09</t>
  </si>
  <si>
    <t>2024-04-14</t>
  </si>
  <si>
    <t>2024-08-21</t>
  </si>
  <si>
    <t>2023-04-04</t>
  </si>
  <si>
    <t>2023-03-07</t>
  </si>
  <si>
    <t>2023-04-28</t>
  </si>
  <si>
    <t>2024-04-09</t>
  </si>
  <si>
    <t>2024-10-02</t>
  </si>
  <si>
    <t>2024-06-27</t>
  </si>
  <si>
    <t>2023-09-03</t>
  </si>
  <si>
    <t>2024-06-29</t>
  </si>
  <si>
    <t>2024-09-13</t>
  </si>
  <si>
    <t>2023-11-16</t>
  </si>
  <si>
    <t>2023-08-19</t>
  </si>
  <si>
    <t>2023-01-08</t>
  </si>
  <si>
    <t>2024-06-10</t>
  </si>
  <si>
    <t>2024-04-29</t>
  </si>
  <si>
    <t>2024-03-17</t>
  </si>
  <si>
    <t>2024-02-17</t>
  </si>
  <si>
    <t>2023-05-24</t>
  </si>
  <si>
    <t>2023-04-11</t>
  </si>
  <si>
    <t>2024-02-21</t>
  </si>
  <si>
    <t>2024-02-04</t>
  </si>
  <si>
    <t>2024-05-13</t>
  </si>
  <si>
    <t>2023-11-18</t>
  </si>
  <si>
    <t>2023-03-24</t>
  </si>
  <si>
    <t>2023-05-03</t>
  </si>
  <si>
    <t>2024-03-05</t>
  </si>
  <si>
    <t>2023-09-29</t>
  </si>
  <si>
    <t>2023-05-16</t>
  </si>
  <si>
    <t>2024-07-10</t>
  </si>
  <si>
    <t>2023-09-28</t>
  </si>
  <si>
    <t>2023-08-04</t>
  </si>
  <si>
    <t>2023-09-26</t>
  </si>
  <si>
    <t>2023-04-25</t>
  </si>
  <si>
    <t>2023-06-01</t>
  </si>
  <si>
    <t>2024-11-29</t>
  </si>
  <si>
    <t>2023-06-08</t>
  </si>
  <si>
    <t>2023-12-07</t>
  </si>
  <si>
    <t>2023-02-09</t>
  </si>
  <si>
    <t>2023-08-17</t>
  </si>
  <si>
    <t>2023-12-26</t>
  </si>
  <si>
    <t>2023-07-02</t>
  </si>
  <si>
    <t>2024-12-26</t>
  </si>
  <si>
    <t>2023-06-28</t>
  </si>
  <si>
    <t>2023-04-06</t>
  </si>
  <si>
    <t>2023-02-17</t>
  </si>
  <si>
    <t>2024-10-06</t>
  </si>
  <si>
    <t>2024-12-05</t>
  </si>
  <si>
    <t>2023-02-21</t>
  </si>
  <si>
    <t>2024-09-01</t>
  </si>
  <si>
    <t>2024-04-01</t>
  </si>
  <si>
    <t>2023-10-11</t>
  </si>
  <si>
    <t>2023-10-20</t>
  </si>
  <si>
    <t>2023-08-25</t>
  </si>
  <si>
    <t>2024-07-09</t>
  </si>
  <si>
    <t>2023-01-21</t>
  </si>
  <si>
    <t>2023-01-30</t>
  </si>
  <si>
    <t>2023-07-06</t>
  </si>
  <si>
    <t>2024-01-24</t>
  </si>
  <si>
    <t>2024-07-06</t>
  </si>
  <si>
    <t>2023-09-11</t>
  </si>
  <si>
    <t>2024-11-16</t>
  </si>
  <si>
    <t>2024-09-12</t>
  </si>
  <si>
    <t>2024-12-08</t>
  </si>
  <si>
    <t>2024-09-06</t>
  </si>
  <si>
    <t>2024-06-02</t>
  </si>
  <si>
    <t>2024-10-12</t>
  </si>
  <si>
    <t>2023-10-04</t>
  </si>
  <si>
    <t>2023-11-27</t>
  </si>
  <si>
    <t>2024-09-16</t>
  </si>
  <si>
    <t>2023-08-06</t>
  </si>
  <si>
    <t>2023-01-11</t>
  </si>
  <si>
    <t>2024-07-22</t>
  </si>
  <si>
    <t>2023-08-15</t>
  </si>
  <si>
    <t>2024-07-20</t>
  </si>
  <si>
    <t>2023-11-10</t>
  </si>
  <si>
    <t>2023-07-09</t>
  </si>
  <si>
    <t>2023-10-17</t>
  </si>
  <si>
    <t>2023-01-15</t>
  </si>
  <si>
    <t>2024-12-15</t>
  </si>
  <si>
    <t>2024-05-05</t>
  </si>
  <si>
    <t>2024-02-15</t>
  </si>
  <si>
    <t>2023-09-12</t>
  </si>
  <si>
    <t>2024-01-25</t>
  </si>
  <si>
    <t>2024-09-27</t>
  </si>
  <si>
    <t>2023-03-25</t>
  </si>
  <si>
    <t>2024-04-06</t>
  </si>
  <si>
    <t>2024-08-26</t>
  </si>
  <si>
    <t>2023-06-02</t>
  </si>
  <si>
    <t>2024-08-05</t>
  </si>
  <si>
    <t>2023-01-22</t>
  </si>
  <si>
    <t>2024-06-15</t>
  </si>
  <si>
    <t>2024-04-26</t>
  </si>
  <si>
    <t>2024-02-26</t>
  </si>
  <si>
    <t>2023-04-01</t>
  </si>
  <si>
    <t>2024-11-04</t>
  </si>
  <si>
    <t>2024-09-29</t>
  </si>
  <si>
    <t>2023-10-22</t>
  </si>
  <si>
    <t>2024-12-27</t>
  </si>
  <si>
    <t>2024-04-17</t>
  </si>
  <si>
    <t>2023-10-07</t>
  </si>
  <si>
    <t>2024-01-28</t>
  </si>
  <si>
    <t>2024-06-03</t>
  </si>
  <si>
    <t>2024-11-06</t>
  </si>
  <si>
    <t>2024-07-19</t>
  </si>
  <si>
    <t>2024-01-26</t>
  </si>
  <si>
    <t>2023-12-06</t>
  </si>
  <si>
    <t>2023-05-28</t>
  </si>
  <si>
    <t>2024-12-10</t>
  </si>
  <si>
    <t>2024-10-03</t>
  </si>
  <si>
    <t>2024-10-08</t>
  </si>
  <si>
    <t>2024-10-10</t>
  </si>
  <si>
    <t>2024-09-26</t>
  </si>
  <si>
    <t>2023-09-18</t>
  </si>
  <si>
    <t>2023-03-17</t>
  </si>
  <si>
    <t>2023-09-14</t>
  </si>
  <si>
    <t>2023-01-09</t>
  </si>
  <si>
    <t>2023-04-10</t>
  </si>
  <si>
    <t>2024-01-09</t>
  </si>
  <si>
    <t>2023-07-25</t>
  </si>
  <si>
    <t>2024-05-08</t>
  </si>
  <si>
    <t>2023-08-20</t>
  </si>
  <si>
    <t>2024-04-20</t>
  </si>
  <si>
    <t>2023-11-08</t>
  </si>
  <si>
    <t>2024-11-01</t>
  </si>
  <si>
    <t>2024-10-22</t>
  </si>
  <si>
    <t>2024-11-09</t>
  </si>
  <si>
    <t>2024-08-01</t>
  </si>
  <si>
    <t>2024-09-02</t>
  </si>
  <si>
    <t>2024-11-07</t>
  </si>
  <si>
    <t>2023-01-17</t>
  </si>
  <si>
    <t>2024-08-22</t>
  </si>
  <si>
    <t>2024-06-01</t>
  </si>
  <si>
    <t>2023-08-09</t>
  </si>
  <si>
    <t>2023-04-08</t>
  </si>
  <si>
    <t>2024-07-23</t>
  </si>
  <si>
    <t>2023-02-22</t>
  </si>
  <si>
    <t>2023-10-13</t>
  </si>
  <si>
    <t>2024-10-20</t>
  </si>
  <si>
    <t>2023-12-16</t>
  </si>
  <si>
    <t>2023-02-23</t>
  </si>
  <si>
    <t>2024-03-16</t>
  </si>
  <si>
    <t>2024-02-09</t>
  </si>
  <si>
    <t>2023-09-19</t>
  </si>
  <si>
    <t>2023-05-13</t>
  </si>
  <si>
    <t>2024-02-11</t>
  </si>
  <si>
    <t>2024-08-12</t>
  </si>
  <si>
    <t>2023-11-29</t>
  </si>
  <si>
    <t>2024-03-22</t>
  </si>
  <si>
    <t>2023-12-08</t>
  </si>
  <si>
    <t>2023-07-18</t>
  </si>
  <si>
    <t>2023-04-16</t>
  </si>
  <si>
    <t>2024-10-05</t>
  </si>
  <si>
    <t>2024-10-04</t>
  </si>
  <si>
    <t>2024-08-28</t>
  </si>
  <si>
    <t>2023-02-28</t>
  </si>
  <si>
    <t>2024-09-11</t>
  </si>
  <si>
    <t>2023-03-28</t>
  </si>
  <si>
    <t>2024-06-20</t>
  </si>
  <si>
    <t>2023-12-13</t>
  </si>
  <si>
    <t>2024-11-25</t>
  </si>
  <si>
    <t>2024-11-10</t>
  </si>
  <si>
    <t>2024-11-17</t>
  </si>
  <si>
    <t>2023-11-13</t>
  </si>
  <si>
    <t>2023-05-21</t>
  </si>
  <si>
    <t>2024-06-23</t>
  </si>
  <si>
    <t>2023-06-16</t>
  </si>
  <si>
    <t>2023-09-01</t>
  </si>
  <si>
    <t>2024-04-25</t>
  </si>
  <si>
    <t>2023-10-16</t>
  </si>
  <si>
    <t>2023-10-19</t>
  </si>
  <si>
    <t>2024-02-10</t>
  </si>
  <si>
    <t>2023-11-23</t>
  </si>
  <si>
    <t>2024-12-13</t>
  </si>
  <si>
    <t>2023-09-20</t>
  </si>
  <si>
    <t>2023-04-24</t>
  </si>
  <si>
    <t>2024-10-16</t>
  </si>
  <si>
    <t>2023-12-28</t>
  </si>
  <si>
    <t>2024-01-05</t>
  </si>
  <si>
    <t>2023-03-11</t>
  </si>
  <si>
    <t>2023-02-15</t>
  </si>
  <si>
    <t>2023-10-28</t>
  </si>
  <si>
    <t>2023-12-14</t>
  </si>
  <si>
    <t>2024-03-10</t>
  </si>
  <si>
    <t>2023-12-02</t>
  </si>
  <si>
    <t>2024-12-07</t>
  </si>
  <si>
    <t>2024-06-09</t>
  </si>
  <si>
    <t>2023-05-10</t>
  </si>
  <si>
    <t>2023-06-07</t>
  </si>
  <si>
    <t>2023-01-27</t>
  </si>
  <si>
    <t>2023-09-24</t>
  </si>
  <si>
    <t>2023-05-06</t>
  </si>
  <si>
    <t>2023-10-25</t>
  </si>
  <si>
    <t>2023-05-05</t>
  </si>
  <si>
    <t>2024-07-21</t>
  </si>
  <si>
    <t>2023-05-12</t>
  </si>
  <si>
    <t>2024-06-14</t>
  </si>
  <si>
    <t>2023-05-09</t>
  </si>
  <si>
    <t>2024-03-02</t>
  </si>
  <si>
    <t>2023-11-06</t>
  </si>
  <si>
    <t>2024-03-26</t>
  </si>
  <si>
    <t>2024-07-29</t>
  </si>
  <si>
    <t>2023-05-25</t>
  </si>
  <si>
    <t>2024-04-23</t>
  </si>
  <si>
    <t>2024-04-13</t>
  </si>
  <si>
    <t>2024-05-21</t>
  </si>
  <si>
    <t>2023-05-18</t>
  </si>
  <si>
    <t>2024-08-06</t>
  </si>
  <si>
    <t>2024-09-08</t>
  </si>
  <si>
    <t>2024-09-23</t>
  </si>
  <si>
    <t>2024-05-16</t>
  </si>
  <si>
    <t>2023-04-23</t>
  </si>
  <si>
    <t>2024-08-15</t>
  </si>
  <si>
    <t>2024-12-18</t>
  </si>
  <si>
    <t>2024-07-28</t>
  </si>
  <si>
    <t>2024-12-22</t>
  </si>
  <si>
    <t>2023-02-13</t>
  </si>
  <si>
    <t>2024-09-22</t>
  </si>
  <si>
    <t>2024-10-15</t>
  </si>
  <si>
    <t>2024-11-28</t>
  </si>
  <si>
    <t>2024-10-28</t>
  </si>
  <si>
    <t>2024-10-29</t>
  </si>
  <si>
    <t>2024-05-22</t>
  </si>
  <si>
    <t>2023-04-20</t>
  </si>
  <si>
    <t>2024-05-20</t>
  </si>
  <si>
    <t>2023-12-05</t>
  </si>
  <si>
    <t>2023-12-12</t>
  </si>
  <si>
    <t>2024-06-11</t>
  </si>
  <si>
    <t>2024-11-14</t>
  </si>
  <si>
    <t>2023-11-15</t>
  </si>
  <si>
    <t>2024-05-04</t>
  </si>
  <si>
    <t>2024-11-11</t>
  </si>
  <si>
    <t>2024-06-24</t>
  </si>
  <si>
    <t>2023-07-27</t>
  </si>
  <si>
    <t>2024-11-27</t>
  </si>
  <si>
    <t>2023-11-12</t>
  </si>
  <si>
    <t>2023-03-16</t>
  </si>
  <si>
    <t>2023-02-02</t>
  </si>
  <si>
    <t>2024-01-27</t>
  </si>
  <si>
    <t>2024-10-31</t>
  </si>
  <si>
    <t>2024-06-28</t>
  </si>
  <si>
    <t>2023-07-13</t>
  </si>
  <si>
    <t>2023-09-04</t>
  </si>
  <si>
    <t>2024-12-21</t>
  </si>
  <si>
    <t>2023-08-11</t>
  </si>
  <si>
    <t>2024-02-28</t>
  </si>
  <si>
    <t>2024-11-26</t>
  </si>
  <si>
    <t>2023-07-15</t>
  </si>
  <si>
    <t>2024-08-24</t>
  </si>
  <si>
    <t>2023-08-05</t>
  </si>
  <si>
    <t>2023-07-29</t>
  </si>
  <si>
    <t>2024-04-22</t>
  </si>
  <si>
    <t>2023-02-16</t>
  </si>
  <si>
    <t>2024-08-16</t>
  </si>
  <si>
    <t>2024-05-15</t>
  </si>
  <si>
    <t>2023-02-04</t>
  </si>
  <si>
    <t>2024-10-07</t>
  </si>
  <si>
    <t>2023-03-03</t>
  </si>
  <si>
    <t>2023-07-16</t>
  </si>
  <si>
    <t>2024-02-20</t>
  </si>
  <si>
    <t>2024-10-27</t>
  </si>
  <si>
    <t>2023-02-27</t>
  </si>
  <si>
    <t>2023-10-05</t>
  </si>
  <si>
    <t>2023-11-19</t>
  </si>
  <si>
    <t>2023-11-03</t>
  </si>
  <si>
    <t>2024-01-29</t>
  </si>
  <si>
    <t>2023-08-22</t>
  </si>
  <si>
    <t>2023-10-02</t>
  </si>
  <si>
    <t>2023-01-06</t>
  </si>
  <si>
    <t>2023-03-31</t>
  </si>
  <si>
    <t>2023-10-26</t>
  </si>
  <si>
    <t>2023-03-06</t>
  </si>
  <si>
    <t>2023-09-15</t>
  </si>
  <si>
    <t>2023-05-19</t>
  </si>
  <si>
    <t>2023-12-09</t>
  </si>
  <si>
    <t>2023-09-06</t>
  </si>
  <si>
    <t>2024-08-29</t>
  </si>
  <si>
    <t>2023-08-03</t>
  </si>
  <si>
    <t>2024-04-04</t>
  </si>
  <si>
    <t>2024-03-04</t>
  </si>
  <si>
    <t>2024-08-25</t>
  </si>
  <si>
    <t>2024-03-01</t>
  </si>
  <si>
    <t>2023-12-18</t>
  </si>
  <si>
    <t>2024-03-24</t>
  </si>
  <si>
    <t>2024-04-05</t>
  </si>
  <si>
    <t>2023-11-30</t>
  </si>
  <si>
    <t>2023-11-17</t>
  </si>
  <si>
    <t>2024-09-24</t>
  </si>
  <si>
    <t>2023-05-01</t>
  </si>
  <si>
    <t>2024-02-02</t>
  </si>
  <si>
    <t>2023-07-11</t>
  </si>
  <si>
    <t>2023-05-20</t>
  </si>
  <si>
    <t>2023-08-14</t>
  </si>
  <si>
    <t>2024-08-02</t>
  </si>
  <si>
    <t>2023-08-12</t>
  </si>
  <si>
    <t>2023-12-23</t>
  </si>
  <si>
    <t>2023-03-02</t>
  </si>
  <si>
    <t>2023-10-27</t>
  </si>
  <si>
    <t>2024-11-23</t>
  </si>
  <si>
    <t>2024-04-07</t>
  </si>
  <si>
    <t>2024-01-13</t>
  </si>
  <si>
    <t>2024-03-15</t>
  </si>
  <si>
    <t>2023-04-12</t>
  </si>
  <si>
    <t>2023-01-01</t>
  </si>
  <si>
    <t>2023-10-08</t>
  </si>
  <si>
    <t>2023-08-07</t>
  </si>
  <si>
    <t>2023-08-23</t>
  </si>
  <si>
    <t>2023-04-26</t>
  </si>
  <si>
    <t>2024-02-01</t>
  </si>
  <si>
    <t>2024-02-12</t>
  </si>
  <si>
    <t>2024-07-03</t>
  </si>
  <si>
    <t>2023-07-28</t>
  </si>
  <si>
    <t>2023-01-12</t>
  </si>
  <si>
    <t>2024-01-16</t>
  </si>
  <si>
    <t>2023-10-06</t>
  </si>
  <si>
    <t>2024-06-07</t>
  </si>
  <si>
    <t>2023-01-13</t>
  </si>
  <si>
    <t>2023-11-24</t>
  </si>
  <si>
    <t>2024-07-13</t>
  </si>
  <si>
    <t>2024-07-08</t>
  </si>
  <si>
    <t>2023-11-11</t>
  </si>
  <si>
    <t>2024-12-29</t>
  </si>
  <si>
    <t>2024-03-21</t>
  </si>
  <si>
    <t>2023-04-07</t>
  </si>
  <si>
    <t>2023-07-22</t>
  </si>
  <si>
    <t>2023-01-23</t>
  </si>
  <si>
    <t>2023-01-31</t>
  </si>
  <si>
    <t>2023-10-14</t>
  </si>
  <si>
    <t>2024-10-24</t>
  </si>
  <si>
    <t>2024-05-29</t>
  </si>
  <si>
    <t>2023-08-31</t>
  </si>
  <si>
    <t>2024-07-31</t>
  </si>
  <si>
    <t>2023-02-08</t>
  </si>
  <si>
    <t>2024-08-09</t>
  </si>
  <si>
    <t>2023-12-22</t>
  </si>
  <si>
    <t>2023-01-02</t>
  </si>
  <si>
    <t>2024-03-20</t>
  </si>
  <si>
    <t>2024-02-07</t>
  </si>
  <si>
    <t>2024-04-21</t>
  </si>
  <si>
    <t>2024-11-15</t>
  </si>
  <si>
    <t>2024-06-19</t>
  </si>
  <si>
    <t>Subscription_End_Date</t>
  </si>
  <si>
    <t>2024-10-30</t>
  </si>
  <si>
    <t>2025-02-02</t>
  </si>
  <si>
    <t>2025-05-05</t>
  </si>
  <si>
    <t>2025-04-11</t>
  </si>
  <si>
    <t>2025-01-20</t>
  </si>
  <si>
    <t>2024-03-31</t>
  </si>
  <si>
    <t>2025-04-23</t>
  </si>
  <si>
    <t>2025-07-29</t>
  </si>
  <si>
    <t>2025-02-05</t>
  </si>
  <si>
    <t>2023-10-18</t>
  </si>
  <si>
    <t>2026-04-16</t>
  </si>
  <si>
    <t>2025-02-27</t>
  </si>
  <si>
    <t>2026-02-28</t>
  </si>
  <si>
    <t>2025-12-03</t>
  </si>
  <si>
    <t>2025-07-02</t>
  </si>
  <si>
    <t>2025-07-26</t>
  </si>
  <si>
    <t>2025-04-06</t>
  </si>
  <si>
    <t>2025-02-08</t>
  </si>
  <si>
    <t>2025-05-02</t>
  </si>
  <si>
    <t>2024-09-03</t>
  </si>
  <si>
    <t>2025-09-14</t>
  </si>
  <si>
    <t>2025-09-20</t>
  </si>
  <si>
    <t>2024-01-19</t>
  </si>
  <si>
    <t>2024-07-18</t>
  </si>
  <si>
    <t>2025-11-18</t>
  </si>
  <si>
    <t>2024-08-10</t>
  </si>
  <si>
    <t>2026-01-22</t>
  </si>
  <si>
    <t>2026-06-10</t>
  </si>
  <si>
    <t>2026-11-12</t>
  </si>
  <si>
    <t>2023-06-23</t>
  </si>
  <si>
    <t>2025-06-05</t>
  </si>
  <si>
    <t>2024-04-08</t>
  </si>
  <si>
    <t>2024-09-14</t>
  </si>
  <si>
    <t>2025-03-10</t>
  </si>
  <si>
    <t>2024-11-21</t>
  </si>
  <si>
    <t>2024-04-24</t>
  </si>
  <si>
    <t>2026-01-29</t>
  </si>
  <si>
    <t>Customer_Segment</t>
  </si>
  <si>
    <t>Enterprise</t>
  </si>
  <si>
    <t>SMB</t>
  </si>
  <si>
    <t>Mid-Market</t>
  </si>
  <si>
    <t>Monthly_Spend</t>
  </si>
  <si>
    <t>Support_Tickets</t>
  </si>
  <si>
    <t>Login_Frequency</t>
  </si>
  <si>
    <t>Status</t>
  </si>
  <si>
    <t>Active</t>
  </si>
  <si>
    <t>At-Risk</t>
  </si>
  <si>
    <t>Churned</t>
  </si>
  <si>
    <t>Health_Status</t>
  </si>
  <si>
    <t>Healthy</t>
  </si>
  <si>
    <t>Month</t>
  </si>
  <si>
    <t>2023-02-01</t>
  </si>
  <si>
    <t>2023-03-01</t>
  </si>
  <si>
    <t>2023-07-01</t>
  </si>
  <si>
    <t>2023-08-01</t>
  </si>
  <si>
    <t>2023-10-01</t>
  </si>
  <si>
    <t>2023-11-01</t>
  </si>
  <si>
    <t>2023-12-01</t>
  </si>
  <si>
    <t>2024-01-01</t>
  </si>
  <si>
    <t>2024-05-01</t>
  </si>
  <si>
    <t>2024-07-01</t>
  </si>
  <si>
    <t>2024-10-01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</si>
  <si>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</si>
  <si>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</si>
  <si>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</si>
  <si>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</si>
  <si>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</si>
  <si>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</si>
  <si>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</si>
  <si>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</si>
  <si>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</si>
  <si>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</si>
  <si>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</si>
  <si>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MonthText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</si>
  <si>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</si>
  <si>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</si>
  <si>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</si>
  <si>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</si>
  <si>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</si>
  <si>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</si>
  <si>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</si>
  <si>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</si>
  <si>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</si>
  <si>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</si>
  <si>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</si>
  <si>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</si>
  <si>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</si>
  <si>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</si>
  <si>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</si>
  <si>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</si>
  <si>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</si>
  <si>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</si>
  <si>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</si>
  <si>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</si>
  <si>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</si>
  <si>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</si>
  <si>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</si>
  <si>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</si>
  <si>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</si>
  <si>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</si>
  <si>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</si>
  <si>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</si>
  <si>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</si>
  <si>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</si>
  <si>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</si>
  <si>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</si>
  <si>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</si>
  <si>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</si>
  <si>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TotalActive</t>
  </si>
  <si>
    <t>NewCustomers</t>
  </si>
  <si>
    <t>ChurnCount</t>
  </si>
  <si>
    <t>MRR</t>
  </si>
  <si>
    <t>ChurnRate</t>
  </si>
  <si>
    <t>AvgLTV</t>
  </si>
  <si>
    <t>TotalCustomers</t>
  </si>
  <si>
    <t>Retained</t>
  </si>
  <si>
    <t>Segment</t>
  </si>
  <si>
    <t>HealthStatus</t>
  </si>
  <si>
    <t>Count</t>
  </si>
  <si>
    <t>RetentionFlag</t>
  </si>
  <si>
    <t>RetentionStatus</t>
  </si>
  <si>
    <t>Category</t>
  </si>
  <si>
    <t>AverageSpend</t>
  </si>
  <si>
    <t>Customer Retention Dashboard</t>
  </si>
  <si>
    <t>Select Month:</t>
  </si>
  <si>
    <t>Total Active Customers</t>
  </si>
  <si>
    <t>Churn Rate (%)</t>
  </si>
  <si>
    <t>Average LTV</t>
  </si>
  <si>
    <t>Product Line</t>
  </si>
  <si>
    <t>Total</t>
  </si>
  <si>
    <t>Churn Rate</t>
  </si>
  <si>
    <t>Customer Segment</t>
  </si>
  <si>
    <t>Churn Count</t>
  </si>
  <si>
    <t>Retention Trend</t>
  </si>
  <si>
    <t>Retention Drivers Analysis</t>
  </si>
  <si>
    <t>Support Tickets vs Churn Correlation: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</si>
</sst>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Retention vs Churn by Product Line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Retained</c:v>
          </c:tx>
          <c:cat>
            <c:strRef>
              <c:f>Dashboard!$A$12:$A$16</c:f>
              <c:strCache>
                <c:ptCount val="5"/>
                <c:pt idx="0">
                  <c:v>Enterprise Software</c:v>
                </c:pt>
                <c:pt idx="1">
                  <c:v>AI/ML</c:v>
                </c:pt>
                <c:pt idx="2">
                  <c:v>Security</c:v>
                </c:pt>
                <c:pt idx="3">
                  <c:v>Cloud Services</c:v>
                </c:pt>
                <c:pt idx="4">
                  <c:v>Analytics</c:v>
                </c:pt>
              </c:strCache>
            </c:strRef>
          </c:cat>
          <c:val>
            <c:numRef>
              <c:f>Dashboard!$C$12:$C$16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Churned</c:v>
          </c:tx>
          <c:cat>
            <c:strRef>
              <c:f>Dashboard!$A$12:$A$16</c:f>
              <c:strCache>
                <c:ptCount val="5"/>
                <c:pt idx="0">
                  <c:v>Enterprise Software</c:v>
                </c:pt>
                <c:pt idx="1">
                  <c:v>AI/ML</c:v>
                </c:pt>
                <c:pt idx="2">
                  <c:v>Security</c:v>
                </c:pt>
                <c:pt idx="3">
                  <c:v>Cloud Services</c:v>
                </c:pt>
                <c:pt idx="4">
                  <c:v>Analytics</c:v>
                </c:pt>
              </c:strCache>
            </c:strRef>
          </c:cat>
          <c:val>
            <c:numRef>
              <c:f>Dashboard!$E$12:$E$16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Product Line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Churn Distribution by Segment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Dashboard!$A$20:$A$22</c:f>
              <c:strCache>
                <c:ptCount val="3"/>
                <c:pt idx="0">
                  <c:v>Enterprise</c:v>
                </c:pt>
                <c:pt idx="1">
                  <c:v>SMB</c:v>
                </c:pt>
                <c:pt idx="2">
                  <c:v>Mid-Market</c:v>
                </c:pt>
              </c:strCache>
            </c:strRef>
          </c:cat>
          <c:val>
            <c:numRef>
              <c:f>Dashboard!$B$20:$B$22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Customer Health Status by Segment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Healthy</c:v>
          </c:tx>
          <c:cat>
            <c:strRef>
              <c:f>Dashboard!$A$27:$A$29</c:f>
              <c:strCache>
                <c:ptCount val="3"/>
                <c:pt idx="0">
                  <c:v>Enterprise</c:v>
                </c:pt>
                <c:pt idx="1">
                  <c:v>SMB</c:v>
                </c:pt>
                <c:pt idx="2">
                  <c:v>Mid-Market</c:v>
                </c:pt>
              </c:strCache>
            </c:strRef>
          </c:cat>
          <c:val>
            <c:numRef>
              <c:f>Dashboard!$B$27:$B$29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At-Risk</c:v>
          </c:tx>
          <c:cat>
            <c:strRef>
              <c:f>Dashboard!$A$27:$A$29</c:f>
              <c:strCache>
                <c:ptCount val="3"/>
                <c:pt idx="0">
                  <c:v>Enterprise</c:v>
                </c:pt>
                <c:pt idx="1">
                  <c:v>SMB</c:v>
                </c:pt>
                <c:pt idx="2">
                  <c:v>Mid-Market</c:v>
                </c:pt>
              </c:strCache>
            </c:strRef>
          </c:cat>
          <c:val>
            <c:numRef>
              <c:f>Dashboard!$C$27:$C$29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v>Churned</c:v>
          </c:tx>
          <c:cat>
            <c:strRef>
              <c:f>Dashboard!$A$27:$A$29</c:f>
              <c:strCache>
                <c:ptCount val="3"/>
                <c:pt idx="0">
                  <c:v>Enterprise</c:v>
                </c:pt>
                <c:pt idx="1">
                  <c:v>SMB</c:v>
                </c:pt>
                <c:pt idx="2">
                  <c:v>Mid-Market</c:v>
                </c:pt>
              </c:strCache>
            </c:strRef>
          </c:cat>
          <c:val>
            <c:numRef>
              <c:f>Dashboard!$D$27:$D$29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Customer Segment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Customers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Retention Rate Trend (Last 12 Months)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Retention Rate</c:v>
          </c:tx>
          <c:marker>
            <c:symbol val="none"/>
          </c:marker>
          <c:cat>
            <c:strRef>
              <c:f>Dashboard!$A$36:$A$47</c:f>
              <c:strCache>
                <c:ptCount val="12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</c:strCache>
            </c:strRef>
          </c:cat>
          <c:val>
            <c:numRef>
              <c:f>Dashboard!$B$36:$B$47</c:f>
              <c:numCache>
                <c:formatCode>General</c:formatCode>
                <c:ptCount val="12"/>
                <c:pt idx="0">
                  <c:v>0.9931972789115646</c:v>
                </c:pt>
                <c:pt idx="1">
                  <c:v>0.9978070175438597</c:v>
                </c:pt>
                <c:pt idx="2">
                  <c:v>0.9978947368421053</c:v>
                </c:pt>
                <c:pt idx="3">
                  <c:v>0.989451476793249</c:v>
                </c:pt>
                <c:pt idx="4">
                  <c:v>0.997867803837953</c:v>
                </c:pt>
                <c:pt idx="5">
                  <c:v>0.9935897435897436</c:v>
                </c:pt>
                <c:pt idx="6">
                  <c:v>0.9956989247311828</c:v>
                </c:pt>
                <c:pt idx="7">
                  <c:v>0.9978401727861771</c:v>
                </c:pt>
                <c:pt idx="8">
                  <c:v>0.9935064935064936</c:v>
                </c:pt>
                <c:pt idx="9">
                  <c:v>1</c:v>
                </c:pt>
                <c:pt idx="10">
                  <c:v>0.9956427015250545</c:v>
                </c:pt>
                <c:pt idx="11">
                  <c:v>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Retention Rate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Support Tickets vs Retention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Support vs Retention</c:v>
          </c:tx>
          <c:marker>
            <c:symbol val="circle"/>
            <c:size val="3"/>
          </c:marker>
          <c:xVal>
            <c:numRef>
              <c:f>ScatterData!$A$2:$A$501</c:f>
              <c:numCache>
                <c:formatCode>General</c:formatCode>
                <c:ptCount val="500"/>
                <c:pt idx="0">
                  <c:v>43</c:v>
                </c:pt>
                <c:pt idx="1">
                  <c:v>13</c:v>
                </c:pt>
                <c:pt idx="2">
                  <c:v>28</c:v>
                </c:pt>
                <c:pt idx="3">
                  <c:v>9</c:v>
                </c:pt>
                <c:pt idx="4">
                  <c:v>38</c:v>
                </c:pt>
                <c:pt idx="5">
                  <c:v>35</c:v>
                </c:pt>
                <c:pt idx="6">
                  <c:v>42</c:v>
                </c:pt>
                <c:pt idx="7">
                  <c:v>29</c:v>
                </c:pt>
                <c:pt idx="8">
                  <c:v>38</c:v>
                </c:pt>
                <c:pt idx="9">
                  <c:v>40</c:v>
                </c:pt>
                <c:pt idx="10">
                  <c:v>2</c:v>
                </c:pt>
                <c:pt idx="11">
                  <c:v>41</c:v>
                </c:pt>
                <c:pt idx="12">
                  <c:v>47</c:v>
                </c:pt>
                <c:pt idx="13">
                  <c:v>14</c:v>
                </c:pt>
                <c:pt idx="14">
                  <c:v>40</c:v>
                </c:pt>
                <c:pt idx="15">
                  <c:v>16</c:v>
                </c:pt>
                <c:pt idx="16">
                  <c:v>7</c:v>
                </c:pt>
                <c:pt idx="17">
                  <c:v>48</c:v>
                </c:pt>
                <c:pt idx="18">
                  <c:v>23</c:v>
                </c:pt>
                <c:pt idx="19">
                  <c:v>1</c:v>
                </c:pt>
                <c:pt idx="20">
                  <c:v>5</c:v>
                </c:pt>
                <c:pt idx="21">
                  <c:v>35</c:v>
                </c:pt>
                <c:pt idx="22">
                  <c:v>48</c:v>
                </c:pt>
                <c:pt idx="23">
                  <c:v>33</c:v>
                </c:pt>
                <c:pt idx="24">
                  <c:v>35</c:v>
                </c:pt>
                <c:pt idx="25">
                  <c:v>4</c:v>
                </c:pt>
                <c:pt idx="26">
                  <c:v>34</c:v>
                </c:pt>
                <c:pt idx="27">
                  <c:v>12</c:v>
                </c:pt>
                <c:pt idx="28">
                  <c:v>46</c:v>
                </c:pt>
                <c:pt idx="29">
                  <c:v>12</c:v>
                </c:pt>
                <c:pt idx="30">
                  <c:v>15</c:v>
                </c:pt>
                <c:pt idx="31">
                  <c:v>5</c:v>
                </c:pt>
                <c:pt idx="32">
                  <c:v>3</c:v>
                </c:pt>
                <c:pt idx="33">
                  <c:v>27</c:v>
                </c:pt>
                <c:pt idx="34">
                  <c:v>3</c:v>
                </c:pt>
                <c:pt idx="35">
                  <c:v>33</c:v>
                </c:pt>
                <c:pt idx="36">
                  <c:v>4</c:v>
                </c:pt>
                <c:pt idx="37">
                  <c:v>38</c:v>
                </c:pt>
                <c:pt idx="38">
                  <c:v>13</c:v>
                </c:pt>
                <c:pt idx="39">
                  <c:v>20</c:v>
                </c:pt>
                <c:pt idx="40">
                  <c:v>34</c:v>
                </c:pt>
                <c:pt idx="41">
                  <c:v>23</c:v>
                </c:pt>
                <c:pt idx="42">
                  <c:v>19</c:v>
                </c:pt>
                <c:pt idx="43">
                  <c:v>9</c:v>
                </c:pt>
                <c:pt idx="44">
                  <c:v>32</c:v>
                </c:pt>
                <c:pt idx="45">
                  <c:v>0</c:v>
                </c:pt>
                <c:pt idx="46">
                  <c:v>45</c:v>
                </c:pt>
                <c:pt idx="47">
                  <c:v>2</c:v>
                </c:pt>
                <c:pt idx="48">
                  <c:v>23</c:v>
                </c:pt>
                <c:pt idx="49">
                  <c:v>49</c:v>
                </c:pt>
                <c:pt idx="50">
                  <c:v>11</c:v>
                </c:pt>
                <c:pt idx="51">
                  <c:v>17</c:v>
                </c:pt>
                <c:pt idx="52">
                  <c:v>29</c:v>
                </c:pt>
                <c:pt idx="53">
                  <c:v>21</c:v>
                </c:pt>
                <c:pt idx="54">
                  <c:v>21</c:v>
                </c:pt>
                <c:pt idx="55">
                  <c:v>6</c:v>
                </c:pt>
                <c:pt idx="56">
                  <c:v>36</c:v>
                </c:pt>
                <c:pt idx="57">
                  <c:v>27</c:v>
                </c:pt>
                <c:pt idx="58">
                  <c:v>32</c:v>
                </c:pt>
                <c:pt idx="59">
                  <c:v>26</c:v>
                </c:pt>
                <c:pt idx="60">
                  <c:v>35</c:v>
                </c:pt>
                <c:pt idx="61">
                  <c:v>28</c:v>
                </c:pt>
                <c:pt idx="62">
                  <c:v>18</c:v>
                </c:pt>
                <c:pt idx="63">
                  <c:v>14</c:v>
                </c:pt>
                <c:pt idx="64">
                  <c:v>49</c:v>
                </c:pt>
                <c:pt idx="65">
                  <c:v>25</c:v>
                </c:pt>
                <c:pt idx="66">
                  <c:v>14</c:v>
                </c:pt>
                <c:pt idx="67">
                  <c:v>8</c:v>
                </c:pt>
                <c:pt idx="68">
                  <c:v>46</c:v>
                </c:pt>
                <c:pt idx="69">
                  <c:v>16</c:v>
                </c:pt>
                <c:pt idx="70">
                  <c:v>17</c:v>
                </c:pt>
                <c:pt idx="71">
                  <c:v>34</c:v>
                </c:pt>
                <c:pt idx="72">
                  <c:v>4</c:v>
                </c:pt>
                <c:pt idx="73">
                  <c:v>26</c:v>
                </c:pt>
                <c:pt idx="74">
                  <c:v>0</c:v>
                </c:pt>
                <c:pt idx="75">
                  <c:v>14</c:v>
                </c:pt>
                <c:pt idx="76">
                  <c:v>29</c:v>
                </c:pt>
                <c:pt idx="77">
                  <c:v>41</c:v>
                </c:pt>
                <c:pt idx="78">
                  <c:v>13</c:v>
                </c:pt>
                <c:pt idx="79">
                  <c:v>5</c:v>
                </c:pt>
                <c:pt idx="80">
                  <c:v>41</c:v>
                </c:pt>
                <c:pt idx="81">
                  <c:v>9</c:v>
                </c:pt>
                <c:pt idx="82">
                  <c:v>44</c:v>
                </c:pt>
                <c:pt idx="83">
                  <c:v>19</c:v>
                </c:pt>
                <c:pt idx="84">
                  <c:v>45</c:v>
                </c:pt>
                <c:pt idx="85">
                  <c:v>44</c:v>
                </c:pt>
                <c:pt idx="86">
                  <c:v>34</c:v>
                </c:pt>
                <c:pt idx="87">
                  <c:v>31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31</c:v>
                </c:pt>
                <c:pt idx="92">
                  <c:v>17</c:v>
                </c:pt>
                <c:pt idx="93">
                  <c:v>15</c:v>
                </c:pt>
                <c:pt idx="94">
                  <c:v>28</c:v>
                </c:pt>
                <c:pt idx="95">
                  <c:v>42</c:v>
                </c:pt>
                <c:pt idx="96">
                  <c:v>21</c:v>
                </c:pt>
                <c:pt idx="97">
                  <c:v>20</c:v>
                </c:pt>
                <c:pt idx="98">
                  <c:v>46</c:v>
                </c:pt>
                <c:pt idx="99">
                  <c:v>14</c:v>
                </c:pt>
                <c:pt idx="100">
                  <c:v>2</c:v>
                </c:pt>
                <c:pt idx="101">
                  <c:v>0</c:v>
                </c:pt>
                <c:pt idx="102">
                  <c:v>16</c:v>
                </c:pt>
                <c:pt idx="103">
                  <c:v>9</c:v>
                </c:pt>
                <c:pt idx="104">
                  <c:v>38</c:v>
                </c:pt>
                <c:pt idx="105">
                  <c:v>37</c:v>
                </c:pt>
                <c:pt idx="106">
                  <c:v>40</c:v>
                </c:pt>
                <c:pt idx="107">
                  <c:v>4</c:v>
                </c:pt>
                <c:pt idx="108">
                  <c:v>2</c:v>
                </c:pt>
                <c:pt idx="109">
                  <c:v>43</c:v>
                </c:pt>
                <c:pt idx="110">
                  <c:v>7</c:v>
                </c:pt>
                <c:pt idx="111">
                  <c:v>3</c:v>
                </c:pt>
                <c:pt idx="112">
                  <c:v>29</c:v>
                </c:pt>
                <c:pt idx="113">
                  <c:v>5</c:v>
                </c:pt>
                <c:pt idx="114">
                  <c:v>14</c:v>
                </c:pt>
                <c:pt idx="115">
                  <c:v>2</c:v>
                </c:pt>
                <c:pt idx="116">
                  <c:v>37</c:v>
                </c:pt>
                <c:pt idx="117">
                  <c:v>42</c:v>
                </c:pt>
                <c:pt idx="118">
                  <c:v>48</c:v>
                </c:pt>
                <c:pt idx="119">
                  <c:v>49</c:v>
                </c:pt>
                <c:pt idx="120">
                  <c:v>3</c:v>
                </c:pt>
                <c:pt idx="121">
                  <c:v>13</c:v>
                </c:pt>
                <c:pt idx="122">
                  <c:v>1</c:v>
                </c:pt>
                <c:pt idx="123">
                  <c:v>26</c:v>
                </c:pt>
                <c:pt idx="124">
                  <c:v>45</c:v>
                </c:pt>
                <c:pt idx="125">
                  <c:v>15</c:v>
                </c:pt>
                <c:pt idx="126">
                  <c:v>17</c:v>
                </c:pt>
                <c:pt idx="127">
                  <c:v>46</c:v>
                </c:pt>
                <c:pt idx="128">
                  <c:v>34</c:v>
                </c:pt>
                <c:pt idx="129">
                  <c:v>20</c:v>
                </c:pt>
                <c:pt idx="130">
                  <c:v>20</c:v>
                </c:pt>
                <c:pt idx="131">
                  <c:v>2</c:v>
                </c:pt>
                <c:pt idx="132">
                  <c:v>33</c:v>
                </c:pt>
                <c:pt idx="133">
                  <c:v>30</c:v>
                </c:pt>
                <c:pt idx="134">
                  <c:v>43</c:v>
                </c:pt>
                <c:pt idx="135">
                  <c:v>2</c:v>
                </c:pt>
                <c:pt idx="136">
                  <c:v>47</c:v>
                </c:pt>
                <c:pt idx="137">
                  <c:v>10</c:v>
                </c:pt>
                <c:pt idx="138">
                  <c:v>22</c:v>
                </c:pt>
                <c:pt idx="139">
                  <c:v>11</c:v>
                </c:pt>
                <c:pt idx="140">
                  <c:v>9</c:v>
                </c:pt>
                <c:pt idx="141">
                  <c:v>18</c:v>
                </c:pt>
                <c:pt idx="142">
                  <c:v>19</c:v>
                </c:pt>
                <c:pt idx="143">
                  <c:v>24</c:v>
                </c:pt>
                <c:pt idx="144">
                  <c:v>1</c:v>
                </c:pt>
                <c:pt idx="145">
                  <c:v>47</c:v>
                </c:pt>
                <c:pt idx="146">
                  <c:v>39</c:v>
                </c:pt>
                <c:pt idx="147">
                  <c:v>50</c:v>
                </c:pt>
                <c:pt idx="148">
                  <c:v>20</c:v>
                </c:pt>
                <c:pt idx="149">
                  <c:v>32</c:v>
                </c:pt>
                <c:pt idx="150">
                  <c:v>7</c:v>
                </c:pt>
                <c:pt idx="151">
                  <c:v>23</c:v>
                </c:pt>
                <c:pt idx="152">
                  <c:v>43</c:v>
                </c:pt>
                <c:pt idx="153">
                  <c:v>43</c:v>
                </c:pt>
                <c:pt idx="154">
                  <c:v>14</c:v>
                </c:pt>
                <c:pt idx="155">
                  <c:v>7</c:v>
                </c:pt>
                <c:pt idx="156">
                  <c:v>15</c:v>
                </c:pt>
                <c:pt idx="157">
                  <c:v>47</c:v>
                </c:pt>
                <c:pt idx="158">
                  <c:v>26</c:v>
                </c:pt>
                <c:pt idx="159">
                  <c:v>23</c:v>
                </c:pt>
                <c:pt idx="160">
                  <c:v>12</c:v>
                </c:pt>
                <c:pt idx="161">
                  <c:v>50</c:v>
                </c:pt>
                <c:pt idx="162">
                  <c:v>13</c:v>
                </c:pt>
                <c:pt idx="163">
                  <c:v>34</c:v>
                </c:pt>
                <c:pt idx="164">
                  <c:v>22</c:v>
                </c:pt>
                <c:pt idx="165">
                  <c:v>47</c:v>
                </c:pt>
                <c:pt idx="166">
                  <c:v>37</c:v>
                </c:pt>
                <c:pt idx="167">
                  <c:v>19</c:v>
                </c:pt>
                <c:pt idx="168">
                  <c:v>31</c:v>
                </c:pt>
                <c:pt idx="169">
                  <c:v>8</c:v>
                </c:pt>
                <c:pt idx="170">
                  <c:v>38</c:v>
                </c:pt>
                <c:pt idx="171">
                  <c:v>41</c:v>
                </c:pt>
                <c:pt idx="172">
                  <c:v>21</c:v>
                </c:pt>
                <c:pt idx="173">
                  <c:v>23</c:v>
                </c:pt>
                <c:pt idx="174">
                  <c:v>6</c:v>
                </c:pt>
                <c:pt idx="175">
                  <c:v>26</c:v>
                </c:pt>
                <c:pt idx="176">
                  <c:v>6</c:v>
                </c:pt>
                <c:pt idx="177">
                  <c:v>22</c:v>
                </c:pt>
                <c:pt idx="178">
                  <c:v>49</c:v>
                </c:pt>
                <c:pt idx="179">
                  <c:v>11</c:v>
                </c:pt>
                <c:pt idx="180">
                  <c:v>42</c:v>
                </c:pt>
                <c:pt idx="181">
                  <c:v>13</c:v>
                </c:pt>
                <c:pt idx="182">
                  <c:v>49</c:v>
                </c:pt>
                <c:pt idx="183">
                  <c:v>17</c:v>
                </c:pt>
                <c:pt idx="184">
                  <c:v>48</c:v>
                </c:pt>
                <c:pt idx="185">
                  <c:v>42</c:v>
                </c:pt>
                <c:pt idx="186">
                  <c:v>13</c:v>
                </c:pt>
                <c:pt idx="187">
                  <c:v>31</c:v>
                </c:pt>
                <c:pt idx="188">
                  <c:v>35</c:v>
                </c:pt>
                <c:pt idx="189">
                  <c:v>1</c:v>
                </c:pt>
                <c:pt idx="190">
                  <c:v>18</c:v>
                </c:pt>
                <c:pt idx="191">
                  <c:v>5</c:v>
                </c:pt>
                <c:pt idx="192">
                  <c:v>19</c:v>
                </c:pt>
                <c:pt idx="193">
                  <c:v>40</c:v>
                </c:pt>
                <c:pt idx="194">
                  <c:v>46</c:v>
                </c:pt>
                <c:pt idx="195">
                  <c:v>38</c:v>
                </c:pt>
                <c:pt idx="196">
                  <c:v>41</c:v>
                </c:pt>
                <c:pt idx="197">
                  <c:v>30</c:v>
                </c:pt>
                <c:pt idx="198">
                  <c:v>19</c:v>
                </c:pt>
                <c:pt idx="199">
                  <c:v>41</c:v>
                </c:pt>
                <c:pt idx="200">
                  <c:v>36</c:v>
                </c:pt>
                <c:pt idx="201">
                  <c:v>28</c:v>
                </c:pt>
                <c:pt idx="202">
                  <c:v>15</c:v>
                </c:pt>
                <c:pt idx="203">
                  <c:v>23</c:v>
                </c:pt>
                <c:pt idx="204">
                  <c:v>4</c:v>
                </c:pt>
                <c:pt idx="205">
                  <c:v>9</c:v>
                </c:pt>
                <c:pt idx="206">
                  <c:v>41</c:v>
                </c:pt>
                <c:pt idx="207">
                  <c:v>35</c:v>
                </c:pt>
                <c:pt idx="208">
                  <c:v>32</c:v>
                </c:pt>
                <c:pt idx="209">
                  <c:v>49</c:v>
                </c:pt>
                <c:pt idx="210">
                  <c:v>32</c:v>
                </c:pt>
                <c:pt idx="211">
                  <c:v>8</c:v>
                </c:pt>
                <c:pt idx="212">
                  <c:v>2</c:v>
                </c:pt>
                <c:pt idx="213">
                  <c:v>14</c:v>
                </c:pt>
                <c:pt idx="214">
                  <c:v>43</c:v>
                </c:pt>
                <c:pt idx="215">
                  <c:v>12</c:v>
                </c:pt>
                <c:pt idx="216">
                  <c:v>6</c:v>
                </c:pt>
                <c:pt idx="217">
                  <c:v>28</c:v>
                </c:pt>
                <c:pt idx="218">
                  <c:v>22</c:v>
                </c:pt>
                <c:pt idx="219">
                  <c:v>5</c:v>
                </c:pt>
                <c:pt idx="220">
                  <c:v>8</c:v>
                </c:pt>
                <c:pt idx="221">
                  <c:v>39</c:v>
                </c:pt>
                <c:pt idx="222">
                  <c:v>46</c:v>
                </c:pt>
                <c:pt idx="223">
                  <c:v>7</c:v>
                </c:pt>
                <c:pt idx="224">
                  <c:v>7</c:v>
                </c:pt>
                <c:pt idx="225">
                  <c:v>18</c:v>
                </c:pt>
                <c:pt idx="226">
                  <c:v>42</c:v>
                </c:pt>
                <c:pt idx="227">
                  <c:v>32</c:v>
                </c:pt>
                <c:pt idx="228">
                  <c:v>23</c:v>
                </c:pt>
                <c:pt idx="229">
                  <c:v>47</c:v>
                </c:pt>
                <c:pt idx="230">
                  <c:v>49</c:v>
                </c:pt>
                <c:pt idx="231">
                  <c:v>45</c:v>
                </c:pt>
                <c:pt idx="232">
                  <c:v>20</c:v>
                </c:pt>
                <c:pt idx="233">
                  <c:v>18</c:v>
                </c:pt>
                <c:pt idx="234">
                  <c:v>25</c:v>
                </c:pt>
                <c:pt idx="235">
                  <c:v>23</c:v>
                </c:pt>
                <c:pt idx="236">
                  <c:v>18</c:v>
                </c:pt>
                <c:pt idx="237">
                  <c:v>38</c:v>
                </c:pt>
                <c:pt idx="238">
                  <c:v>46</c:v>
                </c:pt>
                <c:pt idx="239">
                  <c:v>42</c:v>
                </c:pt>
                <c:pt idx="240">
                  <c:v>9</c:v>
                </c:pt>
                <c:pt idx="241">
                  <c:v>24</c:v>
                </c:pt>
                <c:pt idx="242">
                  <c:v>28</c:v>
                </c:pt>
                <c:pt idx="243">
                  <c:v>41</c:v>
                </c:pt>
                <c:pt idx="244">
                  <c:v>24</c:v>
                </c:pt>
                <c:pt idx="245">
                  <c:v>18</c:v>
                </c:pt>
                <c:pt idx="246">
                  <c:v>11</c:v>
                </c:pt>
                <c:pt idx="247">
                  <c:v>45</c:v>
                </c:pt>
                <c:pt idx="248">
                  <c:v>50</c:v>
                </c:pt>
                <c:pt idx="249">
                  <c:v>50</c:v>
                </c:pt>
                <c:pt idx="250">
                  <c:v>8</c:v>
                </c:pt>
                <c:pt idx="251">
                  <c:v>26</c:v>
                </c:pt>
                <c:pt idx="252">
                  <c:v>28</c:v>
                </c:pt>
                <c:pt idx="253">
                  <c:v>27</c:v>
                </c:pt>
                <c:pt idx="254">
                  <c:v>20</c:v>
                </c:pt>
                <c:pt idx="255">
                  <c:v>12</c:v>
                </c:pt>
                <c:pt idx="256">
                  <c:v>41</c:v>
                </c:pt>
                <c:pt idx="257">
                  <c:v>21</c:v>
                </c:pt>
                <c:pt idx="258">
                  <c:v>16</c:v>
                </c:pt>
                <c:pt idx="259">
                  <c:v>40</c:v>
                </c:pt>
                <c:pt idx="260">
                  <c:v>29</c:v>
                </c:pt>
                <c:pt idx="261">
                  <c:v>21</c:v>
                </c:pt>
                <c:pt idx="262">
                  <c:v>8</c:v>
                </c:pt>
                <c:pt idx="263">
                  <c:v>7</c:v>
                </c:pt>
                <c:pt idx="264">
                  <c:v>39</c:v>
                </c:pt>
                <c:pt idx="265">
                  <c:v>48</c:v>
                </c:pt>
                <c:pt idx="266">
                  <c:v>1</c:v>
                </c:pt>
                <c:pt idx="267">
                  <c:v>22</c:v>
                </c:pt>
                <c:pt idx="268">
                  <c:v>34</c:v>
                </c:pt>
                <c:pt idx="269">
                  <c:v>23</c:v>
                </c:pt>
                <c:pt idx="270">
                  <c:v>18</c:v>
                </c:pt>
                <c:pt idx="271">
                  <c:v>43</c:v>
                </c:pt>
                <c:pt idx="272">
                  <c:v>23</c:v>
                </c:pt>
                <c:pt idx="273">
                  <c:v>2</c:v>
                </c:pt>
                <c:pt idx="274">
                  <c:v>39</c:v>
                </c:pt>
                <c:pt idx="275">
                  <c:v>21</c:v>
                </c:pt>
                <c:pt idx="276">
                  <c:v>1</c:v>
                </c:pt>
                <c:pt idx="277">
                  <c:v>38</c:v>
                </c:pt>
                <c:pt idx="278">
                  <c:v>30</c:v>
                </c:pt>
                <c:pt idx="279">
                  <c:v>43</c:v>
                </c:pt>
                <c:pt idx="280">
                  <c:v>20</c:v>
                </c:pt>
                <c:pt idx="281">
                  <c:v>45</c:v>
                </c:pt>
                <c:pt idx="282">
                  <c:v>24</c:v>
                </c:pt>
                <c:pt idx="283">
                  <c:v>39</c:v>
                </c:pt>
                <c:pt idx="284">
                  <c:v>49</c:v>
                </c:pt>
                <c:pt idx="285">
                  <c:v>35</c:v>
                </c:pt>
                <c:pt idx="286">
                  <c:v>22</c:v>
                </c:pt>
                <c:pt idx="287">
                  <c:v>28</c:v>
                </c:pt>
                <c:pt idx="288">
                  <c:v>44</c:v>
                </c:pt>
                <c:pt idx="289">
                  <c:v>3</c:v>
                </c:pt>
                <c:pt idx="290">
                  <c:v>21</c:v>
                </c:pt>
                <c:pt idx="291">
                  <c:v>10</c:v>
                </c:pt>
                <c:pt idx="292">
                  <c:v>18</c:v>
                </c:pt>
                <c:pt idx="293">
                  <c:v>26</c:v>
                </c:pt>
                <c:pt idx="294">
                  <c:v>0</c:v>
                </c:pt>
                <c:pt idx="295">
                  <c:v>29</c:v>
                </c:pt>
                <c:pt idx="296">
                  <c:v>29</c:v>
                </c:pt>
                <c:pt idx="297">
                  <c:v>45</c:v>
                </c:pt>
                <c:pt idx="298">
                  <c:v>39</c:v>
                </c:pt>
                <c:pt idx="299">
                  <c:v>11</c:v>
                </c:pt>
                <c:pt idx="300">
                  <c:v>28</c:v>
                </c:pt>
                <c:pt idx="301">
                  <c:v>41</c:v>
                </c:pt>
                <c:pt idx="302">
                  <c:v>25</c:v>
                </c:pt>
                <c:pt idx="303">
                  <c:v>39</c:v>
                </c:pt>
                <c:pt idx="304">
                  <c:v>44</c:v>
                </c:pt>
                <c:pt idx="305">
                  <c:v>50</c:v>
                </c:pt>
                <c:pt idx="306">
                  <c:v>7</c:v>
                </c:pt>
                <c:pt idx="307">
                  <c:v>20</c:v>
                </c:pt>
                <c:pt idx="308">
                  <c:v>32</c:v>
                </c:pt>
                <c:pt idx="309">
                  <c:v>3</c:v>
                </c:pt>
                <c:pt idx="310">
                  <c:v>0</c:v>
                </c:pt>
                <c:pt idx="311">
                  <c:v>34</c:v>
                </c:pt>
                <c:pt idx="312">
                  <c:v>49</c:v>
                </c:pt>
                <c:pt idx="313">
                  <c:v>5</c:v>
                </c:pt>
                <c:pt idx="314">
                  <c:v>34</c:v>
                </c:pt>
                <c:pt idx="315">
                  <c:v>29</c:v>
                </c:pt>
                <c:pt idx="316">
                  <c:v>29</c:v>
                </c:pt>
                <c:pt idx="317">
                  <c:v>42</c:v>
                </c:pt>
                <c:pt idx="318">
                  <c:v>2</c:v>
                </c:pt>
                <c:pt idx="319">
                  <c:v>25</c:v>
                </c:pt>
                <c:pt idx="320">
                  <c:v>32</c:v>
                </c:pt>
                <c:pt idx="321">
                  <c:v>19</c:v>
                </c:pt>
                <c:pt idx="322">
                  <c:v>37</c:v>
                </c:pt>
                <c:pt idx="323">
                  <c:v>22</c:v>
                </c:pt>
                <c:pt idx="324">
                  <c:v>19</c:v>
                </c:pt>
                <c:pt idx="325">
                  <c:v>45</c:v>
                </c:pt>
                <c:pt idx="326">
                  <c:v>33</c:v>
                </c:pt>
                <c:pt idx="327">
                  <c:v>23</c:v>
                </c:pt>
                <c:pt idx="328">
                  <c:v>38</c:v>
                </c:pt>
                <c:pt idx="329">
                  <c:v>13</c:v>
                </c:pt>
                <c:pt idx="330">
                  <c:v>15</c:v>
                </c:pt>
                <c:pt idx="331">
                  <c:v>20</c:v>
                </c:pt>
                <c:pt idx="332">
                  <c:v>16</c:v>
                </c:pt>
                <c:pt idx="333">
                  <c:v>13</c:v>
                </c:pt>
                <c:pt idx="334">
                  <c:v>1</c:v>
                </c:pt>
                <c:pt idx="335">
                  <c:v>12</c:v>
                </c:pt>
                <c:pt idx="336">
                  <c:v>41</c:v>
                </c:pt>
                <c:pt idx="337">
                  <c:v>10</c:v>
                </c:pt>
                <c:pt idx="338">
                  <c:v>34</c:v>
                </c:pt>
                <c:pt idx="339">
                  <c:v>48</c:v>
                </c:pt>
                <c:pt idx="340">
                  <c:v>13</c:v>
                </c:pt>
                <c:pt idx="341">
                  <c:v>1</c:v>
                </c:pt>
                <c:pt idx="342">
                  <c:v>34</c:v>
                </c:pt>
                <c:pt idx="343">
                  <c:v>6</c:v>
                </c:pt>
                <c:pt idx="344">
                  <c:v>17</c:v>
                </c:pt>
                <c:pt idx="345">
                  <c:v>19</c:v>
                </c:pt>
                <c:pt idx="346">
                  <c:v>24</c:v>
                </c:pt>
                <c:pt idx="347">
                  <c:v>31</c:v>
                </c:pt>
                <c:pt idx="348">
                  <c:v>13</c:v>
                </c:pt>
                <c:pt idx="349">
                  <c:v>34</c:v>
                </c:pt>
                <c:pt idx="350">
                  <c:v>9</c:v>
                </c:pt>
                <c:pt idx="351">
                  <c:v>24</c:v>
                </c:pt>
                <c:pt idx="352">
                  <c:v>32</c:v>
                </c:pt>
                <c:pt idx="353">
                  <c:v>38</c:v>
                </c:pt>
                <c:pt idx="354">
                  <c:v>40</c:v>
                </c:pt>
                <c:pt idx="355">
                  <c:v>11</c:v>
                </c:pt>
                <c:pt idx="356">
                  <c:v>15</c:v>
                </c:pt>
                <c:pt idx="357">
                  <c:v>20</c:v>
                </c:pt>
                <c:pt idx="358">
                  <c:v>48</c:v>
                </c:pt>
                <c:pt idx="359">
                  <c:v>35</c:v>
                </c:pt>
                <c:pt idx="360">
                  <c:v>38</c:v>
                </c:pt>
                <c:pt idx="361">
                  <c:v>15</c:v>
                </c:pt>
                <c:pt idx="362">
                  <c:v>19</c:v>
                </c:pt>
                <c:pt idx="363">
                  <c:v>19</c:v>
                </c:pt>
                <c:pt idx="364">
                  <c:v>39</c:v>
                </c:pt>
                <c:pt idx="365">
                  <c:v>39</c:v>
                </c:pt>
                <c:pt idx="366">
                  <c:v>20</c:v>
                </c:pt>
                <c:pt idx="367">
                  <c:v>18</c:v>
                </c:pt>
                <c:pt idx="368">
                  <c:v>23</c:v>
                </c:pt>
                <c:pt idx="369">
                  <c:v>1</c:v>
                </c:pt>
                <c:pt idx="370">
                  <c:v>50</c:v>
                </c:pt>
                <c:pt idx="371">
                  <c:v>45</c:v>
                </c:pt>
                <c:pt idx="372">
                  <c:v>25</c:v>
                </c:pt>
                <c:pt idx="373">
                  <c:v>38</c:v>
                </c:pt>
                <c:pt idx="374">
                  <c:v>41</c:v>
                </c:pt>
                <c:pt idx="375">
                  <c:v>50</c:v>
                </c:pt>
                <c:pt idx="376">
                  <c:v>23</c:v>
                </c:pt>
                <c:pt idx="377">
                  <c:v>1</c:v>
                </c:pt>
                <c:pt idx="378">
                  <c:v>46</c:v>
                </c:pt>
                <c:pt idx="379">
                  <c:v>30</c:v>
                </c:pt>
                <c:pt idx="380">
                  <c:v>4</c:v>
                </c:pt>
                <c:pt idx="381">
                  <c:v>43</c:v>
                </c:pt>
                <c:pt idx="382">
                  <c:v>27</c:v>
                </c:pt>
                <c:pt idx="383">
                  <c:v>1</c:v>
                </c:pt>
                <c:pt idx="384">
                  <c:v>45</c:v>
                </c:pt>
                <c:pt idx="385">
                  <c:v>6</c:v>
                </c:pt>
                <c:pt idx="386">
                  <c:v>42</c:v>
                </c:pt>
                <c:pt idx="387">
                  <c:v>7</c:v>
                </c:pt>
                <c:pt idx="388">
                  <c:v>37</c:v>
                </c:pt>
                <c:pt idx="389">
                  <c:v>23</c:v>
                </c:pt>
                <c:pt idx="390">
                  <c:v>24</c:v>
                </c:pt>
                <c:pt idx="391">
                  <c:v>10</c:v>
                </c:pt>
                <c:pt idx="392">
                  <c:v>3</c:v>
                </c:pt>
                <c:pt idx="393">
                  <c:v>32</c:v>
                </c:pt>
                <c:pt idx="394">
                  <c:v>10</c:v>
                </c:pt>
                <c:pt idx="395">
                  <c:v>34</c:v>
                </c:pt>
                <c:pt idx="396">
                  <c:v>32</c:v>
                </c:pt>
                <c:pt idx="397">
                  <c:v>48</c:v>
                </c:pt>
                <c:pt idx="398">
                  <c:v>19</c:v>
                </c:pt>
                <c:pt idx="399">
                  <c:v>7</c:v>
                </c:pt>
                <c:pt idx="400">
                  <c:v>39</c:v>
                </c:pt>
                <c:pt idx="401">
                  <c:v>34</c:v>
                </c:pt>
                <c:pt idx="402">
                  <c:v>43</c:v>
                </c:pt>
                <c:pt idx="403">
                  <c:v>15</c:v>
                </c:pt>
                <c:pt idx="404">
                  <c:v>40</c:v>
                </c:pt>
                <c:pt idx="405">
                  <c:v>32</c:v>
                </c:pt>
                <c:pt idx="406">
                  <c:v>37</c:v>
                </c:pt>
                <c:pt idx="407">
                  <c:v>50</c:v>
                </c:pt>
                <c:pt idx="408">
                  <c:v>20</c:v>
                </c:pt>
                <c:pt idx="409">
                  <c:v>43</c:v>
                </c:pt>
                <c:pt idx="410">
                  <c:v>7</c:v>
                </c:pt>
                <c:pt idx="411">
                  <c:v>44</c:v>
                </c:pt>
                <c:pt idx="412">
                  <c:v>5</c:v>
                </c:pt>
                <c:pt idx="413">
                  <c:v>41</c:v>
                </c:pt>
                <c:pt idx="414">
                  <c:v>14</c:v>
                </c:pt>
                <c:pt idx="415">
                  <c:v>44</c:v>
                </c:pt>
                <c:pt idx="416">
                  <c:v>20</c:v>
                </c:pt>
                <c:pt idx="417">
                  <c:v>4</c:v>
                </c:pt>
                <c:pt idx="418">
                  <c:v>46</c:v>
                </c:pt>
                <c:pt idx="419">
                  <c:v>6</c:v>
                </c:pt>
                <c:pt idx="420">
                  <c:v>50</c:v>
                </c:pt>
                <c:pt idx="421">
                  <c:v>38</c:v>
                </c:pt>
                <c:pt idx="422">
                  <c:v>13</c:v>
                </c:pt>
                <c:pt idx="423">
                  <c:v>50</c:v>
                </c:pt>
                <c:pt idx="424">
                  <c:v>0</c:v>
                </c:pt>
                <c:pt idx="425">
                  <c:v>34</c:v>
                </c:pt>
                <c:pt idx="426">
                  <c:v>16</c:v>
                </c:pt>
                <c:pt idx="427">
                  <c:v>44</c:v>
                </c:pt>
                <c:pt idx="428">
                  <c:v>5</c:v>
                </c:pt>
                <c:pt idx="429">
                  <c:v>20</c:v>
                </c:pt>
                <c:pt idx="430">
                  <c:v>44</c:v>
                </c:pt>
                <c:pt idx="431">
                  <c:v>29</c:v>
                </c:pt>
                <c:pt idx="432">
                  <c:v>0</c:v>
                </c:pt>
                <c:pt idx="433">
                  <c:v>33</c:v>
                </c:pt>
                <c:pt idx="434">
                  <c:v>49</c:v>
                </c:pt>
                <c:pt idx="435">
                  <c:v>40</c:v>
                </c:pt>
                <c:pt idx="436">
                  <c:v>10</c:v>
                </c:pt>
                <c:pt idx="437">
                  <c:v>47</c:v>
                </c:pt>
                <c:pt idx="438">
                  <c:v>24</c:v>
                </c:pt>
                <c:pt idx="439">
                  <c:v>20</c:v>
                </c:pt>
                <c:pt idx="440">
                  <c:v>23</c:v>
                </c:pt>
                <c:pt idx="441">
                  <c:v>25</c:v>
                </c:pt>
                <c:pt idx="442">
                  <c:v>23</c:v>
                </c:pt>
                <c:pt idx="443">
                  <c:v>23</c:v>
                </c:pt>
                <c:pt idx="444">
                  <c:v>0</c:v>
                </c:pt>
                <c:pt idx="445">
                  <c:v>0</c:v>
                </c:pt>
                <c:pt idx="446">
                  <c:v>26</c:v>
                </c:pt>
                <c:pt idx="447">
                  <c:v>33</c:v>
                </c:pt>
                <c:pt idx="448">
                  <c:v>4</c:v>
                </c:pt>
                <c:pt idx="449">
                  <c:v>18</c:v>
                </c:pt>
                <c:pt idx="450">
                  <c:v>28</c:v>
                </c:pt>
                <c:pt idx="451">
                  <c:v>6</c:v>
                </c:pt>
                <c:pt idx="452">
                  <c:v>28</c:v>
                </c:pt>
                <c:pt idx="453">
                  <c:v>2</c:v>
                </c:pt>
                <c:pt idx="454">
                  <c:v>32</c:v>
                </c:pt>
                <c:pt idx="455">
                  <c:v>35</c:v>
                </c:pt>
                <c:pt idx="456">
                  <c:v>0</c:v>
                </c:pt>
                <c:pt idx="457">
                  <c:v>37</c:v>
                </c:pt>
                <c:pt idx="458">
                  <c:v>8</c:v>
                </c:pt>
                <c:pt idx="459">
                  <c:v>36</c:v>
                </c:pt>
                <c:pt idx="460">
                  <c:v>22</c:v>
                </c:pt>
                <c:pt idx="461">
                  <c:v>39</c:v>
                </c:pt>
                <c:pt idx="462">
                  <c:v>30</c:v>
                </c:pt>
                <c:pt idx="463">
                  <c:v>15</c:v>
                </c:pt>
                <c:pt idx="464">
                  <c:v>34</c:v>
                </c:pt>
                <c:pt idx="465">
                  <c:v>1</c:v>
                </c:pt>
                <c:pt idx="466">
                  <c:v>30</c:v>
                </c:pt>
                <c:pt idx="467">
                  <c:v>42</c:v>
                </c:pt>
                <c:pt idx="468">
                  <c:v>24</c:v>
                </c:pt>
                <c:pt idx="469">
                  <c:v>1</c:v>
                </c:pt>
                <c:pt idx="470">
                  <c:v>34</c:v>
                </c:pt>
                <c:pt idx="471">
                  <c:v>14</c:v>
                </c:pt>
                <c:pt idx="472">
                  <c:v>21</c:v>
                </c:pt>
                <c:pt idx="473">
                  <c:v>49</c:v>
                </c:pt>
                <c:pt idx="474">
                  <c:v>6</c:v>
                </c:pt>
                <c:pt idx="475">
                  <c:v>41</c:v>
                </c:pt>
                <c:pt idx="476">
                  <c:v>42</c:v>
                </c:pt>
                <c:pt idx="477">
                  <c:v>11</c:v>
                </c:pt>
                <c:pt idx="478">
                  <c:v>38</c:v>
                </c:pt>
                <c:pt idx="479">
                  <c:v>21</c:v>
                </c:pt>
                <c:pt idx="480">
                  <c:v>45</c:v>
                </c:pt>
                <c:pt idx="481">
                  <c:v>22</c:v>
                </c:pt>
                <c:pt idx="482">
                  <c:v>10</c:v>
                </c:pt>
                <c:pt idx="483">
                  <c:v>50</c:v>
                </c:pt>
                <c:pt idx="484">
                  <c:v>1</c:v>
                </c:pt>
                <c:pt idx="485">
                  <c:v>46</c:v>
                </c:pt>
                <c:pt idx="486">
                  <c:v>27</c:v>
                </c:pt>
                <c:pt idx="487">
                  <c:v>13</c:v>
                </c:pt>
                <c:pt idx="488">
                  <c:v>19</c:v>
                </c:pt>
                <c:pt idx="489">
                  <c:v>3</c:v>
                </c:pt>
                <c:pt idx="490">
                  <c:v>6</c:v>
                </c:pt>
                <c:pt idx="491">
                  <c:v>7</c:v>
                </c:pt>
                <c:pt idx="492">
                  <c:v>41</c:v>
                </c:pt>
                <c:pt idx="493">
                  <c:v>28</c:v>
                </c:pt>
                <c:pt idx="494">
                  <c:v>3</c:v>
                </c:pt>
                <c:pt idx="495">
                  <c:v>14</c:v>
                </c:pt>
                <c:pt idx="496">
                  <c:v>15</c:v>
                </c:pt>
                <c:pt idx="497">
                  <c:v>36</c:v>
                </c:pt>
                <c:pt idx="498">
                  <c:v>10</c:v>
                </c:pt>
                <c:pt idx="499">
                  <c:v>40</c:v>
                </c:pt>
              </c:numCache>
            </c:numRef>
          </c:xVal>
          <c:yVal>
            <c:numRef>
              <c:f>ScatterData!$B$2:$B$501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0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0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0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0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0</c:v>
                </c:pt>
                <c:pt idx="499">
                  <c:v>1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Support Tickets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Retention Flag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Monthly Spend by Retention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Spend</c:v>
          </c:tx>
          <c:cat>
            <c:strRef>
              <c:f>Lists!$C$2:$C$3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Lists!$D$2:$D$3</c:f>
              <c:numCache>
                <c:formatCode>General</c:formatCode>
                <c:ptCount val="2"/>
                <c:pt idx="0">
                  <c:v>38563.47438752784</c:v>
                </c:pt>
                <c:pt idx="1">
                  <c:v>44117.64705882353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Retention Status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Spend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10</xdr:row>
      <xdr:rowOff>0</xdr:rowOff>
    </xdr:from>
    <xdr:to>
      <xdr:col>12</xdr:col>
      <xdr:colOff>542925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18</xdr:row>
      <xdr:rowOff>0</xdr:rowOff>
    </xdr:from>
    <xdr:to>
      <xdr:col>12</xdr:col>
      <xdr:colOff>542925</xdr:colOff>
      <xdr:row>32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238125</xdr:colOff>
      <xdr:row>25</xdr:row>
      <xdr:rowOff>0</xdr:rowOff>
    </xdr:from>
    <xdr:to>
      <xdr:col>12</xdr:col>
      <xdr:colOff>542925</xdr:colOff>
      <xdr:row>39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238125</xdr:colOff>
      <xdr:row>34</xdr:row>
      <xdr:rowOff>0</xdr:rowOff>
    </xdr:from>
    <xdr:to>
      <xdr:col>12</xdr:col>
      <xdr:colOff>542925</xdr:colOff>
      <xdr:row>48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3</xdr:col>
      <xdr:colOff>476250</xdr:colOff>
      <xdr:row>59</xdr:row>
      <xdr:rowOff>123825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11</xdr:col>
      <xdr:colOff>0</xdr:colOff>
      <xdr:row>62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t="s">
        <v>0</v>
      </c>
      <c r="B1" t="s">
        <v>501</v>
      </c>
      <c r="C1" t="s">
        <v>507</v>
      </c>
      <c r="D1" t="s">
        <v>861</v>
      </c>
      <c r="E1" t="s">
        <v>899</v>
      </c>
      <c r="F1" t="s">
        <v>903</v>
      </c>
      <c r="G1" t="s">
        <v>904</v>
      </c>
      <c r="H1" t="s">
        <v>905</v>
      </c>
      <c r="I1" t="s">
        <v>906</v>
      </c>
      <c r="J1" t="s">
        <v>910</v>
      </c>
    </row>
    <row r="2" spans="1:10">
      <c r="A2" t="s">
        <v>1</v>
      </c>
      <c r="B2" t="s">
        <v>502</v>
      </c>
      <c r="C2" t="s">
        <v>508</v>
      </c>
      <c r="E2" t="s">
        <v>900</v>
      </c>
      <c r="F2">
        <v>5000</v>
      </c>
      <c r="G2">
        <v>43</v>
      </c>
      <c r="H2">
        <v>95</v>
      </c>
      <c r="I2" t="s">
        <v>907</v>
      </c>
      <c r="J2" t="s">
        <v>909</v>
      </c>
    </row>
    <row r="3" spans="1:10">
      <c r="A3" t="s">
        <v>2</v>
      </c>
      <c r="B3" t="s">
        <v>503</v>
      </c>
      <c r="C3" t="s">
        <v>509</v>
      </c>
      <c r="E3" t="s">
        <v>900</v>
      </c>
      <c r="F3">
        <v>5000</v>
      </c>
      <c r="G3">
        <v>13</v>
      </c>
      <c r="H3">
        <v>30</v>
      </c>
      <c r="I3" t="s">
        <v>907</v>
      </c>
      <c r="J3" t="s">
        <v>909</v>
      </c>
    </row>
    <row r="4" spans="1:10">
      <c r="A4" t="s">
        <v>3</v>
      </c>
      <c r="B4" t="s">
        <v>503</v>
      </c>
      <c r="C4" t="s">
        <v>510</v>
      </c>
      <c r="E4" t="s">
        <v>901</v>
      </c>
      <c r="F4">
        <v>10000</v>
      </c>
      <c r="G4">
        <v>28</v>
      </c>
      <c r="H4">
        <v>76</v>
      </c>
      <c r="I4" t="s">
        <v>908</v>
      </c>
      <c r="J4" t="s">
        <v>909</v>
      </c>
    </row>
    <row r="5" spans="1:10">
      <c r="A5" t="s">
        <v>4</v>
      </c>
      <c r="B5" t="s">
        <v>504</v>
      </c>
      <c r="C5" t="s">
        <v>511</v>
      </c>
      <c r="E5" t="s">
        <v>900</v>
      </c>
      <c r="F5">
        <v>20000</v>
      </c>
      <c r="G5">
        <v>9</v>
      </c>
      <c r="H5">
        <v>28</v>
      </c>
      <c r="I5" t="s">
        <v>908</v>
      </c>
      <c r="J5" t="s">
        <v>908</v>
      </c>
    </row>
    <row r="6" spans="1:10">
      <c r="A6" t="s">
        <v>5</v>
      </c>
      <c r="B6" t="s">
        <v>504</v>
      </c>
      <c r="C6" t="s">
        <v>512</v>
      </c>
      <c r="E6" t="s">
        <v>900</v>
      </c>
      <c r="F6">
        <v>20000</v>
      </c>
      <c r="G6">
        <v>38</v>
      </c>
      <c r="H6">
        <v>34</v>
      </c>
      <c r="I6" t="s">
        <v>908</v>
      </c>
      <c r="J6" t="s">
        <v>909</v>
      </c>
    </row>
    <row r="7" spans="1:10">
      <c r="A7" t="s">
        <v>6</v>
      </c>
      <c r="B7" t="s">
        <v>502</v>
      </c>
      <c r="C7" t="s">
        <v>513</v>
      </c>
      <c r="E7" t="s">
        <v>901</v>
      </c>
      <c r="F7">
        <v>5000</v>
      </c>
      <c r="G7">
        <v>35</v>
      </c>
      <c r="H7">
        <v>38</v>
      </c>
      <c r="I7" t="s">
        <v>908</v>
      </c>
      <c r="J7" t="s">
        <v>909</v>
      </c>
    </row>
    <row r="8" spans="1:10">
      <c r="A8" t="s">
        <v>7</v>
      </c>
      <c r="B8" t="s">
        <v>503</v>
      </c>
      <c r="C8" t="s">
        <v>514</v>
      </c>
      <c r="E8" t="s">
        <v>902</v>
      </c>
      <c r="F8">
        <v>5000</v>
      </c>
      <c r="G8">
        <v>42</v>
      </c>
      <c r="H8">
        <v>30</v>
      </c>
      <c r="I8" t="s">
        <v>907</v>
      </c>
      <c r="J8" t="s">
        <v>909</v>
      </c>
    </row>
    <row r="9" spans="1:10">
      <c r="A9" t="s">
        <v>8</v>
      </c>
      <c r="B9" t="s">
        <v>504</v>
      </c>
      <c r="C9" t="s">
        <v>515</v>
      </c>
      <c r="E9" t="s">
        <v>900</v>
      </c>
      <c r="F9">
        <v>20000</v>
      </c>
      <c r="G9">
        <v>29</v>
      </c>
      <c r="H9">
        <v>82</v>
      </c>
      <c r="I9" t="s">
        <v>908</v>
      </c>
      <c r="J9" t="s">
        <v>909</v>
      </c>
    </row>
    <row r="10" spans="1:10">
      <c r="A10" t="s">
        <v>9</v>
      </c>
      <c r="B10" t="s">
        <v>504</v>
      </c>
      <c r="C10" t="s">
        <v>516</v>
      </c>
      <c r="E10" t="s">
        <v>900</v>
      </c>
      <c r="F10">
        <v>5000</v>
      </c>
      <c r="G10">
        <v>38</v>
      </c>
      <c r="H10">
        <v>82</v>
      </c>
      <c r="I10" t="s">
        <v>908</v>
      </c>
      <c r="J10" t="s">
        <v>909</v>
      </c>
    </row>
    <row r="11" spans="1:10">
      <c r="A11" t="s">
        <v>10</v>
      </c>
      <c r="B11" t="s">
        <v>505</v>
      </c>
      <c r="C11" t="s">
        <v>517</v>
      </c>
      <c r="D11" t="s">
        <v>862</v>
      </c>
      <c r="E11" t="s">
        <v>901</v>
      </c>
      <c r="F11">
        <v>20000</v>
      </c>
      <c r="G11">
        <v>40</v>
      </c>
      <c r="H11">
        <v>89</v>
      </c>
      <c r="I11" t="s">
        <v>909</v>
      </c>
      <c r="J11" t="s">
        <v>909</v>
      </c>
    </row>
    <row r="12" spans="1:10">
      <c r="A12" t="s">
        <v>11</v>
      </c>
      <c r="B12" t="s">
        <v>503</v>
      </c>
      <c r="C12" t="s">
        <v>518</v>
      </c>
      <c r="E12" t="s">
        <v>900</v>
      </c>
      <c r="F12">
        <v>10000</v>
      </c>
      <c r="G12">
        <v>2</v>
      </c>
      <c r="H12">
        <v>41</v>
      </c>
      <c r="I12" t="s">
        <v>907</v>
      </c>
      <c r="J12" t="s">
        <v>908</v>
      </c>
    </row>
    <row r="13" spans="1:10">
      <c r="A13" t="s">
        <v>12</v>
      </c>
      <c r="B13" t="s">
        <v>506</v>
      </c>
      <c r="C13" t="s">
        <v>519</v>
      </c>
      <c r="E13" t="s">
        <v>902</v>
      </c>
      <c r="F13">
        <v>10000</v>
      </c>
      <c r="G13">
        <v>41</v>
      </c>
      <c r="H13">
        <v>64</v>
      </c>
      <c r="I13" t="s">
        <v>908</v>
      </c>
      <c r="J13" t="s">
        <v>909</v>
      </c>
    </row>
    <row r="14" spans="1:10">
      <c r="A14" t="s">
        <v>13</v>
      </c>
      <c r="B14" t="s">
        <v>506</v>
      </c>
      <c r="C14" t="s">
        <v>520</v>
      </c>
      <c r="D14" t="s">
        <v>629</v>
      </c>
      <c r="E14" t="s">
        <v>901</v>
      </c>
      <c r="F14">
        <v>10000</v>
      </c>
      <c r="G14">
        <v>47</v>
      </c>
      <c r="H14">
        <v>72</v>
      </c>
      <c r="I14" t="s">
        <v>909</v>
      </c>
      <c r="J14" t="s">
        <v>909</v>
      </c>
    </row>
    <row r="15" spans="1:10">
      <c r="A15" t="s">
        <v>14</v>
      </c>
      <c r="B15" t="s">
        <v>503</v>
      </c>
      <c r="C15" t="s">
        <v>521</v>
      </c>
      <c r="E15" t="s">
        <v>902</v>
      </c>
      <c r="F15">
        <v>20000</v>
      </c>
      <c r="G15">
        <v>14</v>
      </c>
      <c r="H15">
        <v>18</v>
      </c>
      <c r="I15" t="s">
        <v>908</v>
      </c>
      <c r="J15" t="s">
        <v>909</v>
      </c>
    </row>
    <row r="16" spans="1:10">
      <c r="A16" t="s">
        <v>15</v>
      </c>
      <c r="B16" t="s">
        <v>503</v>
      </c>
      <c r="C16" t="s">
        <v>522</v>
      </c>
      <c r="E16" t="s">
        <v>902</v>
      </c>
      <c r="F16">
        <v>10000</v>
      </c>
      <c r="G16">
        <v>40</v>
      </c>
      <c r="H16">
        <v>21</v>
      </c>
      <c r="I16" t="s">
        <v>907</v>
      </c>
      <c r="J16" t="s">
        <v>909</v>
      </c>
    </row>
    <row r="17" spans="1:10">
      <c r="A17" t="s">
        <v>16</v>
      </c>
      <c r="B17" t="s">
        <v>506</v>
      </c>
      <c r="C17" t="s">
        <v>523</v>
      </c>
      <c r="E17" t="s">
        <v>901</v>
      </c>
      <c r="F17">
        <v>100000</v>
      </c>
      <c r="G17">
        <v>16</v>
      </c>
      <c r="H17">
        <v>71</v>
      </c>
      <c r="I17" t="s">
        <v>908</v>
      </c>
      <c r="J17" t="s">
        <v>911</v>
      </c>
    </row>
    <row r="18" spans="1:10">
      <c r="A18" t="s">
        <v>17</v>
      </c>
      <c r="B18" t="s">
        <v>502</v>
      </c>
      <c r="C18" t="s">
        <v>524</v>
      </c>
      <c r="E18" t="s">
        <v>901</v>
      </c>
      <c r="F18">
        <v>20000</v>
      </c>
      <c r="G18">
        <v>7</v>
      </c>
      <c r="H18">
        <v>38</v>
      </c>
      <c r="I18" t="s">
        <v>908</v>
      </c>
      <c r="J18" t="s">
        <v>908</v>
      </c>
    </row>
    <row r="19" spans="1:10">
      <c r="A19" t="s">
        <v>18</v>
      </c>
      <c r="B19" t="s">
        <v>506</v>
      </c>
      <c r="C19" t="s">
        <v>525</v>
      </c>
      <c r="D19" t="s">
        <v>863</v>
      </c>
      <c r="E19" t="s">
        <v>900</v>
      </c>
      <c r="F19">
        <v>100000</v>
      </c>
      <c r="G19">
        <v>48</v>
      </c>
      <c r="H19">
        <v>23</v>
      </c>
      <c r="I19" t="s">
        <v>909</v>
      </c>
      <c r="J19" t="s">
        <v>909</v>
      </c>
    </row>
    <row r="20" spans="1:10">
      <c r="A20" t="s">
        <v>19</v>
      </c>
      <c r="B20" t="s">
        <v>503</v>
      </c>
      <c r="C20" t="s">
        <v>526</v>
      </c>
      <c r="E20" t="s">
        <v>900</v>
      </c>
      <c r="F20">
        <v>10000</v>
      </c>
      <c r="G20">
        <v>23</v>
      </c>
      <c r="H20">
        <v>98</v>
      </c>
      <c r="I20" t="s">
        <v>907</v>
      </c>
      <c r="J20" t="s">
        <v>908</v>
      </c>
    </row>
    <row r="21" spans="1:10">
      <c r="A21" t="s">
        <v>20</v>
      </c>
      <c r="B21" t="s">
        <v>505</v>
      </c>
      <c r="C21" t="s">
        <v>527</v>
      </c>
      <c r="E21" t="s">
        <v>901</v>
      </c>
      <c r="F21">
        <v>50000</v>
      </c>
      <c r="G21">
        <v>1</v>
      </c>
      <c r="H21">
        <v>15</v>
      </c>
      <c r="I21" t="s">
        <v>908</v>
      </c>
      <c r="J21" t="s">
        <v>908</v>
      </c>
    </row>
    <row r="22" spans="1:10">
      <c r="A22" t="s">
        <v>21</v>
      </c>
      <c r="B22" t="s">
        <v>504</v>
      </c>
      <c r="C22" t="s">
        <v>528</v>
      </c>
      <c r="D22" t="s">
        <v>864</v>
      </c>
      <c r="E22" t="s">
        <v>902</v>
      </c>
      <c r="F22">
        <v>5000</v>
      </c>
      <c r="G22">
        <v>5</v>
      </c>
      <c r="H22">
        <v>94</v>
      </c>
      <c r="I22" t="s">
        <v>909</v>
      </c>
      <c r="J22" t="s">
        <v>911</v>
      </c>
    </row>
    <row r="23" spans="1:10">
      <c r="A23" t="s">
        <v>22</v>
      </c>
      <c r="B23" t="s">
        <v>506</v>
      </c>
      <c r="C23" t="s">
        <v>529</v>
      </c>
      <c r="E23" t="s">
        <v>900</v>
      </c>
      <c r="F23">
        <v>50000</v>
      </c>
      <c r="G23">
        <v>35</v>
      </c>
      <c r="H23">
        <v>22</v>
      </c>
      <c r="I23" t="s">
        <v>907</v>
      </c>
      <c r="J23" t="s">
        <v>909</v>
      </c>
    </row>
    <row r="24" spans="1:10">
      <c r="A24" t="s">
        <v>23</v>
      </c>
      <c r="B24" t="s">
        <v>504</v>
      </c>
      <c r="C24" t="s">
        <v>530</v>
      </c>
      <c r="E24" t="s">
        <v>901</v>
      </c>
      <c r="F24">
        <v>100000</v>
      </c>
      <c r="G24">
        <v>48</v>
      </c>
      <c r="H24">
        <v>94</v>
      </c>
      <c r="I24" t="s">
        <v>907</v>
      </c>
      <c r="J24" t="s">
        <v>908</v>
      </c>
    </row>
    <row r="25" spans="1:10">
      <c r="A25" t="s">
        <v>24</v>
      </c>
      <c r="B25" t="s">
        <v>505</v>
      </c>
      <c r="C25" t="s">
        <v>531</v>
      </c>
      <c r="E25" t="s">
        <v>901</v>
      </c>
      <c r="F25">
        <v>50000</v>
      </c>
      <c r="G25">
        <v>33</v>
      </c>
      <c r="H25">
        <v>58</v>
      </c>
      <c r="I25" t="s">
        <v>908</v>
      </c>
      <c r="J25" t="s">
        <v>909</v>
      </c>
    </row>
    <row r="26" spans="1:10">
      <c r="A26" t="s">
        <v>25</v>
      </c>
      <c r="B26" t="s">
        <v>502</v>
      </c>
      <c r="C26" t="s">
        <v>532</v>
      </c>
      <c r="E26" t="s">
        <v>900</v>
      </c>
      <c r="F26">
        <v>100000</v>
      </c>
      <c r="G26">
        <v>35</v>
      </c>
      <c r="H26">
        <v>30</v>
      </c>
      <c r="I26" t="s">
        <v>907</v>
      </c>
      <c r="J26" t="s">
        <v>909</v>
      </c>
    </row>
    <row r="27" spans="1:10">
      <c r="A27" t="s">
        <v>26</v>
      </c>
      <c r="B27" t="s">
        <v>503</v>
      </c>
      <c r="C27" t="s">
        <v>533</v>
      </c>
      <c r="E27" t="s">
        <v>900</v>
      </c>
      <c r="F27">
        <v>10000</v>
      </c>
      <c r="G27">
        <v>4</v>
      </c>
      <c r="H27">
        <v>5</v>
      </c>
      <c r="I27" t="s">
        <v>907</v>
      </c>
      <c r="J27" t="s">
        <v>909</v>
      </c>
    </row>
    <row r="28" spans="1:10">
      <c r="A28" t="s">
        <v>27</v>
      </c>
      <c r="B28" t="s">
        <v>504</v>
      </c>
      <c r="C28" t="s">
        <v>534</v>
      </c>
      <c r="E28" t="s">
        <v>900</v>
      </c>
      <c r="F28">
        <v>10000</v>
      </c>
      <c r="G28">
        <v>34</v>
      </c>
      <c r="H28">
        <v>17</v>
      </c>
      <c r="I28" t="s">
        <v>908</v>
      </c>
      <c r="J28" t="s">
        <v>909</v>
      </c>
    </row>
    <row r="29" spans="1:10">
      <c r="A29" t="s">
        <v>28</v>
      </c>
      <c r="B29" t="s">
        <v>503</v>
      </c>
      <c r="C29" t="s">
        <v>535</v>
      </c>
      <c r="E29" t="s">
        <v>901</v>
      </c>
      <c r="F29">
        <v>50000</v>
      </c>
      <c r="G29">
        <v>12</v>
      </c>
      <c r="H29">
        <v>13</v>
      </c>
      <c r="I29" t="s">
        <v>908</v>
      </c>
      <c r="J29" t="s">
        <v>908</v>
      </c>
    </row>
    <row r="30" spans="1:10">
      <c r="A30" t="s">
        <v>29</v>
      </c>
      <c r="B30" t="s">
        <v>502</v>
      </c>
      <c r="C30" t="s">
        <v>536</v>
      </c>
      <c r="E30" t="s">
        <v>901</v>
      </c>
      <c r="F30">
        <v>50000</v>
      </c>
      <c r="G30">
        <v>46</v>
      </c>
      <c r="H30">
        <v>7</v>
      </c>
      <c r="I30" t="s">
        <v>908</v>
      </c>
      <c r="J30" t="s">
        <v>909</v>
      </c>
    </row>
    <row r="31" spans="1:10">
      <c r="A31" t="s">
        <v>30</v>
      </c>
      <c r="B31" t="s">
        <v>502</v>
      </c>
      <c r="C31" t="s">
        <v>537</v>
      </c>
      <c r="E31" t="s">
        <v>900</v>
      </c>
      <c r="F31">
        <v>10000</v>
      </c>
      <c r="G31">
        <v>12</v>
      </c>
      <c r="H31">
        <v>25</v>
      </c>
      <c r="I31" t="s">
        <v>907</v>
      </c>
      <c r="J31" t="s">
        <v>909</v>
      </c>
    </row>
    <row r="32" spans="1:10">
      <c r="A32" t="s">
        <v>31</v>
      </c>
      <c r="B32" t="s">
        <v>503</v>
      </c>
      <c r="C32" t="s">
        <v>538</v>
      </c>
      <c r="E32" t="s">
        <v>902</v>
      </c>
      <c r="F32">
        <v>50000</v>
      </c>
      <c r="G32">
        <v>15</v>
      </c>
      <c r="H32">
        <v>10</v>
      </c>
      <c r="I32" t="s">
        <v>908</v>
      </c>
      <c r="J32" t="s">
        <v>909</v>
      </c>
    </row>
    <row r="33" spans="1:10">
      <c r="A33" t="s">
        <v>32</v>
      </c>
      <c r="B33" t="s">
        <v>506</v>
      </c>
      <c r="C33" t="s">
        <v>539</v>
      </c>
      <c r="D33" t="s">
        <v>748</v>
      </c>
      <c r="E33" t="s">
        <v>901</v>
      </c>
      <c r="F33">
        <v>5000</v>
      </c>
      <c r="G33">
        <v>5</v>
      </c>
      <c r="H33">
        <v>97</v>
      </c>
      <c r="I33" t="s">
        <v>909</v>
      </c>
      <c r="J33" t="s">
        <v>911</v>
      </c>
    </row>
    <row r="34" spans="1:10">
      <c r="A34" t="s">
        <v>33</v>
      </c>
      <c r="B34" t="s">
        <v>505</v>
      </c>
      <c r="C34" t="s">
        <v>540</v>
      </c>
      <c r="E34" t="s">
        <v>900</v>
      </c>
      <c r="F34">
        <v>50000</v>
      </c>
      <c r="G34">
        <v>3</v>
      </c>
      <c r="H34">
        <v>22</v>
      </c>
      <c r="I34" t="s">
        <v>907</v>
      </c>
      <c r="J34" t="s">
        <v>908</v>
      </c>
    </row>
    <row r="35" spans="1:10">
      <c r="A35" t="s">
        <v>34</v>
      </c>
      <c r="B35" t="s">
        <v>506</v>
      </c>
      <c r="C35" t="s">
        <v>541</v>
      </c>
      <c r="E35" t="s">
        <v>900</v>
      </c>
      <c r="F35">
        <v>20000</v>
      </c>
      <c r="G35">
        <v>27</v>
      </c>
      <c r="H35">
        <v>90</v>
      </c>
      <c r="I35" t="s">
        <v>908</v>
      </c>
      <c r="J35" t="s">
        <v>909</v>
      </c>
    </row>
    <row r="36" spans="1:10">
      <c r="A36" t="s">
        <v>35</v>
      </c>
      <c r="B36" t="s">
        <v>503</v>
      </c>
      <c r="C36" t="s">
        <v>542</v>
      </c>
      <c r="D36" t="s">
        <v>865</v>
      </c>
      <c r="E36" t="s">
        <v>901</v>
      </c>
      <c r="F36">
        <v>10000</v>
      </c>
      <c r="G36">
        <v>3</v>
      </c>
      <c r="H36">
        <v>75</v>
      </c>
      <c r="I36" t="s">
        <v>909</v>
      </c>
      <c r="J36" t="s">
        <v>911</v>
      </c>
    </row>
    <row r="37" spans="1:10">
      <c r="A37" t="s">
        <v>36</v>
      </c>
      <c r="B37" t="s">
        <v>503</v>
      </c>
      <c r="C37" t="s">
        <v>543</v>
      </c>
      <c r="E37" t="s">
        <v>900</v>
      </c>
      <c r="F37">
        <v>100000</v>
      </c>
      <c r="G37">
        <v>33</v>
      </c>
      <c r="H37">
        <v>21</v>
      </c>
      <c r="I37" t="s">
        <v>908</v>
      </c>
      <c r="J37" t="s">
        <v>909</v>
      </c>
    </row>
    <row r="38" spans="1:10">
      <c r="A38" t="s">
        <v>37</v>
      </c>
      <c r="B38" t="s">
        <v>502</v>
      </c>
      <c r="C38" t="s">
        <v>544</v>
      </c>
      <c r="E38" t="s">
        <v>901</v>
      </c>
      <c r="F38">
        <v>100000</v>
      </c>
      <c r="G38">
        <v>4</v>
      </c>
      <c r="H38">
        <v>87</v>
      </c>
      <c r="I38" t="s">
        <v>907</v>
      </c>
      <c r="J38" t="s">
        <v>911</v>
      </c>
    </row>
    <row r="39" spans="1:10">
      <c r="A39" t="s">
        <v>38</v>
      </c>
      <c r="B39" t="s">
        <v>505</v>
      </c>
      <c r="C39" t="s">
        <v>545</v>
      </c>
      <c r="E39" t="s">
        <v>902</v>
      </c>
      <c r="F39">
        <v>100000</v>
      </c>
      <c r="G39">
        <v>38</v>
      </c>
      <c r="H39">
        <v>6</v>
      </c>
      <c r="I39" t="s">
        <v>907</v>
      </c>
      <c r="J39" t="s">
        <v>909</v>
      </c>
    </row>
    <row r="40" spans="1:10">
      <c r="A40" t="s">
        <v>39</v>
      </c>
      <c r="B40" t="s">
        <v>503</v>
      </c>
      <c r="C40" t="s">
        <v>546</v>
      </c>
      <c r="E40" t="s">
        <v>900</v>
      </c>
      <c r="F40">
        <v>20000</v>
      </c>
      <c r="G40">
        <v>13</v>
      </c>
      <c r="H40">
        <v>86</v>
      </c>
      <c r="I40" t="s">
        <v>908</v>
      </c>
      <c r="J40" t="s">
        <v>908</v>
      </c>
    </row>
    <row r="41" spans="1:10">
      <c r="A41" t="s">
        <v>40</v>
      </c>
      <c r="B41" t="s">
        <v>504</v>
      </c>
      <c r="C41" t="s">
        <v>547</v>
      </c>
      <c r="E41" t="s">
        <v>900</v>
      </c>
      <c r="F41">
        <v>50000</v>
      </c>
      <c r="G41">
        <v>20</v>
      </c>
      <c r="H41">
        <v>97</v>
      </c>
      <c r="I41" t="s">
        <v>908</v>
      </c>
      <c r="J41" t="s">
        <v>911</v>
      </c>
    </row>
    <row r="42" spans="1:10">
      <c r="A42" t="s">
        <v>41</v>
      </c>
      <c r="B42" t="s">
        <v>502</v>
      </c>
      <c r="C42" t="s">
        <v>520</v>
      </c>
      <c r="E42" t="s">
        <v>900</v>
      </c>
      <c r="F42">
        <v>5000</v>
      </c>
      <c r="G42">
        <v>34</v>
      </c>
      <c r="H42">
        <v>28</v>
      </c>
      <c r="I42" t="s">
        <v>907</v>
      </c>
      <c r="J42" t="s">
        <v>909</v>
      </c>
    </row>
    <row r="43" spans="1:10">
      <c r="A43" t="s">
        <v>42</v>
      </c>
      <c r="B43" t="s">
        <v>503</v>
      </c>
      <c r="C43" t="s">
        <v>548</v>
      </c>
      <c r="E43" t="s">
        <v>902</v>
      </c>
      <c r="F43">
        <v>10000</v>
      </c>
      <c r="G43">
        <v>23</v>
      </c>
      <c r="H43">
        <v>37</v>
      </c>
      <c r="I43" t="s">
        <v>907</v>
      </c>
      <c r="J43" t="s">
        <v>909</v>
      </c>
    </row>
    <row r="44" spans="1:10">
      <c r="A44" t="s">
        <v>43</v>
      </c>
      <c r="B44" t="s">
        <v>505</v>
      </c>
      <c r="C44" t="s">
        <v>549</v>
      </c>
      <c r="E44" t="s">
        <v>902</v>
      </c>
      <c r="F44">
        <v>100000</v>
      </c>
      <c r="G44">
        <v>19</v>
      </c>
      <c r="H44">
        <v>85</v>
      </c>
      <c r="I44" t="s">
        <v>907</v>
      </c>
      <c r="J44" t="s">
        <v>911</v>
      </c>
    </row>
    <row r="45" spans="1:10">
      <c r="A45" t="s">
        <v>44</v>
      </c>
      <c r="B45" t="s">
        <v>502</v>
      </c>
      <c r="C45" t="s">
        <v>550</v>
      </c>
      <c r="E45" t="s">
        <v>900</v>
      </c>
      <c r="F45">
        <v>100000</v>
      </c>
      <c r="G45">
        <v>9</v>
      </c>
      <c r="H45">
        <v>35</v>
      </c>
      <c r="I45" t="s">
        <v>907</v>
      </c>
      <c r="J45" t="s">
        <v>911</v>
      </c>
    </row>
    <row r="46" spans="1:10">
      <c r="A46" t="s">
        <v>45</v>
      </c>
      <c r="B46" t="s">
        <v>504</v>
      </c>
      <c r="C46" t="s">
        <v>551</v>
      </c>
      <c r="E46" t="s">
        <v>901</v>
      </c>
      <c r="F46">
        <v>20000</v>
      </c>
      <c r="G46">
        <v>32</v>
      </c>
      <c r="H46">
        <v>63</v>
      </c>
      <c r="I46" t="s">
        <v>907</v>
      </c>
      <c r="J46" t="s">
        <v>909</v>
      </c>
    </row>
    <row r="47" spans="1:10">
      <c r="A47" t="s">
        <v>46</v>
      </c>
      <c r="B47" t="s">
        <v>504</v>
      </c>
      <c r="C47" t="s">
        <v>512</v>
      </c>
      <c r="E47" t="s">
        <v>900</v>
      </c>
      <c r="F47">
        <v>5000</v>
      </c>
      <c r="G47">
        <v>0</v>
      </c>
      <c r="H47">
        <v>43</v>
      </c>
      <c r="I47" t="s">
        <v>908</v>
      </c>
      <c r="J47" t="s">
        <v>908</v>
      </c>
    </row>
    <row r="48" spans="1:10">
      <c r="A48" t="s">
        <v>47</v>
      </c>
      <c r="B48" t="s">
        <v>505</v>
      </c>
      <c r="C48" t="s">
        <v>552</v>
      </c>
      <c r="D48" t="s">
        <v>866</v>
      </c>
      <c r="E48" t="s">
        <v>901</v>
      </c>
      <c r="F48">
        <v>100000</v>
      </c>
      <c r="G48">
        <v>45</v>
      </c>
      <c r="H48">
        <v>55</v>
      </c>
      <c r="I48" t="s">
        <v>909</v>
      </c>
      <c r="J48" t="s">
        <v>909</v>
      </c>
    </row>
    <row r="49" spans="1:10">
      <c r="A49" t="s">
        <v>48</v>
      </c>
      <c r="B49" t="s">
        <v>503</v>
      </c>
      <c r="C49" t="s">
        <v>553</v>
      </c>
      <c r="E49" t="s">
        <v>900</v>
      </c>
      <c r="F49">
        <v>100000</v>
      </c>
      <c r="G49">
        <v>2</v>
      </c>
      <c r="H49">
        <v>48</v>
      </c>
      <c r="I49" t="s">
        <v>907</v>
      </c>
      <c r="J49" t="s">
        <v>911</v>
      </c>
    </row>
    <row r="50" spans="1:10">
      <c r="A50" t="s">
        <v>49</v>
      </c>
      <c r="B50" t="s">
        <v>503</v>
      </c>
      <c r="C50" t="s">
        <v>554</v>
      </c>
      <c r="E50" t="s">
        <v>901</v>
      </c>
      <c r="F50">
        <v>20000</v>
      </c>
      <c r="G50">
        <v>23</v>
      </c>
      <c r="H50">
        <v>6</v>
      </c>
      <c r="I50" t="s">
        <v>907</v>
      </c>
      <c r="J50" t="s">
        <v>909</v>
      </c>
    </row>
    <row r="51" spans="1:10">
      <c r="A51" t="s">
        <v>50</v>
      </c>
      <c r="B51" t="s">
        <v>504</v>
      </c>
      <c r="C51" t="s">
        <v>555</v>
      </c>
      <c r="E51" t="s">
        <v>900</v>
      </c>
      <c r="F51">
        <v>20000</v>
      </c>
      <c r="G51">
        <v>49</v>
      </c>
      <c r="H51">
        <v>72</v>
      </c>
      <c r="I51" t="s">
        <v>907</v>
      </c>
      <c r="J51" t="s">
        <v>909</v>
      </c>
    </row>
    <row r="52" spans="1:10">
      <c r="A52" t="s">
        <v>51</v>
      </c>
      <c r="B52" t="s">
        <v>506</v>
      </c>
      <c r="C52" t="s">
        <v>556</v>
      </c>
      <c r="E52" t="s">
        <v>901</v>
      </c>
      <c r="F52">
        <v>10000</v>
      </c>
      <c r="G52">
        <v>11</v>
      </c>
      <c r="H52">
        <v>53</v>
      </c>
      <c r="I52" t="s">
        <v>907</v>
      </c>
      <c r="J52" t="s">
        <v>908</v>
      </c>
    </row>
    <row r="53" spans="1:10">
      <c r="A53" t="s">
        <v>52</v>
      </c>
      <c r="B53" t="s">
        <v>502</v>
      </c>
      <c r="C53" t="s">
        <v>557</v>
      </c>
      <c r="E53" t="s">
        <v>900</v>
      </c>
      <c r="F53">
        <v>10000</v>
      </c>
      <c r="G53">
        <v>17</v>
      </c>
      <c r="H53">
        <v>21</v>
      </c>
      <c r="I53" t="s">
        <v>908</v>
      </c>
      <c r="J53" t="s">
        <v>909</v>
      </c>
    </row>
    <row r="54" spans="1:10">
      <c r="A54" t="s">
        <v>53</v>
      </c>
      <c r="B54" t="s">
        <v>502</v>
      </c>
      <c r="C54" t="s">
        <v>558</v>
      </c>
      <c r="E54" t="s">
        <v>902</v>
      </c>
      <c r="F54">
        <v>10000</v>
      </c>
      <c r="G54">
        <v>29</v>
      </c>
      <c r="H54">
        <v>45</v>
      </c>
      <c r="I54" t="s">
        <v>907</v>
      </c>
      <c r="J54" t="s">
        <v>909</v>
      </c>
    </row>
    <row r="55" spans="1:10">
      <c r="A55" t="s">
        <v>54</v>
      </c>
      <c r="B55" t="s">
        <v>504</v>
      </c>
      <c r="C55" t="s">
        <v>559</v>
      </c>
      <c r="D55" t="s">
        <v>867</v>
      </c>
      <c r="E55" t="s">
        <v>900</v>
      </c>
      <c r="F55">
        <v>50000</v>
      </c>
      <c r="G55">
        <v>21</v>
      </c>
      <c r="H55">
        <v>36</v>
      </c>
      <c r="I55" t="s">
        <v>909</v>
      </c>
      <c r="J55" t="s">
        <v>909</v>
      </c>
    </row>
    <row r="56" spans="1:10">
      <c r="A56" t="s">
        <v>55</v>
      </c>
      <c r="B56" t="s">
        <v>502</v>
      </c>
      <c r="C56" t="s">
        <v>560</v>
      </c>
      <c r="E56" t="s">
        <v>902</v>
      </c>
      <c r="F56">
        <v>100000</v>
      </c>
      <c r="G56">
        <v>21</v>
      </c>
      <c r="H56">
        <v>4</v>
      </c>
      <c r="I56" t="s">
        <v>908</v>
      </c>
      <c r="J56" t="s">
        <v>908</v>
      </c>
    </row>
    <row r="57" spans="1:10">
      <c r="A57" t="s">
        <v>56</v>
      </c>
      <c r="B57" t="s">
        <v>502</v>
      </c>
      <c r="C57" t="s">
        <v>561</v>
      </c>
      <c r="E57" t="s">
        <v>902</v>
      </c>
      <c r="F57">
        <v>5000</v>
      </c>
      <c r="G57">
        <v>6</v>
      </c>
      <c r="H57">
        <v>77</v>
      </c>
      <c r="I57" t="s">
        <v>908</v>
      </c>
      <c r="J57" t="s">
        <v>908</v>
      </c>
    </row>
    <row r="58" spans="1:10">
      <c r="A58" t="s">
        <v>57</v>
      </c>
      <c r="B58" t="s">
        <v>506</v>
      </c>
      <c r="C58" t="s">
        <v>543</v>
      </c>
      <c r="E58" t="s">
        <v>902</v>
      </c>
      <c r="F58">
        <v>50000</v>
      </c>
      <c r="G58">
        <v>36</v>
      </c>
      <c r="H58">
        <v>25</v>
      </c>
      <c r="I58" t="s">
        <v>907</v>
      </c>
      <c r="J58" t="s">
        <v>909</v>
      </c>
    </row>
    <row r="59" spans="1:10">
      <c r="A59" t="s">
        <v>58</v>
      </c>
      <c r="B59" t="s">
        <v>504</v>
      </c>
      <c r="C59" t="s">
        <v>562</v>
      </c>
      <c r="E59" t="s">
        <v>900</v>
      </c>
      <c r="F59">
        <v>20000</v>
      </c>
      <c r="G59">
        <v>27</v>
      </c>
      <c r="H59">
        <v>9</v>
      </c>
      <c r="I59" t="s">
        <v>907</v>
      </c>
      <c r="J59" t="s">
        <v>909</v>
      </c>
    </row>
    <row r="60" spans="1:10">
      <c r="A60" t="s">
        <v>59</v>
      </c>
      <c r="B60" t="s">
        <v>504</v>
      </c>
      <c r="C60" t="s">
        <v>543</v>
      </c>
      <c r="E60" t="s">
        <v>901</v>
      </c>
      <c r="F60">
        <v>20000</v>
      </c>
      <c r="G60">
        <v>32</v>
      </c>
      <c r="H60">
        <v>40</v>
      </c>
      <c r="I60" t="s">
        <v>907</v>
      </c>
      <c r="J60" t="s">
        <v>909</v>
      </c>
    </row>
    <row r="61" spans="1:10">
      <c r="A61" t="s">
        <v>60</v>
      </c>
      <c r="B61" t="s">
        <v>506</v>
      </c>
      <c r="C61" t="s">
        <v>537</v>
      </c>
      <c r="E61" t="s">
        <v>902</v>
      </c>
      <c r="F61">
        <v>10000</v>
      </c>
      <c r="G61">
        <v>26</v>
      </c>
      <c r="H61">
        <v>86</v>
      </c>
      <c r="I61" t="s">
        <v>907</v>
      </c>
      <c r="J61" t="s">
        <v>909</v>
      </c>
    </row>
    <row r="62" spans="1:10">
      <c r="A62" t="s">
        <v>61</v>
      </c>
      <c r="B62" t="s">
        <v>506</v>
      </c>
      <c r="C62" t="s">
        <v>563</v>
      </c>
      <c r="E62" t="s">
        <v>901</v>
      </c>
      <c r="F62">
        <v>50000</v>
      </c>
      <c r="G62">
        <v>35</v>
      </c>
      <c r="H62">
        <v>1</v>
      </c>
      <c r="I62" t="s">
        <v>908</v>
      </c>
      <c r="J62" t="s">
        <v>909</v>
      </c>
    </row>
    <row r="63" spans="1:10">
      <c r="A63" t="s">
        <v>62</v>
      </c>
      <c r="B63" t="s">
        <v>504</v>
      </c>
      <c r="C63" t="s">
        <v>551</v>
      </c>
      <c r="E63" t="s">
        <v>902</v>
      </c>
      <c r="F63">
        <v>50000</v>
      </c>
      <c r="G63">
        <v>28</v>
      </c>
      <c r="H63">
        <v>57</v>
      </c>
      <c r="I63" t="s">
        <v>908</v>
      </c>
      <c r="J63" t="s">
        <v>909</v>
      </c>
    </row>
    <row r="64" spans="1:10">
      <c r="A64" t="s">
        <v>63</v>
      </c>
      <c r="B64" t="s">
        <v>505</v>
      </c>
      <c r="C64" t="s">
        <v>535</v>
      </c>
      <c r="E64" t="s">
        <v>901</v>
      </c>
      <c r="F64">
        <v>5000</v>
      </c>
      <c r="G64">
        <v>18</v>
      </c>
      <c r="H64">
        <v>66</v>
      </c>
      <c r="I64" t="s">
        <v>907</v>
      </c>
      <c r="J64" t="s">
        <v>909</v>
      </c>
    </row>
    <row r="65" spans="1:10">
      <c r="A65" t="s">
        <v>64</v>
      </c>
      <c r="B65" t="s">
        <v>503</v>
      </c>
      <c r="C65" t="s">
        <v>564</v>
      </c>
      <c r="E65" t="s">
        <v>902</v>
      </c>
      <c r="F65">
        <v>20000</v>
      </c>
      <c r="G65">
        <v>14</v>
      </c>
      <c r="H65">
        <v>26</v>
      </c>
      <c r="I65" t="s">
        <v>907</v>
      </c>
      <c r="J65" t="s">
        <v>909</v>
      </c>
    </row>
    <row r="66" spans="1:10">
      <c r="A66" t="s">
        <v>65</v>
      </c>
      <c r="B66" t="s">
        <v>505</v>
      </c>
      <c r="C66" t="s">
        <v>565</v>
      </c>
      <c r="E66" t="s">
        <v>900</v>
      </c>
      <c r="F66">
        <v>100000</v>
      </c>
      <c r="G66">
        <v>49</v>
      </c>
      <c r="H66">
        <v>10</v>
      </c>
      <c r="I66" t="s">
        <v>908</v>
      </c>
      <c r="J66" t="s">
        <v>909</v>
      </c>
    </row>
    <row r="67" spans="1:10">
      <c r="A67" t="s">
        <v>66</v>
      </c>
      <c r="B67" t="s">
        <v>506</v>
      </c>
      <c r="C67" t="s">
        <v>566</v>
      </c>
      <c r="E67" t="s">
        <v>902</v>
      </c>
      <c r="F67">
        <v>50000</v>
      </c>
      <c r="G67">
        <v>25</v>
      </c>
      <c r="H67">
        <v>32</v>
      </c>
      <c r="I67" t="s">
        <v>908</v>
      </c>
      <c r="J67" t="s">
        <v>909</v>
      </c>
    </row>
    <row r="68" spans="1:10">
      <c r="A68" t="s">
        <v>67</v>
      </c>
      <c r="B68" t="s">
        <v>505</v>
      </c>
      <c r="C68" t="s">
        <v>567</v>
      </c>
      <c r="D68" t="s">
        <v>868</v>
      </c>
      <c r="E68" t="s">
        <v>901</v>
      </c>
      <c r="F68">
        <v>50000</v>
      </c>
      <c r="G68">
        <v>14</v>
      </c>
      <c r="H68">
        <v>23</v>
      </c>
      <c r="I68" t="s">
        <v>909</v>
      </c>
      <c r="J68" t="s">
        <v>908</v>
      </c>
    </row>
    <row r="69" spans="1:10">
      <c r="A69" t="s">
        <v>68</v>
      </c>
      <c r="B69" t="s">
        <v>503</v>
      </c>
      <c r="C69" t="s">
        <v>568</v>
      </c>
      <c r="E69" t="s">
        <v>902</v>
      </c>
      <c r="F69">
        <v>50000</v>
      </c>
      <c r="G69">
        <v>8</v>
      </c>
      <c r="H69">
        <v>60</v>
      </c>
      <c r="I69" t="s">
        <v>907</v>
      </c>
      <c r="J69" t="s">
        <v>911</v>
      </c>
    </row>
    <row r="70" spans="1:10">
      <c r="A70" t="s">
        <v>69</v>
      </c>
      <c r="B70" t="s">
        <v>503</v>
      </c>
      <c r="C70" t="s">
        <v>569</v>
      </c>
      <c r="E70" t="s">
        <v>901</v>
      </c>
      <c r="F70">
        <v>100000</v>
      </c>
      <c r="G70">
        <v>46</v>
      </c>
      <c r="H70">
        <v>65</v>
      </c>
      <c r="I70" t="s">
        <v>908</v>
      </c>
      <c r="J70" t="s">
        <v>909</v>
      </c>
    </row>
    <row r="71" spans="1:10">
      <c r="A71" t="s">
        <v>70</v>
      </c>
      <c r="B71" t="s">
        <v>506</v>
      </c>
      <c r="C71" t="s">
        <v>570</v>
      </c>
      <c r="E71" t="s">
        <v>901</v>
      </c>
      <c r="F71">
        <v>50000</v>
      </c>
      <c r="G71">
        <v>16</v>
      </c>
      <c r="H71">
        <v>97</v>
      </c>
      <c r="I71" t="s">
        <v>908</v>
      </c>
      <c r="J71" t="s">
        <v>911</v>
      </c>
    </row>
    <row r="72" spans="1:10">
      <c r="A72" t="s">
        <v>71</v>
      </c>
      <c r="B72" t="s">
        <v>505</v>
      </c>
      <c r="C72" t="s">
        <v>571</v>
      </c>
      <c r="E72" t="s">
        <v>901</v>
      </c>
      <c r="F72">
        <v>10000</v>
      </c>
      <c r="G72">
        <v>17</v>
      </c>
      <c r="H72">
        <v>57</v>
      </c>
      <c r="I72" t="s">
        <v>908</v>
      </c>
      <c r="J72" t="s">
        <v>909</v>
      </c>
    </row>
    <row r="73" spans="1:10">
      <c r="A73" t="s">
        <v>72</v>
      </c>
      <c r="B73" t="s">
        <v>502</v>
      </c>
      <c r="C73" t="s">
        <v>572</v>
      </c>
      <c r="E73" t="s">
        <v>901</v>
      </c>
      <c r="F73">
        <v>20000</v>
      </c>
      <c r="G73">
        <v>34</v>
      </c>
      <c r="H73">
        <v>11</v>
      </c>
      <c r="I73" t="s">
        <v>908</v>
      </c>
      <c r="J73" t="s">
        <v>909</v>
      </c>
    </row>
    <row r="74" spans="1:10">
      <c r="A74" t="s">
        <v>73</v>
      </c>
      <c r="B74" t="s">
        <v>505</v>
      </c>
      <c r="C74" t="s">
        <v>573</v>
      </c>
      <c r="E74" t="s">
        <v>900</v>
      </c>
      <c r="F74">
        <v>10000</v>
      </c>
      <c r="G74">
        <v>4</v>
      </c>
      <c r="H74">
        <v>54</v>
      </c>
      <c r="I74" t="s">
        <v>907</v>
      </c>
      <c r="J74" t="s">
        <v>908</v>
      </c>
    </row>
    <row r="75" spans="1:10">
      <c r="A75" t="s">
        <v>74</v>
      </c>
      <c r="B75" t="s">
        <v>506</v>
      </c>
      <c r="C75" t="s">
        <v>574</v>
      </c>
      <c r="E75" t="s">
        <v>902</v>
      </c>
      <c r="F75">
        <v>10000</v>
      </c>
      <c r="G75">
        <v>26</v>
      </c>
      <c r="H75">
        <v>50</v>
      </c>
      <c r="I75" t="s">
        <v>907</v>
      </c>
      <c r="J75" t="s">
        <v>909</v>
      </c>
    </row>
    <row r="76" spans="1:10">
      <c r="A76" t="s">
        <v>75</v>
      </c>
      <c r="B76" t="s">
        <v>503</v>
      </c>
      <c r="C76" t="s">
        <v>575</v>
      </c>
      <c r="E76" t="s">
        <v>901</v>
      </c>
      <c r="F76">
        <v>50000</v>
      </c>
      <c r="G76">
        <v>0</v>
      </c>
      <c r="H76">
        <v>46</v>
      </c>
      <c r="I76" t="s">
        <v>908</v>
      </c>
      <c r="J76" t="s">
        <v>911</v>
      </c>
    </row>
    <row r="77" spans="1:10">
      <c r="A77" t="s">
        <v>76</v>
      </c>
      <c r="B77" t="s">
        <v>504</v>
      </c>
      <c r="C77" t="s">
        <v>546</v>
      </c>
      <c r="E77" t="s">
        <v>902</v>
      </c>
      <c r="F77">
        <v>50000</v>
      </c>
      <c r="G77">
        <v>14</v>
      </c>
      <c r="H77">
        <v>35</v>
      </c>
      <c r="I77" t="s">
        <v>907</v>
      </c>
      <c r="J77" t="s">
        <v>908</v>
      </c>
    </row>
    <row r="78" spans="1:10">
      <c r="A78" t="s">
        <v>77</v>
      </c>
      <c r="B78" t="s">
        <v>506</v>
      </c>
      <c r="C78" t="s">
        <v>576</v>
      </c>
      <c r="E78" t="s">
        <v>902</v>
      </c>
      <c r="F78">
        <v>10000</v>
      </c>
      <c r="G78">
        <v>29</v>
      </c>
      <c r="H78">
        <v>17</v>
      </c>
      <c r="I78" t="s">
        <v>908</v>
      </c>
      <c r="J78" t="s">
        <v>909</v>
      </c>
    </row>
    <row r="79" spans="1:10">
      <c r="A79" t="s">
        <v>78</v>
      </c>
      <c r="B79" t="s">
        <v>503</v>
      </c>
      <c r="C79" t="s">
        <v>510</v>
      </c>
      <c r="E79" t="s">
        <v>901</v>
      </c>
      <c r="F79">
        <v>5000</v>
      </c>
      <c r="G79">
        <v>41</v>
      </c>
      <c r="H79">
        <v>55</v>
      </c>
      <c r="I79" t="s">
        <v>907</v>
      </c>
      <c r="J79" t="s">
        <v>909</v>
      </c>
    </row>
    <row r="80" spans="1:10">
      <c r="A80" t="s">
        <v>79</v>
      </c>
      <c r="B80" t="s">
        <v>505</v>
      </c>
      <c r="C80" t="s">
        <v>577</v>
      </c>
      <c r="D80" t="s">
        <v>509</v>
      </c>
      <c r="E80" t="s">
        <v>902</v>
      </c>
      <c r="F80">
        <v>20000</v>
      </c>
      <c r="G80">
        <v>13</v>
      </c>
      <c r="H80">
        <v>59</v>
      </c>
      <c r="I80" t="s">
        <v>909</v>
      </c>
      <c r="J80" t="s">
        <v>908</v>
      </c>
    </row>
    <row r="81" spans="1:10">
      <c r="A81" t="s">
        <v>80</v>
      </c>
      <c r="B81" t="s">
        <v>504</v>
      </c>
      <c r="C81" t="s">
        <v>578</v>
      </c>
      <c r="E81" t="s">
        <v>902</v>
      </c>
      <c r="F81">
        <v>20000</v>
      </c>
      <c r="G81">
        <v>5</v>
      </c>
      <c r="H81">
        <v>61</v>
      </c>
      <c r="I81" t="s">
        <v>908</v>
      </c>
      <c r="J81" t="s">
        <v>908</v>
      </c>
    </row>
    <row r="82" spans="1:10">
      <c r="A82" t="s">
        <v>81</v>
      </c>
      <c r="B82" t="s">
        <v>502</v>
      </c>
      <c r="C82" t="s">
        <v>579</v>
      </c>
      <c r="D82" t="s">
        <v>869</v>
      </c>
      <c r="E82" t="s">
        <v>901</v>
      </c>
      <c r="F82">
        <v>10000</v>
      </c>
      <c r="G82">
        <v>41</v>
      </c>
      <c r="H82">
        <v>9</v>
      </c>
      <c r="I82" t="s">
        <v>909</v>
      </c>
      <c r="J82" t="s">
        <v>909</v>
      </c>
    </row>
    <row r="83" spans="1:10">
      <c r="A83" t="s">
        <v>82</v>
      </c>
      <c r="B83" t="s">
        <v>502</v>
      </c>
      <c r="C83" t="s">
        <v>580</v>
      </c>
      <c r="E83" t="s">
        <v>900</v>
      </c>
      <c r="F83">
        <v>100000</v>
      </c>
      <c r="G83">
        <v>9</v>
      </c>
      <c r="H83">
        <v>31</v>
      </c>
      <c r="I83" t="s">
        <v>907</v>
      </c>
      <c r="J83" t="s">
        <v>911</v>
      </c>
    </row>
    <row r="84" spans="1:10">
      <c r="A84" t="s">
        <v>83</v>
      </c>
      <c r="B84" t="s">
        <v>505</v>
      </c>
      <c r="C84" t="s">
        <v>581</v>
      </c>
      <c r="E84" t="s">
        <v>902</v>
      </c>
      <c r="F84">
        <v>50000</v>
      </c>
      <c r="G84">
        <v>44</v>
      </c>
      <c r="H84">
        <v>33</v>
      </c>
      <c r="I84" t="s">
        <v>907</v>
      </c>
      <c r="J84" t="s">
        <v>909</v>
      </c>
    </row>
    <row r="85" spans="1:10">
      <c r="A85" t="s">
        <v>84</v>
      </c>
      <c r="B85" t="s">
        <v>504</v>
      </c>
      <c r="C85" t="s">
        <v>582</v>
      </c>
      <c r="E85" t="s">
        <v>900</v>
      </c>
      <c r="F85">
        <v>10000</v>
      </c>
      <c r="G85">
        <v>19</v>
      </c>
      <c r="H85">
        <v>14</v>
      </c>
      <c r="I85" t="s">
        <v>907</v>
      </c>
      <c r="J85" t="s">
        <v>909</v>
      </c>
    </row>
    <row r="86" spans="1:10">
      <c r="A86" t="s">
        <v>85</v>
      </c>
      <c r="B86" t="s">
        <v>503</v>
      </c>
      <c r="C86" t="s">
        <v>531</v>
      </c>
      <c r="E86" t="s">
        <v>900</v>
      </c>
      <c r="F86">
        <v>50000</v>
      </c>
      <c r="G86">
        <v>45</v>
      </c>
      <c r="H86">
        <v>26</v>
      </c>
      <c r="I86" t="s">
        <v>908</v>
      </c>
      <c r="J86" t="s">
        <v>909</v>
      </c>
    </row>
    <row r="87" spans="1:10">
      <c r="A87" t="s">
        <v>86</v>
      </c>
      <c r="B87" t="s">
        <v>502</v>
      </c>
      <c r="C87" t="s">
        <v>583</v>
      </c>
      <c r="E87" t="s">
        <v>901</v>
      </c>
      <c r="F87">
        <v>5000</v>
      </c>
      <c r="G87">
        <v>44</v>
      </c>
      <c r="H87">
        <v>99</v>
      </c>
      <c r="I87" t="s">
        <v>907</v>
      </c>
      <c r="J87" t="s">
        <v>909</v>
      </c>
    </row>
    <row r="88" spans="1:10">
      <c r="A88" t="s">
        <v>87</v>
      </c>
      <c r="B88" t="s">
        <v>504</v>
      </c>
      <c r="C88" t="s">
        <v>584</v>
      </c>
      <c r="E88" t="s">
        <v>901</v>
      </c>
      <c r="F88">
        <v>20000</v>
      </c>
      <c r="G88">
        <v>34</v>
      </c>
      <c r="H88">
        <v>55</v>
      </c>
      <c r="I88" t="s">
        <v>907</v>
      </c>
      <c r="J88" t="s">
        <v>909</v>
      </c>
    </row>
    <row r="89" spans="1:10">
      <c r="A89" t="s">
        <v>88</v>
      </c>
      <c r="B89" t="s">
        <v>504</v>
      </c>
      <c r="C89" t="s">
        <v>585</v>
      </c>
      <c r="E89" t="s">
        <v>900</v>
      </c>
      <c r="F89">
        <v>50000</v>
      </c>
      <c r="G89">
        <v>31</v>
      </c>
      <c r="H89">
        <v>14</v>
      </c>
      <c r="I89" t="s">
        <v>907</v>
      </c>
      <c r="J89" t="s">
        <v>909</v>
      </c>
    </row>
    <row r="90" spans="1:10">
      <c r="A90" t="s">
        <v>89</v>
      </c>
      <c r="B90" t="s">
        <v>506</v>
      </c>
      <c r="C90" t="s">
        <v>586</v>
      </c>
      <c r="E90" t="s">
        <v>902</v>
      </c>
      <c r="F90">
        <v>10000</v>
      </c>
      <c r="G90">
        <v>27</v>
      </c>
      <c r="H90">
        <v>23</v>
      </c>
      <c r="I90" t="s">
        <v>908</v>
      </c>
      <c r="J90" t="s">
        <v>909</v>
      </c>
    </row>
    <row r="91" spans="1:10">
      <c r="A91" t="s">
        <v>90</v>
      </c>
      <c r="B91" t="s">
        <v>503</v>
      </c>
      <c r="C91" t="s">
        <v>587</v>
      </c>
      <c r="E91" t="s">
        <v>901</v>
      </c>
      <c r="F91">
        <v>50000</v>
      </c>
      <c r="G91">
        <v>27</v>
      </c>
      <c r="H91">
        <v>94</v>
      </c>
      <c r="I91" t="s">
        <v>908</v>
      </c>
      <c r="J91" t="s">
        <v>908</v>
      </c>
    </row>
    <row r="92" spans="1:10">
      <c r="A92" t="s">
        <v>91</v>
      </c>
      <c r="B92" t="s">
        <v>503</v>
      </c>
      <c r="C92" t="s">
        <v>588</v>
      </c>
      <c r="E92" t="s">
        <v>902</v>
      </c>
      <c r="F92">
        <v>20000</v>
      </c>
      <c r="G92">
        <v>28</v>
      </c>
      <c r="H92">
        <v>32</v>
      </c>
      <c r="I92" t="s">
        <v>907</v>
      </c>
      <c r="J92" t="s">
        <v>909</v>
      </c>
    </row>
    <row r="93" spans="1:10">
      <c r="A93" t="s">
        <v>92</v>
      </c>
      <c r="B93" t="s">
        <v>506</v>
      </c>
      <c r="C93" t="s">
        <v>589</v>
      </c>
      <c r="E93" t="s">
        <v>901</v>
      </c>
      <c r="F93">
        <v>5000</v>
      </c>
      <c r="G93">
        <v>31</v>
      </c>
      <c r="H93">
        <v>42</v>
      </c>
      <c r="I93" t="s">
        <v>908</v>
      </c>
      <c r="J93" t="s">
        <v>909</v>
      </c>
    </row>
    <row r="94" spans="1:10">
      <c r="A94" t="s">
        <v>93</v>
      </c>
      <c r="B94" t="s">
        <v>505</v>
      </c>
      <c r="C94" t="s">
        <v>590</v>
      </c>
      <c r="E94" t="s">
        <v>902</v>
      </c>
      <c r="F94">
        <v>20000</v>
      </c>
      <c r="G94">
        <v>17</v>
      </c>
      <c r="H94">
        <v>77</v>
      </c>
      <c r="I94" t="s">
        <v>908</v>
      </c>
      <c r="J94" t="s">
        <v>908</v>
      </c>
    </row>
    <row r="95" spans="1:10">
      <c r="A95" t="s">
        <v>94</v>
      </c>
      <c r="B95" t="s">
        <v>504</v>
      </c>
      <c r="C95" t="s">
        <v>591</v>
      </c>
      <c r="E95" t="s">
        <v>901</v>
      </c>
      <c r="F95">
        <v>5000</v>
      </c>
      <c r="G95">
        <v>15</v>
      </c>
      <c r="H95">
        <v>93</v>
      </c>
      <c r="I95" t="s">
        <v>907</v>
      </c>
      <c r="J95" t="s">
        <v>908</v>
      </c>
    </row>
    <row r="96" spans="1:10">
      <c r="A96" t="s">
        <v>95</v>
      </c>
      <c r="B96" t="s">
        <v>506</v>
      </c>
      <c r="C96" t="s">
        <v>592</v>
      </c>
      <c r="E96" t="s">
        <v>902</v>
      </c>
      <c r="F96">
        <v>50000</v>
      </c>
      <c r="G96">
        <v>28</v>
      </c>
      <c r="H96">
        <v>3</v>
      </c>
      <c r="I96" t="s">
        <v>908</v>
      </c>
      <c r="J96" t="s">
        <v>909</v>
      </c>
    </row>
    <row r="97" spans="1:10">
      <c r="A97" t="s">
        <v>96</v>
      </c>
      <c r="B97" t="s">
        <v>502</v>
      </c>
      <c r="C97" t="s">
        <v>593</v>
      </c>
      <c r="E97" t="s">
        <v>902</v>
      </c>
      <c r="F97">
        <v>20000</v>
      </c>
      <c r="G97">
        <v>42</v>
      </c>
      <c r="H97">
        <v>75</v>
      </c>
      <c r="I97" t="s">
        <v>907</v>
      </c>
      <c r="J97" t="s">
        <v>909</v>
      </c>
    </row>
    <row r="98" spans="1:10">
      <c r="A98" t="s">
        <v>97</v>
      </c>
      <c r="B98" t="s">
        <v>504</v>
      </c>
      <c r="C98" t="s">
        <v>594</v>
      </c>
      <c r="E98" t="s">
        <v>902</v>
      </c>
      <c r="F98">
        <v>100000</v>
      </c>
      <c r="G98">
        <v>21</v>
      </c>
      <c r="H98">
        <v>46</v>
      </c>
      <c r="I98" t="s">
        <v>908</v>
      </c>
      <c r="J98" t="s">
        <v>911</v>
      </c>
    </row>
    <row r="99" spans="1:10">
      <c r="A99" t="s">
        <v>98</v>
      </c>
      <c r="B99" t="s">
        <v>506</v>
      </c>
      <c r="C99" t="s">
        <v>595</v>
      </c>
      <c r="E99" t="s">
        <v>902</v>
      </c>
      <c r="F99">
        <v>10000</v>
      </c>
      <c r="G99">
        <v>20</v>
      </c>
      <c r="H99">
        <v>16</v>
      </c>
      <c r="I99" t="s">
        <v>907</v>
      </c>
      <c r="J99" t="s">
        <v>909</v>
      </c>
    </row>
    <row r="100" spans="1:10">
      <c r="A100" t="s">
        <v>99</v>
      </c>
      <c r="B100" t="s">
        <v>503</v>
      </c>
      <c r="C100" t="s">
        <v>596</v>
      </c>
      <c r="D100" t="s">
        <v>599</v>
      </c>
      <c r="E100" t="s">
        <v>901</v>
      </c>
      <c r="F100">
        <v>20000</v>
      </c>
      <c r="G100">
        <v>46</v>
      </c>
      <c r="H100">
        <v>76</v>
      </c>
      <c r="I100" t="s">
        <v>909</v>
      </c>
      <c r="J100" t="s">
        <v>909</v>
      </c>
    </row>
    <row r="101" spans="1:10">
      <c r="A101" t="s">
        <v>100</v>
      </c>
      <c r="B101" t="s">
        <v>503</v>
      </c>
      <c r="C101" t="s">
        <v>597</v>
      </c>
      <c r="E101" t="s">
        <v>901</v>
      </c>
      <c r="F101">
        <v>20000</v>
      </c>
      <c r="G101">
        <v>14</v>
      </c>
      <c r="H101">
        <v>47</v>
      </c>
      <c r="I101" t="s">
        <v>907</v>
      </c>
      <c r="J101" t="s">
        <v>908</v>
      </c>
    </row>
    <row r="102" spans="1:10">
      <c r="A102" t="s">
        <v>101</v>
      </c>
      <c r="B102" t="s">
        <v>505</v>
      </c>
      <c r="C102" t="s">
        <v>598</v>
      </c>
      <c r="E102" t="s">
        <v>902</v>
      </c>
      <c r="F102">
        <v>20000</v>
      </c>
      <c r="G102">
        <v>2</v>
      </c>
      <c r="H102">
        <v>7</v>
      </c>
      <c r="I102" t="s">
        <v>907</v>
      </c>
      <c r="J102" t="s">
        <v>908</v>
      </c>
    </row>
    <row r="103" spans="1:10">
      <c r="A103" t="s">
        <v>102</v>
      </c>
      <c r="B103" t="s">
        <v>503</v>
      </c>
      <c r="C103" t="s">
        <v>599</v>
      </c>
      <c r="E103" t="s">
        <v>902</v>
      </c>
      <c r="F103">
        <v>5000</v>
      </c>
      <c r="G103">
        <v>0</v>
      </c>
      <c r="H103">
        <v>74</v>
      </c>
      <c r="I103" t="s">
        <v>908</v>
      </c>
      <c r="J103" t="s">
        <v>911</v>
      </c>
    </row>
    <row r="104" spans="1:10">
      <c r="A104" t="s">
        <v>103</v>
      </c>
      <c r="B104" t="s">
        <v>504</v>
      </c>
      <c r="C104" t="s">
        <v>600</v>
      </c>
      <c r="E104" t="s">
        <v>902</v>
      </c>
      <c r="F104">
        <v>5000</v>
      </c>
      <c r="G104">
        <v>16</v>
      </c>
      <c r="H104">
        <v>62</v>
      </c>
      <c r="I104" t="s">
        <v>907</v>
      </c>
      <c r="J104" t="s">
        <v>909</v>
      </c>
    </row>
    <row r="105" spans="1:10">
      <c r="A105" t="s">
        <v>104</v>
      </c>
      <c r="B105" t="s">
        <v>502</v>
      </c>
      <c r="C105" t="s">
        <v>601</v>
      </c>
      <c r="E105" t="s">
        <v>900</v>
      </c>
      <c r="F105">
        <v>10000</v>
      </c>
      <c r="G105">
        <v>9</v>
      </c>
      <c r="H105">
        <v>73</v>
      </c>
      <c r="I105" t="s">
        <v>907</v>
      </c>
      <c r="J105" t="s">
        <v>908</v>
      </c>
    </row>
    <row r="106" spans="1:10">
      <c r="A106" t="s">
        <v>105</v>
      </c>
      <c r="B106" t="s">
        <v>504</v>
      </c>
      <c r="C106" t="s">
        <v>602</v>
      </c>
      <c r="E106" t="s">
        <v>900</v>
      </c>
      <c r="F106">
        <v>100000</v>
      </c>
      <c r="G106">
        <v>38</v>
      </c>
      <c r="H106">
        <v>80</v>
      </c>
      <c r="I106" t="s">
        <v>908</v>
      </c>
      <c r="J106" t="s">
        <v>908</v>
      </c>
    </row>
    <row r="107" spans="1:10">
      <c r="A107" t="s">
        <v>106</v>
      </c>
      <c r="B107" t="s">
        <v>505</v>
      </c>
      <c r="C107" t="s">
        <v>603</v>
      </c>
      <c r="E107" t="s">
        <v>901</v>
      </c>
      <c r="F107">
        <v>20000</v>
      </c>
      <c r="G107">
        <v>37</v>
      </c>
      <c r="H107">
        <v>55</v>
      </c>
      <c r="I107" t="s">
        <v>908</v>
      </c>
      <c r="J107" t="s">
        <v>909</v>
      </c>
    </row>
    <row r="108" spans="1:10">
      <c r="A108" t="s">
        <v>107</v>
      </c>
      <c r="B108" t="s">
        <v>504</v>
      </c>
      <c r="C108" t="s">
        <v>604</v>
      </c>
      <c r="D108" t="s">
        <v>870</v>
      </c>
      <c r="E108" t="s">
        <v>901</v>
      </c>
      <c r="F108">
        <v>10000</v>
      </c>
      <c r="G108">
        <v>40</v>
      </c>
      <c r="H108">
        <v>28</v>
      </c>
      <c r="I108" t="s">
        <v>909</v>
      </c>
      <c r="J108" t="s">
        <v>909</v>
      </c>
    </row>
    <row r="109" spans="1:10">
      <c r="A109" t="s">
        <v>108</v>
      </c>
      <c r="B109" t="s">
        <v>504</v>
      </c>
      <c r="C109" t="s">
        <v>605</v>
      </c>
      <c r="D109" t="s">
        <v>871</v>
      </c>
      <c r="E109" t="s">
        <v>901</v>
      </c>
      <c r="F109">
        <v>100000</v>
      </c>
      <c r="G109">
        <v>4</v>
      </c>
      <c r="H109">
        <v>21</v>
      </c>
      <c r="I109" t="s">
        <v>909</v>
      </c>
      <c r="J109" t="s">
        <v>911</v>
      </c>
    </row>
    <row r="110" spans="1:10">
      <c r="A110" t="s">
        <v>109</v>
      </c>
      <c r="B110" t="s">
        <v>502</v>
      </c>
      <c r="C110" t="s">
        <v>606</v>
      </c>
      <c r="E110" t="s">
        <v>902</v>
      </c>
      <c r="F110">
        <v>20000</v>
      </c>
      <c r="G110">
        <v>2</v>
      </c>
      <c r="H110">
        <v>30</v>
      </c>
      <c r="I110" t="s">
        <v>908</v>
      </c>
      <c r="J110" t="s">
        <v>908</v>
      </c>
    </row>
    <row r="111" spans="1:10">
      <c r="A111" t="s">
        <v>110</v>
      </c>
      <c r="B111" t="s">
        <v>504</v>
      </c>
      <c r="C111" t="s">
        <v>597</v>
      </c>
      <c r="E111" t="s">
        <v>901</v>
      </c>
      <c r="F111">
        <v>5000</v>
      </c>
      <c r="G111">
        <v>43</v>
      </c>
      <c r="H111">
        <v>30</v>
      </c>
      <c r="I111" t="s">
        <v>908</v>
      </c>
      <c r="J111" t="s">
        <v>909</v>
      </c>
    </row>
    <row r="112" spans="1:10">
      <c r="A112" t="s">
        <v>111</v>
      </c>
      <c r="B112" t="s">
        <v>504</v>
      </c>
      <c r="C112" t="s">
        <v>607</v>
      </c>
      <c r="E112" t="s">
        <v>901</v>
      </c>
      <c r="F112">
        <v>50000</v>
      </c>
      <c r="G112">
        <v>7</v>
      </c>
      <c r="H112">
        <v>70</v>
      </c>
      <c r="I112" t="s">
        <v>907</v>
      </c>
      <c r="J112" t="s">
        <v>911</v>
      </c>
    </row>
    <row r="113" spans="1:10">
      <c r="A113" t="s">
        <v>112</v>
      </c>
      <c r="B113" t="s">
        <v>505</v>
      </c>
      <c r="C113" t="s">
        <v>608</v>
      </c>
      <c r="E113" t="s">
        <v>901</v>
      </c>
      <c r="F113">
        <v>5000</v>
      </c>
      <c r="G113">
        <v>3</v>
      </c>
      <c r="H113">
        <v>22</v>
      </c>
      <c r="I113" t="s">
        <v>907</v>
      </c>
      <c r="J113" t="s">
        <v>908</v>
      </c>
    </row>
    <row r="114" spans="1:10">
      <c r="A114" t="s">
        <v>113</v>
      </c>
      <c r="B114" t="s">
        <v>504</v>
      </c>
      <c r="C114" t="s">
        <v>609</v>
      </c>
      <c r="E114" t="s">
        <v>901</v>
      </c>
      <c r="F114">
        <v>5000</v>
      </c>
      <c r="G114">
        <v>29</v>
      </c>
      <c r="H114">
        <v>89</v>
      </c>
      <c r="I114" t="s">
        <v>908</v>
      </c>
      <c r="J114" t="s">
        <v>909</v>
      </c>
    </row>
    <row r="115" spans="1:10">
      <c r="A115" t="s">
        <v>114</v>
      </c>
      <c r="B115" t="s">
        <v>504</v>
      </c>
      <c r="C115" t="s">
        <v>537</v>
      </c>
      <c r="E115" t="s">
        <v>901</v>
      </c>
      <c r="F115">
        <v>50000</v>
      </c>
      <c r="G115">
        <v>5</v>
      </c>
      <c r="H115">
        <v>77</v>
      </c>
      <c r="I115" t="s">
        <v>908</v>
      </c>
      <c r="J115" t="s">
        <v>911</v>
      </c>
    </row>
    <row r="116" spans="1:10">
      <c r="A116" t="s">
        <v>115</v>
      </c>
      <c r="B116" t="s">
        <v>502</v>
      </c>
      <c r="C116" t="s">
        <v>588</v>
      </c>
      <c r="E116" t="s">
        <v>902</v>
      </c>
      <c r="F116">
        <v>5000</v>
      </c>
      <c r="G116">
        <v>14</v>
      </c>
      <c r="H116">
        <v>87</v>
      </c>
      <c r="I116" t="s">
        <v>907</v>
      </c>
      <c r="J116" t="s">
        <v>908</v>
      </c>
    </row>
    <row r="117" spans="1:10">
      <c r="A117" t="s">
        <v>116</v>
      </c>
      <c r="B117" t="s">
        <v>503</v>
      </c>
      <c r="C117" t="s">
        <v>610</v>
      </c>
      <c r="E117" t="s">
        <v>901</v>
      </c>
      <c r="F117">
        <v>100000</v>
      </c>
      <c r="G117">
        <v>2</v>
      </c>
      <c r="H117">
        <v>98</v>
      </c>
      <c r="I117" t="s">
        <v>908</v>
      </c>
      <c r="J117" t="s">
        <v>911</v>
      </c>
    </row>
    <row r="118" spans="1:10">
      <c r="A118" t="s">
        <v>117</v>
      </c>
      <c r="B118" t="s">
        <v>505</v>
      </c>
      <c r="C118" t="s">
        <v>611</v>
      </c>
      <c r="E118" t="s">
        <v>902</v>
      </c>
      <c r="F118">
        <v>10000</v>
      </c>
      <c r="G118">
        <v>37</v>
      </c>
      <c r="H118">
        <v>56</v>
      </c>
      <c r="I118" t="s">
        <v>908</v>
      </c>
      <c r="J118" t="s">
        <v>909</v>
      </c>
    </row>
    <row r="119" spans="1:10">
      <c r="A119" t="s">
        <v>118</v>
      </c>
      <c r="B119" t="s">
        <v>506</v>
      </c>
      <c r="C119" t="s">
        <v>612</v>
      </c>
      <c r="E119" t="s">
        <v>900</v>
      </c>
      <c r="F119">
        <v>20000</v>
      </c>
      <c r="G119">
        <v>42</v>
      </c>
      <c r="H119">
        <v>14</v>
      </c>
      <c r="I119" t="s">
        <v>908</v>
      </c>
      <c r="J119" t="s">
        <v>909</v>
      </c>
    </row>
    <row r="120" spans="1:10">
      <c r="A120" t="s">
        <v>119</v>
      </c>
      <c r="B120" t="s">
        <v>505</v>
      </c>
      <c r="C120" t="s">
        <v>613</v>
      </c>
      <c r="E120" t="s">
        <v>902</v>
      </c>
      <c r="F120">
        <v>50000</v>
      </c>
      <c r="G120">
        <v>48</v>
      </c>
      <c r="H120">
        <v>71</v>
      </c>
      <c r="I120" t="s">
        <v>908</v>
      </c>
      <c r="J120" t="s">
        <v>909</v>
      </c>
    </row>
    <row r="121" spans="1:10">
      <c r="A121" t="s">
        <v>120</v>
      </c>
      <c r="B121" t="s">
        <v>502</v>
      </c>
      <c r="C121" t="s">
        <v>614</v>
      </c>
      <c r="E121" t="s">
        <v>902</v>
      </c>
      <c r="F121">
        <v>5000</v>
      </c>
      <c r="G121">
        <v>49</v>
      </c>
      <c r="H121">
        <v>52</v>
      </c>
      <c r="I121" t="s">
        <v>908</v>
      </c>
      <c r="J121" t="s">
        <v>909</v>
      </c>
    </row>
    <row r="122" spans="1:10">
      <c r="A122" t="s">
        <v>121</v>
      </c>
      <c r="B122" t="s">
        <v>503</v>
      </c>
      <c r="C122" t="s">
        <v>615</v>
      </c>
      <c r="E122" t="s">
        <v>900</v>
      </c>
      <c r="F122">
        <v>50000</v>
      </c>
      <c r="G122">
        <v>3</v>
      </c>
      <c r="H122">
        <v>25</v>
      </c>
      <c r="I122" t="s">
        <v>908</v>
      </c>
      <c r="J122" t="s">
        <v>908</v>
      </c>
    </row>
    <row r="123" spans="1:10">
      <c r="A123" t="s">
        <v>122</v>
      </c>
      <c r="B123" t="s">
        <v>503</v>
      </c>
      <c r="C123" t="s">
        <v>616</v>
      </c>
      <c r="E123" t="s">
        <v>902</v>
      </c>
      <c r="F123">
        <v>5000</v>
      </c>
      <c r="G123">
        <v>13</v>
      </c>
      <c r="H123">
        <v>35</v>
      </c>
      <c r="I123" t="s">
        <v>908</v>
      </c>
      <c r="J123" t="s">
        <v>909</v>
      </c>
    </row>
    <row r="124" spans="1:10">
      <c r="A124" t="s">
        <v>123</v>
      </c>
      <c r="B124" t="s">
        <v>503</v>
      </c>
      <c r="C124" t="s">
        <v>617</v>
      </c>
      <c r="E124" t="s">
        <v>900</v>
      </c>
      <c r="F124">
        <v>5000</v>
      </c>
      <c r="G124">
        <v>1</v>
      </c>
      <c r="H124">
        <v>81</v>
      </c>
      <c r="I124" t="s">
        <v>908</v>
      </c>
      <c r="J124" t="s">
        <v>911</v>
      </c>
    </row>
    <row r="125" spans="1:10">
      <c r="A125" t="s">
        <v>124</v>
      </c>
      <c r="B125" t="s">
        <v>503</v>
      </c>
      <c r="C125" t="s">
        <v>618</v>
      </c>
      <c r="E125" t="s">
        <v>900</v>
      </c>
      <c r="F125">
        <v>100000</v>
      </c>
      <c r="G125">
        <v>26</v>
      </c>
      <c r="H125">
        <v>12</v>
      </c>
      <c r="I125" t="s">
        <v>907</v>
      </c>
      <c r="J125" t="s">
        <v>908</v>
      </c>
    </row>
    <row r="126" spans="1:10">
      <c r="A126" t="s">
        <v>125</v>
      </c>
      <c r="B126" t="s">
        <v>505</v>
      </c>
      <c r="C126" t="s">
        <v>619</v>
      </c>
      <c r="E126" t="s">
        <v>900</v>
      </c>
      <c r="F126">
        <v>50000</v>
      </c>
      <c r="G126">
        <v>45</v>
      </c>
      <c r="H126">
        <v>38</v>
      </c>
      <c r="I126" t="s">
        <v>907</v>
      </c>
      <c r="J126" t="s">
        <v>909</v>
      </c>
    </row>
    <row r="127" spans="1:10">
      <c r="A127" t="s">
        <v>126</v>
      </c>
      <c r="B127" t="s">
        <v>503</v>
      </c>
      <c r="C127" t="s">
        <v>620</v>
      </c>
      <c r="E127" t="s">
        <v>901</v>
      </c>
      <c r="F127">
        <v>50000</v>
      </c>
      <c r="G127">
        <v>15</v>
      </c>
      <c r="H127">
        <v>59</v>
      </c>
      <c r="I127" t="s">
        <v>908</v>
      </c>
      <c r="J127" t="s">
        <v>908</v>
      </c>
    </row>
    <row r="128" spans="1:10">
      <c r="A128" t="s">
        <v>127</v>
      </c>
      <c r="B128" t="s">
        <v>503</v>
      </c>
      <c r="C128" t="s">
        <v>621</v>
      </c>
      <c r="E128" t="s">
        <v>900</v>
      </c>
      <c r="F128">
        <v>5000</v>
      </c>
      <c r="G128">
        <v>17</v>
      </c>
      <c r="H128">
        <v>99</v>
      </c>
      <c r="I128" t="s">
        <v>907</v>
      </c>
      <c r="J128" t="s">
        <v>908</v>
      </c>
    </row>
    <row r="129" spans="1:10">
      <c r="A129" t="s">
        <v>128</v>
      </c>
      <c r="B129" t="s">
        <v>506</v>
      </c>
      <c r="C129" t="s">
        <v>622</v>
      </c>
      <c r="E129" t="s">
        <v>902</v>
      </c>
      <c r="F129">
        <v>20000</v>
      </c>
      <c r="G129">
        <v>46</v>
      </c>
      <c r="H129">
        <v>39</v>
      </c>
      <c r="I129" t="s">
        <v>907</v>
      </c>
      <c r="J129" t="s">
        <v>909</v>
      </c>
    </row>
    <row r="130" spans="1:10">
      <c r="A130" t="s">
        <v>129</v>
      </c>
      <c r="B130" t="s">
        <v>503</v>
      </c>
      <c r="C130" t="s">
        <v>623</v>
      </c>
      <c r="E130" t="s">
        <v>901</v>
      </c>
      <c r="F130">
        <v>50000</v>
      </c>
      <c r="G130">
        <v>34</v>
      </c>
      <c r="H130">
        <v>62</v>
      </c>
      <c r="I130" t="s">
        <v>907</v>
      </c>
      <c r="J130" t="s">
        <v>909</v>
      </c>
    </row>
    <row r="131" spans="1:10">
      <c r="A131" t="s">
        <v>130</v>
      </c>
      <c r="B131" t="s">
        <v>504</v>
      </c>
      <c r="C131" t="s">
        <v>624</v>
      </c>
      <c r="E131" t="s">
        <v>902</v>
      </c>
      <c r="F131">
        <v>50000</v>
      </c>
      <c r="G131">
        <v>20</v>
      </c>
      <c r="H131">
        <v>25</v>
      </c>
      <c r="I131" t="s">
        <v>908</v>
      </c>
      <c r="J131" t="s">
        <v>909</v>
      </c>
    </row>
    <row r="132" spans="1:10">
      <c r="A132" t="s">
        <v>131</v>
      </c>
      <c r="B132" t="s">
        <v>505</v>
      </c>
      <c r="C132" t="s">
        <v>621</v>
      </c>
      <c r="E132" t="s">
        <v>901</v>
      </c>
      <c r="F132">
        <v>5000</v>
      </c>
      <c r="G132">
        <v>20</v>
      </c>
      <c r="H132">
        <v>96</v>
      </c>
      <c r="I132" t="s">
        <v>908</v>
      </c>
      <c r="J132" t="s">
        <v>908</v>
      </c>
    </row>
    <row r="133" spans="1:10">
      <c r="A133" t="s">
        <v>132</v>
      </c>
      <c r="B133" t="s">
        <v>506</v>
      </c>
      <c r="C133" t="s">
        <v>625</v>
      </c>
      <c r="E133" t="s">
        <v>901</v>
      </c>
      <c r="F133">
        <v>50000</v>
      </c>
      <c r="G133">
        <v>2</v>
      </c>
      <c r="H133">
        <v>17</v>
      </c>
      <c r="I133" t="s">
        <v>907</v>
      </c>
      <c r="J133" t="s">
        <v>908</v>
      </c>
    </row>
    <row r="134" spans="1:10">
      <c r="A134" t="s">
        <v>133</v>
      </c>
      <c r="B134" t="s">
        <v>503</v>
      </c>
      <c r="C134" t="s">
        <v>626</v>
      </c>
      <c r="E134" t="s">
        <v>901</v>
      </c>
      <c r="F134">
        <v>5000</v>
      </c>
      <c r="G134">
        <v>33</v>
      </c>
      <c r="H134">
        <v>59</v>
      </c>
      <c r="I134" t="s">
        <v>908</v>
      </c>
      <c r="J134" t="s">
        <v>909</v>
      </c>
    </row>
    <row r="135" spans="1:10">
      <c r="A135" t="s">
        <v>134</v>
      </c>
      <c r="B135" t="s">
        <v>502</v>
      </c>
      <c r="C135" t="s">
        <v>627</v>
      </c>
      <c r="E135" t="s">
        <v>901</v>
      </c>
      <c r="F135">
        <v>5000</v>
      </c>
      <c r="G135">
        <v>30</v>
      </c>
      <c r="H135">
        <v>34</v>
      </c>
      <c r="I135" t="s">
        <v>907</v>
      </c>
      <c r="J135" t="s">
        <v>909</v>
      </c>
    </row>
    <row r="136" spans="1:10">
      <c r="A136" t="s">
        <v>135</v>
      </c>
      <c r="B136" t="s">
        <v>504</v>
      </c>
      <c r="C136" t="s">
        <v>628</v>
      </c>
      <c r="E136" t="s">
        <v>901</v>
      </c>
      <c r="F136">
        <v>20000</v>
      </c>
      <c r="G136">
        <v>43</v>
      </c>
      <c r="H136">
        <v>69</v>
      </c>
      <c r="I136" t="s">
        <v>907</v>
      </c>
      <c r="J136" t="s">
        <v>909</v>
      </c>
    </row>
    <row r="137" spans="1:10">
      <c r="A137" t="s">
        <v>136</v>
      </c>
      <c r="B137" t="s">
        <v>506</v>
      </c>
      <c r="C137" t="s">
        <v>629</v>
      </c>
      <c r="E137" t="s">
        <v>902</v>
      </c>
      <c r="F137">
        <v>100000</v>
      </c>
      <c r="G137">
        <v>2</v>
      </c>
      <c r="H137">
        <v>80</v>
      </c>
      <c r="I137" t="s">
        <v>908</v>
      </c>
      <c r="J137" t="s">
        <v>911</v>
      </c>
    </row>
    <row r="138" spans="1:10">
      <c r="A138" t="s">
        <v>137</v>
      </c>
      <c r="B138" t="s">
        <v>502</v>
      </c>
      <c r="C138" t="s">
        <v>630</v>
      </c>
      <c r="E138" t="s">
        <v>900</v>
      </c>
      <c r="F138">
        <v>10000</v>
      </c>
      <c r="G138">
        <v>47</v>
      </c>
      <c r="H138">
        <v>12</v>
      </c>
      <c r="I138" t="s">
        <v>908</v>
      </c>
      <c r="J138" t="s">
        <v>909</v>
      </c>
    </row>
    <row r="139" spans="1:10">
      <c r="A139" t="s">
        <v>138</v>
      </c>
      <c r="B139" t="s">
        <v>506</v>
      </c>
      <c r="C139" t="s">
        <v>631</v>
      </c>
      <c r="E139" t="s">
        <v>900</v>
      </c>
      <c r="F139">
        <v>50000</v>
      </c>
      <c r="G139">
        <v>10</v>
      </c>
      <c r="H139">
        <v>89</v>
      </c>
      <c r="I139" t="s">
        <v>907</v>
      </c>
      <c r="J139" t="s">
        <v>911</v>
      </c>
    </row>
    <row r="140" spans="1:10">
      <c r="A140" t="s">
        <v>139</v>
      </c>
      <c r="B140" t="s">
        <v>504</v>
      </c>
      <c r="C140" t="s">
        <v>565</v>
      </c>
      <c r="E140" t="s">
        <v>900</v>
      </c>
      <c r="F140">
        <v>20000</v>
      </c>
      <c r="G140">
        <v>22</v>
      </c>
      <c r="H140">
        <v>48</v>
      </c>
      <c r="I140" t="s">
        <v>907</v>
      </c>
      <c r="J140" t="s">
        <v>909</v>
      </c>
    </row>
    <row r="141" spans="1:10">
      <c r="A141" t="s">
        <v>140</v>
      </c>
      <c r="B141" t="s">
        <v>506</v>
      </c>
      <c r="C141" t="s">
        <v>517</v>
      </c>
      <c r="E141" t="s">
        <v>900</v>
      </c>
      <c r="F141">
        <v>10000</v>
      </c>
      <c r="G141">
        <v>11</v>
      </c>
      <c r="H141">
        <v>11</v>
      </c>
      <c r="I141" t="s">
        <v>907</v>
      </c>
      <c r="J141" t="s">
        <v>909</v>
      </c>
    </row>
    <row r="142" spans="1:10">
      <c r="A142" t="s">
        <v>141</v>
      </c>
      <c r="B142" t="s">
        <v>503</v>
      </c>
      <c r="C142" t="s">
        <v>632</v>
      </c>
      <c r="E142" t="s">
        <v>902</v>
      </c>
      <c r="F142">
        <v>100000</v>
      </c>
      <c r="G142">
        <v>9</v>
      </c>
      <c r="H142">
        <v>30</v>
      </c>
      <c r="I142" t="s">
        <v>908</v>
      </c>
      <c r="J142" t="s">
        <v>911</v>
      </c>
    </row>
    <row r="143" spans="1:10">
      <c r="A143" t="s">
        <v>142</v>
      </c>
      <c r="B143" t="s">
        <v>506</v>
      </c>
      <c r="C143" t="s">
        <v>633</v>
      </c>
      <c r="E143" t="s">
        <v>901</v>
      </c>
      <c r="F143">
        <v>50000</v>
      </c>
      <c r="G143">
        <v>18</v>
      </c>
      <c r="H143">
        <v>87</v>
      </c>
      <c r="I143" t="s">
        <v>907</v>
      </c>
      <c r="J143" t="s">
        <v>911</v>
      </c>
    </row>
    <row r="144" spans="1:10">
      <c r="A144" t="s">
        <v>143</v>
      </c>
      <c r="B144" t="s">
        <v>503</v>
      </c>
      <c r="C144" t="s">
        <v>634</v>
      </c>
      <c r="E144" t="s">
        <v>900</v>
      </c>
      <c r="F144">
        <v>100000</v>
      </c>
      <c r="G144">
        <v>19</v>
      </c>
      <c r="H144">
        <v>82</v>
      </c>
      <c r="I144" t="s">
        <v>908</v>
      </c>
      <c r="J144" t="s">
        <v>911</v>
      </c>
    </row>
    <row r="145" spans="1:10">
      <c r="A145" t="s">
        <v>144</v>
      </c>
      <c r="B145" t="s">
        <v>506</v>
      </c>
      <c r="C145" t="s">
        <v>635</v>
      </c>
      <c r="E145" t="s">
        <v>901</v>
      </c>
      <c r="F145">
        <v>10000</v>
      </c>
      <c r="G145">
        <v>24</v>
      </c>
      <c r="H145">
        <v>62</v>
      </c>
      <c r="I145" t="s">
        <v>908</v>
      </c>
      <c r="J145" t="s">
        <v>909</v>
      </c>
    </row>
    <row r="146" spans="1:10">
      <c r="A146" t="s">
        <v>145</v>
      </c>
      <c r="B146" t="s">
        <v>502</v>
      </c>
      <c r="C146" t="s">
        <v>625</v>
      </c>
      <c r="E146" t="s">
        <v>900</v>
      </c>
      <c r="F146">
        <v>20000</v>
      </c>
      <c r="G146">
        <v>1</v>
      </c>
      <c r="H146">
        <v>85</v>
      </c>
      <c r="I146" t="s">
        <v>908</v>
      </c>
      <c r="J146" t="s">
        <v>911</v>
      </c>
    </row>
    <row r="147" spans="1:10">
      <c r="A147" t="s">
        <v>146</v>
      </c>
      <c r="B147" t="s">
        <v>506</v>
      </c>
      <c r="C147" t="s">
        <v>636</v>
      </c>
      <c r="E147" t="s">
        <v>902</v>
      </c>
      <c r="F147">
        <v>100000</v>
      </c>
      <c r="G147">
        <v>47</v>
      </c>
      <c r="H147">
        <v>64</v>
      </c>
      <c r="I147" t="s">
        <v>907</v>
      </c>
      <c r="J147" t="s">
        <v>909</v>
      </c>
    </row>
    <row r="148" spans="1:10">
      <c r="A148" t="s">
        <v>147</v>
      </c>
      <c r="B148" t="s">
        <v>504</v>
      </c>
      <c r="C148" t="s">
        <v>530</v>
      </c>
      <c r="E148" t="s">
        <v>900</v>
      </c>
      <c r="F148">
        <v>10000</v>
      </c>
      <c r="G148">
        <v>39</v>
      </c>
      <c r="H148">
        <v>33</v>
      </c>
      <c r="I148" t="s">
        <v>907</v>
      </c>
      <c r="J148" t="s">
        <v>909</v>
      </c>
    </row>
    <row r="149" spans="1:10">
      <c r="A149" t="s">
        <v>148</v>
      </c>
      <c r="B149" t="s">
        <v>505</v>
      </c>
      <c r="C149" t="s">
        <v>637</v>
      </c>
      <c r="E149" t="s">
        <v>901</v>
      </c>
      <c r="F149">
        <v>20000</v>
      </c>
      <c r="G149">
        <v>50</v>
      </c>
      <c r="H149">
        <v>57</v>
      </c>
      <c r="I149" t="s">
        <v>907</v>
      </c>
      <c r="J149" t="s">
        <v>909</v>
      </c>
    </row>
    <row r="150" spans="1:10">
      <c r="A150" t="s">
        <v>149</v>
      </c>
      <c r="B150" t="s">
        <v>502</v>
      </c>
      <c r="C150" t="s">
        <v>638</v>
      </c>
      <c r="E150" t="s">
        <v>901</v>
      </c>
      <c r="F150">
        <v>20000</v>
      </c>
      <c r="G150">
        <v>20</v>
      </c>
      <c r="H150">
        <v>96</v>
      </c>
      <c r="I150" t="s">
        <v>907</v>
      </c>
      <c r="J150" t="s">
        <v>908</v>
      </c>
    </row>
    <row r="151" spans="1:10">
      <c r="A151" t="s">
        <v>150</v>
      </c>
      <c r="B151" t="s">
        <v>506</v>
      </c>
      <c r="C151" t="s">
        <v>639</v>
      </c>
      <c r="E151" t="s">
        <v>900</v>
      </c>
      <c r="F151">
        <v>100000</v>
      </c>
      <c r="G151">
        <v>32</v>
      </c>
      <c r="H151">
        <v>35</v>
      </c>
      <c r="I151" t="s">
        <v>908</v>
      </c>
      <c r="J151" t="s">
        <v>908</v>
      </c>
    </row>
    <row r="152" spans="1:10">
      <c r="A152" t="s">
        <v>151</v>
      </c>
      <c r="B152" t="s">
        <v>505</v>
      </c>
      <c r="C152" t="s">
        <v>640</v>
      </c>
      <c r="E152" t="s">
        <v>902</v>
      </c>
      <c r="F152">
        <v>20000</v>
      </c>
      <c r="G152">
        <v>7</v>
      </c>
      <c r="H152">
        <v>60</v>
      </c>
      <c r="I152" t="s">
        <v>908</v>
      </c>
      <c r="J152" t="s">
        <v>908</v>
      </c>
    </row>
    <row r="153" spans="1:10">
      <c r="A153" t="s">
        <v>152</v>
      </c>
      <c r="B153" t="s">
        <v>502</v>
      </c>
      <c r="C153" t="s">
        <v>641</v>
      </c>
      <c r="E153" t="s">
        <v>900</v>
      </c>
      <c r="F153">
        <v>100000</v>
      </c>
      <c r="G153">
        <v>23</v>
      </c>
      <c r="H153">
        <v>12</v>
      </c>
      <c r="I153" t="s">
        <v>908</v>
      </c>
      <c r="J153" t="s">
        <v>908</v>
      </c>
    </row>
    <row r="154" spans="1:10">
      <c r="A154" t="s">
        <v>153</v>
      </c>
      <c r="B154" t="s">
        <v>506</v>
      </c>
      <c r="C154" t="s">
        <v>550</v>
      </c>
      <c r="E154" t="s">
        <v>900</v>
      </c>
      <c r="F154">
        <v>20000</v>
      </c>
      <c r="G154">
        <v>43</v>
      </c>
      <c r="H154">
        <v>96</v>
      </c>
      <c r="I154" t="s">
        <v>908</v>
      </c>
      <c r="J154" t="s">
        <v>909</v>
      </c>
    </row>
    <row r="155" spans="1:10">
      <c r="A155" t="s">
        <v>154</v>
      </c>
      <c r="B155" t="s">
        <v>504</v>
      </c>
      <c r="C155" t="s">
        <v>625</v>
      </c>
      <c r="E155" t="s">
        <v>901</v>
      </c>
      <c r="F155">
        <v>5000</v>
      </c>
      <c r="G155">
        <v>43</v>
      </c>
      <c r="H155">
        <v>30</v>
      </c>
      <c r="I155" t="s">
        <v>908</v>
      </c>
      <c r="J155" t="s">
        <v>909</v>
      </c>
    </row>
    <row r="156" spans="1:10">
      <c r="A156" t="s">
        <v>155</v>
      </c>
      <c r="B156" t="s">
        <v>506</v>
      </c>
      <c r="C156" t="s">
        <v>632</v>
      </c>
      <c r="E156" t="s">
        <v>900</v>
      </c>
      <c r="F156">
        <v>100000</v>
      </c>
      <c r="G156">
        <v>14</v>
      </c>
      <c r="H156">
        <v>83</v>
      </c>
      <c r="I156" t="s">
        <v>908</v>
      </c>
      <c r="J156" t="s">
        <v>911</v>
      </c>
    </row>
    <row r="157" spans="1:10">
      <c r="A157" t="s">
        <v>156</v>
      </c>
      <c r="B157" t="s">
        <v>502</v>
      </c>
      <c r="C157" t="s">
        <v>642</v>
      </c>
      <c r="E157" t="s">
        <v>901</v>
      </c>
      <c r="F157">
        <v>50000</v>
      </c>
      <c r="G157">
        <v>7</v>
      </c>
      <c r="H157">
        <v>18</v>
      </c>
      <c r="I157" t="s">
        <v>908</v>
      </c>
      <c r="J157" t="s">
        <v>908</v>
      </c>
    </row>
    <row r="158" spans="1:10">
      <c r="A158" t="s">
        <v>157</v>
      </c>
      <c r="B158" t="s">
        <v>502</v>
      </c>
      <c r="C158" t="s">
        <v>643</v>
      </c>
      <c r="E158" t="s">
        <v>900</v>
      </c>
      <c r="F158">
        <v>5000</v>
      </c>
      <c r="G158">
        <v>15</v>
      </c>
      <c r="H158">
        <v>69</v>
      </c>
      <c r="I158" t="s">
        <v>907</v>
      </c>
      <c r="J158" t="s">
        <v>908</v>
      </c>
    </row>
    <row r="159" spans="1:10">
      <c r="A159" t="s">
        <v>158</v>
      </c>
      <c r="B159" t="s">
        <v>505</v>
      </c>
      <c r="C159" t="s">
        <v>525</v>
      </c>
      <c r="E159" t="s">
        <v>902</v>
      </c>
      <c r="F159">
        <v>100000</v>
      </c>
      <c r="G159">
        <v>47</v>
      </c>
      <c r="H159">
        <v>94</v>
      </c>
      <c r="I159" t="s">
        <v>908</v>
      </c>
      <c r="J159" t="s">
        <v>908</v>
      </c>
    </row>
    <row r="160" spans="1:10">
      <c r="A160" t="s">
        <v>159</v>
      </c>
      <c r="B160" t="s">
        <v>505</v>
      </c>
      <c r="C160" t="s">
        <v>644</v>
      </c>
      <c r="D160" t="s">
        <v>872</v>
      </c>
      <c r="E160" t="s">
        <v>902</v>
      </c>
      <c r="F160">
        <v>100000</v>
      </c>
      <c r="G160">
        <v>26</v>
      </c>
      <c r="H160">
        <v>36</v>
      </c>
      <c r="I160" t="s">
        <v>909</v>
      </c>
      <c r="J160" t="s">
        <v>908</v>
      </c>
    </row>
    <row r="161" spans="1:10">
      <c r="A161" t="s">
        <v>160</v>
      </c>
      <c r="B161" t="s">
        <v>502</v>
      </c>
      <c r="C161" t="s">
        <v>516</v>
      </c>
      <c r="E161" t="s">
        <v>901</v>
      </c>
      <c r="F161">
        <v>10000</v>
      </c>
      <c r="G161">
        <v>23</v>
      </c>
      <c r="H161">
        <v>13</v>
      </c>
      <c r="I161" t="s">
        <v>908</v>
      </c>
      <c r="J161" t="s">
        <v>909</v>
      </c>
    </row>
    <row r="162" spans="1:10">
      <c r="A162" t="s">
        <v>161</v>
      </c>
      <c r="B162" t="s">
        <v>504</v>
      </c>
      <c r="C162" t="s">
        <v>645</v>
      </c>
      <c r="E162" t="s">
        <v>901</v>
      </c>
      <c r="F162">
        <v>20000</v>
      </c>
      <c r="G162">
        <v>12</v>
      </c>
      <c r="H162">
        <v>16</v>
      </c>
      <c r="I162" t="s">
        <v>908</v>
      </c>
      <c r="J162" t="s">
        <v>909</v>
      </c>
    </row>
    <row r="163" spans="1:10">
      <c r="A163" t="s">
        <v>162</v>
      </c>
      <c r="B163" t="s">
        <v>506</v>
      </c>
      <c r="C163" t="s">
        <v>646</v>
      </c>
      <c r="E163" t="s">
        <v>900</v>
      </c>
      <c r="F163">
        <v>5000</v>
      </c>
      <c r="G163">
        <v>50</v>
      </c>
      <c r="H163">
        <v>43</v>
      </c>
      <c r="I163" t="s">
        <v>907</v>
      </c>
      <c r="J163" t="s">
        <v>909</v>
      </c>
    </row>
    <row r="164" spans="1:10">
      <c r="A164" t="s">
        <v>163</v>
      </c>
      <c r="B164" t="s">
        <v>505</v>
      </c>
      <c r="C164" t="s">
        <v>647</v>
      </c>
      <c r="E164" t="s">
        <v>900</v>
      </c>
      <c r="F164">
        <v>100000</v>
      </c>
      <c r="G164">
        <v>13</v>
      </c>
      <c r="H164">
        <v>30</v>
      </c>
      <c r="I164" t="s">
        <v>907</v>
      </c>
      <c r="J164" t="s">
        <v>911</v>
      </c>
    </row>
    <row r="165" spans="1:10">
      <c r="A165" t="s">
        <v>164</v>
      </c>
      <c r="B165" t="s">
        <v>504</v>
      </c>
      <c r="C165" t="s">
        <v>648</v>
      </c>
      <c r="D165" t="s">
        <v>873</v>
      </c>
      <c r="E165" t="s">
        <v>900</v>
      </c>
      <c r="F165">
        <v>10000</v>
      </c>
      <c r="G165">
        <v>34</v>
      </c>
      <c r="H165">
        <v>33</v>
      </c>
      <c r="I165" t="s">
        <v>909</v>
      </c>
      <c r="J165" t="s">
        <v>909</v>
      </c>
    </row>
    <row r="166" spans="1:10">
      <c r="A166" t="s">
        <v>165</v>
      </c>
      <c r="B166" t="s">
        <v>505</v>
      </c>
      <c r="C166" t="s">
        <v>649</v>
      </c>
      <c r="E166" t="s">
        <v>900</v>
      </c>
      <c r="F166">
        <v>5000</v>
      </c>
      <c r="G166">
        <v>22</v>
      </c>
      <c r="H166">
        <v>31</v>
      </c>
      <c r="I166" t="s">
        <v>907</v>
      </c>
      <c r="J166" t="s">
        <v>909</v>
      </c>
    </row>
    <row r="167" spans="1:10">
      <c r="A167" t="s">
        <v>166</v>
      </c>
      <c r="B167" t="s">
        <v>503</v>
      </c>
      <c r="C167" t="s">
        <v>650</v>
      </c>
      <c r="E167" t="s">
        <v>902</v>
      </c>
      <c r="F167">
        <v>10000</v>
      </c>
      <c r="G167">
        <v>47</v>
      </c>
      <c r="H167">
        <v>54</v>
      </c>
      <c r="I167" t="s">
        <v>907</v>
      </c>
      <c r="J167" t="s">
        <v>909</v>
      </c>
    </row>
    <row r="168" spans="1:10">
      <c r="A168" t="s">
        <v>167</v>
      </c>
      <c r="B168" t="s">
        <v>503</v>
      </c>
      <c r="C168" t="s">
        <v>523</v>
      </c>
      <c r="E168" t="s">
        <v>900</v>
      </c>
      <c r="F168">
        <v>100000</v>
      </c>
      <c r="G168">
        <v>37</v>
      </c>
      <c r="H168">
        <v>14</v>
      </c>
      <c r="I168" t="s">
        <v>908</v>
      </c>
      <c r="J168" t="s">
        <v>909</v>
      </c>
    </row>
    <row r="169" spans="1:10">
      <c r="A169" t="s">
        <v>168</v>
      </c>
      <c r="B169" t="s">
        <v>506</v>
      </c>
      <c r="C169" t="s">
        <v>593</v>
      </c>
      <c r="E169" t="s">
        <v>901</v>
      </c>
      <c r="F169">
        <v>100000</v>
      </c>
      <c r="G169">
        <v>19</v>
      </c>
      <c r="H169">
        <v>59</v>
      </c>
      <c r="I169" t="s">
        <v>907</v>
      </c>
      <c r="J169" t="s">
        <v>911</v>
      </c>
    </row>
    <row r="170" spans="1:10">
      <c r="A170" t="s">
        <v>169</v>
      </c>
      <c r="B170" t="s">
        <v>502</v>
      </c>
      <c r="C170" t="s">
        <v>600</v>
      </c>
      <c r="E170" t="s">
        <v>900</v>
      </c>
      <c r="F170">
        <v>5000</v>
      </c>
      <c r="G170">
        <v>31</v>
      </c>
      <c r="H170">
        <v>92</v>
      </c>
      <c r="I170" t="s">
        <v>908</v>
      </c>
      <c r="J170" t="s">
        <v>909</v>
      </c>
    </row>
    <row r="171" spans="1:10">
      <c r="A171" t="s">
        <v>170</v>
      </c>
      <c r="B171" t="s">
        <v>506</v>
      </c>
      <c r="C171" t="s">
        <v>544</v>
      </c>
      <c r="E171" t="s">
        <v>900</v>
      </c>
      <c r="F171">
        <v>5000</v>
      </c>
      <c r="G171">
        <v>8</v>
      </c>
      <c r="H171">
        <v>36</v>
      </c>
      <c r="I171" t="s">
        <v>907</v>
      </c>
      <c r="J171" t="s">
        <v>908</v>
      </c>
    </row>
    <row r="172" spans="1:10">
      <c r="A172" t="s">
        <v>171</v>
      </c>
      <c r="B172" t="s">
        <v>503</v>
      </c>
      <c r="C172" t="s">
        <v>651</v>
      </c>
      <c r="E172" t="s">
        <v>901</v>
      </c>
      <c r="F172">
        <v>50000</v>
      </c>
      <c r="G172">
        <v>38</v>
      </c>
      <c r="H172">
        <v>68</v>
      </c>
      <c r="I172" t="s">
        <v>908</v>
      </c>
      <c r="J172" t="s">
        <v>909</v>
      </c>
    </row>
    <row r="173" spans="1:10">
      <c r="A173" t="s">
        <v>172</v>
      </c>
      <c r="B173" t="s">
        <v>504</v>
      </c>
      <c r="C173" t="s">
        <v>652</v>
      </c>
      <c r="E173" t="s">
        <v>902</v>
      </c>
      <c r="F173">
        <v>5000</v>
      </c>
      <c r="G173">
        <v>41</v>
      </c>
      <c r="H173">
        <v>84</v>
      </c>
      <c r="I173" t="s">
        <v>907</v>
      </c>
      <c r="J173" t="s">
        <v>909</v>
      </c>
    </row>
    <row r="174" spans="1:10">
      <c r="A174" t="s">
        <v>173</v>
      </c>
      <c r="B174" t="s">
        <v>503</v>
      </c>
      <c r="C174" t="s">
        <v>653</v>
      </c>
      <c r="E174" t="s">
        <v>901</v>
      </c>
      <c r="F174">
        <v>50000</v>
      </c>
      <c r="G174">
        <v>21</v>
      </c>
      <c r="H174">
        <v>59</v>
      </c>
      <c r="I174" t="s">
        <v>907</v>
      </c>
      <c r="J174" t="s">
        <v>908</v>
      </c>
    </row>
    <row r="175" spans="1:10">
      <c r="A175" t="s">
        <v>174</v>
      </c>
      <c r="B175" t="s">
        <v>506</v>
      </c>
      <c r="C175" t="s">
        <v>654</v>
      </c>
      <c r="E175" t="s">
        <v>902</v>
      </c>
      <c r="F175">
        <v>20000</v>
      </c>
      <c r="G175">
        <v>23</v>
      </c>
      <c r="H175">
        <v>20</v>
      </c>
      <c r="I175" t="s">
        <v>908</v>
      </c>
      <c r="J175" t="s">
        <v>909</v>
      </c>
    </row>
    <row r="176" spans="1:10">
      <c r="A176" t="s">
        <v>175</v>
      </c>
      <c r="B176" t="s">
        <v>506</v>
      </c>
      <c r="C176" t="s">
        <v>522</v>
      </c>
      <c r="E176" t="s">
        <v>900</v>
      </c>
      <c r="F176">
        <v>50000</v>
      </c>
      <c r="G176">
        <v>6</v>
      </c>
      <c r="H176">
        <v>96</v>
      </c>
      <c r="I176" t="s">
        <v>907</v>
      </c>
      <c r="J176" t="s">
        <v>911</v>
      </c>
    </row>
    <row r="177" spans="1:10">
      <c r="A177" t="s">
        <v>176</v>
      </c>
      <c r="B177" t="s">
        <v>504</v>
      </c>
      <c r="C177" t="s">
        <v>655</v>
      </c>
      <c r="E177" t="s">
        <v>900</v>
      </c>
      <c r="F177">
        <v>5000</v>
      </c>
      <c r="G177">
        <v>26</v>
      </c>
      <c r="H177">
        <v>46</v>
      </c>
      <c r="I177" t="s">
        <v>908</v>
      </c>
      <c r="J177" t="s">
        <v>909</v>
      </c>
    </row>
    <row r="178" spans="1:10">
      <c r="A178" t="s">
        <v>177</v>
      </c>
      <c r="B178" t="s">
        <v>506</v>
      </c>
      <c r="C178" t="s">
        <v>656</v>
      </c>
      <c r="E178" t="s">
        <v>901</v>
      </c>
      <c r="F178">
        <v>20000</v>
      </c>
      <c r="G178">
        <v>6</v>
      </c>
      <c r="H178">
        <v>74</v>
      </c>
      <c r="I178" t="s">
        <v>908</v>
      </c>
      <c r="J178" t="s">
        <v>911</v>
      </c>
    </row>
    <row r="179" spans="1:10">
      <c r="A179" t="s">
        <v>178</v>
      </c>
      <c r="B179" t="s">
        <v>503</v>
      </c>
      <c r="C179" t="s">
        <v>556</v>
      </c>
      <c r="E179" t="s">
        <v>900</v>
      </c>
      <c r="F179">
        <v>5000</v>
      </c>
      <c r="G179">
        <v>22</v>
      </c>
      <c r="H179">
        <v>72</v>
      </c>
      <c r="I179" t="s">
        <v>907</v>
      </c>
      <c r="J179" t="s">
        <v>909</v>
      </c>
    </row>
    <row r="180" spans="1:10">
      <c r="A180" t="s">
        <v>179</v>
      </c>
      <c r="B180" t="s">
        <v>504</v>
      </c>
      <c r="C180" t="s">
        <v>657</v>
      </c>
      <c r="E180" t="s">
        <v>900</v>
      </c>
      <c r="F180">
        <v>100000</v>
      </c>
      <c r="G180">
        <v>49</v>
      </c>
      <c r="H180">
        <v>80</v>
      </c>
      <c r="I180" t="s">
        <v>908</v>
      </c>
      <c r="J180" t="s">
        <v>909</v>
      </c>
    </row>
    <row r="181" spans="1:10">
      <c r="A181" t="s">
        <v>180</v>
      </c>
      <c r="B181" t="s">
        <v>503</v>
      </c>
      <c r="C181" t="s">
        <v>658</v>
      </c>
      <c r="E181" t="s">
        <v>901</v>
      </c>
      <c r="F181">
        <v>5000</v>
      </c>
      <c r="G181">
        <v>11</v>
      </c>
      <c r="H181">
        <v>35</v>
      </c>
      <c r="I181" t="s">
        <v>908</v>
      </c>
      <c r="J181" t="s">
        <v>909</v>
      </c>
    </row>
    <row r="182" spans="1:10">
      <c r="A182" t="s">
        <v>181</v>
      </c>
      <c r="B182" t="s">
        <v>504</v>
      </c>
      <c r="C182" t="s">
        <v>560</v>
      </c>
      <c r="D182" t="s">
        <v>860</v>
      </c>
      <c r="E182" t="s">
        <v>902</v>
      </c>
      <c r="F182">
        <v>100000</v>
      </c>
      <c r="G182">
        <v>42</v>
      </c>
      <c r="H182">
        <v>52</v>
      </c>
      <c r="I182" t="s">
        <v>909</v>
      </c>
      <c r="J182" t="s">
        <v>909</v>
      </c>
    </row>
    <row r="183" spans="1:10">
      <c r="A183" t="s">
        <v>182</v>
      </c>
      <c r="B183" t="s">
        <v>502</v>
      </c>
      <c r="C183" t="s">
        <v>631</v>
      </c>
      <c r="E183" t="s">
        <v>900</v>
      </c>
      <c r="F183">
        <v>100000</v>
      </c>
      <c r="G183">
        <v>13</v>
      </c>
      <c r="H183">
        <v>49</v>
      </c>
      <c r="I183" t="s">
        <v>907</v>
      </c>
      <c r="J183" t="s">
        <v>911</v>
      </c>
    </row>
    <row r="184" spans="1:10">
      <c r="A184" t="s">
        <v>183</v>
      </c>
      <c r="B184" t="s">
        <v>506</v>
      </c>
      <c r="C184" t="s">
        <v>659</v>
      </c>
      <c r="E184" t="s">
        <v>902</v>
      </c>
      <c r="F184">
        <v>20000</v>
      </c>
      <c r="G184">
        <v>49</v>
      </c>
      <c r="H184">
        <v>73</v>
      </c>
      <c r="I184" t="s">
        <v>908</v>
      </c>
      <c r="J184" t="s">
        <v>909</v>
      </c>
    </row>
    <row r="185" spans="1:10">
      <c r="A185" t="s">
        <v>184</v>
      </c>
      <c r="B185" t="s">
        <v>503</v>
      </c>
      <c r="C185" t="s">
        <v>660</v>
      </c>
      <c r="E185" t="s">
        <v>900</v>
      </c>
      <c r="F185">
        <v>5000</v>
      </c>
      <c r="G185">
        <v>17</v>
      </c>
      <c r="H185">
        <v>57</v>
      </c>
      <c r="I185" t="s">
        <v>907</v>
      </c>
      <c r="J185" t="s">
        <v>909</v>
      </c>
    </row>
    <row r="186" spans="1:10">
      <c r="A186" t="s">
        <v>185</v>
      </c>
      <c r="B186" t="s">
        <v>506</v>
      </c>
      <c r="C186" t="s">
        <v>530</v>
      </c>
      <c r="E186" t="s">
        <v>902</v>
      </c>
      <c r="F186">
        <v>10000</v>
      </c>
      <c r="G186">
        <v>48</v>
      </c>
      <c r="H186">
        <v>66</v>
      </c>
      <c r="I186" t="s">
        <v>908</v>
      </c>
      <c r="J186" t="s">
        <v>909</v>
      </c>
    </row>
    <row r="187" spans="1:10">
      <c r="A187" t="s">
        <v>186</v>
      </c>
      <c r="B187" t="s">
        <v>502</v>
      </c>
      <c r="C187" t="s">
        <v>661</v>
      </c>
      <c r="E187" t="s">
        <v>902</v>
      </c>
      <c r="F187">
        <v>100000</v>
      </c>
      <c r="G187">
        <v>42</v>
      </c>
      <c r="H187">
        <v>40</v>
      </c>
      <c r="I187" t="s">
        <v>908</v>
      </c>
      <c r="J187" t="s">
        <v>909</v>
      </c>
    </row>
    <row r="188" spans="1:10">
      <c r="A188" t="s">
        <v>187</v>
      </c>
      <c r="B188" t="s">
        <v>502</v>
      </c>
      <c r="C188" t="s">
        <v>662</v>
      </c>
      <c r="E188" t="s">
        <v>900</v>
      </c>
      <c r="F188">
        <v>5000</v>
      </c>
      <c r="G188">
        <v>13</v>
      </c>
      <c r="H188">
        <v>39</v>
      </c>
      <c r="I188" t="s">
        <v>907</v>
      </c>
      <c r="J188" t="s">
        <v>909</v>
      </c>
    </row>
    <row r="189" spans="1:10">
      <c r="A189" t="s">
        <v>188</v>
      </c>
      <c r="B189" t="s">
        <v>505</v>
      </c>
      <c r="C189" t="s">
        <v>663</v>
      </c>
      <c r="E189" t="s">
        <v>900</v>
      </c>
      <c r="F189">
        <v>5000</v>
      </c>
      <c r="G189">
        <v>31</v>
      </c>
      <c r="H189">
        <v>96</v>
      </c>
      <c r="I189" t="s">
        <v>907</v>
      </c>
      <c r="J189" t="s">
        <v>909</v>
      </c>
    </row>
    <row r="190" spans="1:10">
      <c r="A190" t="s">
        <v>189</v>
      </c>
      <c r="B190" t="s">
        <v>506</v>
      </c>
      <c r="C190" t="s">
        <v>664</v>
      </c>
      <c r="E190" t="s">
        <v>900</v>
      </c>
      <c r="F190">
        <v>100000</v>
      </c>
      <c r="G190">
        <v>35</v>
      </c>
      <c r="H190">
        <v>86</v>
      </c>
      <c r="I190" t="s">
        <v>907</v>
      </c>
      <c r="J190" t="s">
        <v>908</v>
      </c>
    </row>
    <row r="191" spans="1:10">
      <c r="A191" t="s">
        <v>190</v>
      </c>
      <c r="B191" t="s">
        <v>504</v>
      </c>
      <c r="C191" t="s">
        <v>665</v>
      </c>
      <c r="E191" t="s">
        <v>900</v>
      </c>
      <c r="F191">
        <v>50000</v>
      </c>
      <c r="G191">
        <v>1</v>
      </c>
      <c r="H191">
        <v>59</v>
      </c>
      <c r="I191" t="s">
        <v>907</v>
      </c>
      <c r="J191" t="s">
        <v>911</v>
      </c>
    </row>
    <row r="192" spans="1:10">
      <c r="A192" t="s">
        <v>191</v>
      </c>
      <c r="B192" t="s">
        <v>502</v>
      </c>
      <c r="C192" t="s">
        <v>666</v>
      </c>
      <c r="E192" t="s">
        <v>902</v>
      </c>
      <c r="F192">
        <v>50000</v>
      </c>
      <c r="G192">
        <v>18</v>
      </c>
      <c r="H192">
        <v>15</v>
      </c>
      <c r="I192" t="s">
        <v>908</v>
      </c>
      <c r="J192" t="s">
        <v>909</v>
      </c>
    </row>
    <row r="193" spans="1:10">
      <c r="A193" t="s">
        <v>192</v>
      </c>
      <c r="B193" t="s">
        <v>506</v>
      </c>
      <c r="C193" t="s">
        <v>667</v>
      </c>
      <c r="E193" t="s">
        <v>900</v>
      </c>
      <c r="F193">
        <v>20000</v>
      </c>
      <c r="G193">
        <v>5</v>
      </c>
      <c r="H193">
        <v>56</v>
      </c>
      <c r="I193" t="s">
        <v>908</v>
      </c>
      <c r="J193" t="s">
        <v>908</v>
      </c>
    </row>
    <row r="194" spans="1:10">
      <c r="A194" t="s">
        <v>193</v>
      </c>
      <c r="B194" t="s">
        <v>502</v>
      </c>
      <c r="C194" t="s">
        <v>668</v>
      </c>
      <c r="E194" t="s">
        <v>900</v>
      </c>
      <c r="F194">
        <v>50000</v>
      </c>
      <c r="G194">
        <v>19</v>
      </c>
      <c r="H194">
        <v>96</v>
      </c>
      <c r="I194" t="s">
        <v>907</v>
      </c>
      <c r="J194" t="s">
        <v>911</v>
      </c>
    </row>
    <row r="195" spans="1:10">
      <c r="A195" t="s">
        <v>194</v>
      </c>
      <c r="B195" t="s">
        <v>504</v>
      </c>
      <c r="C195" t="s">
        <v>669</v>
      </c>
      <c r="E195" t="s">
        <v>900</v>
      </c>
      <c r="F195">
        <v>100000</v>
      </c>
      <c r="G195">
        <v>40</v>
      </c>
      <c r="H195">
        <v>15</v>
      </c>
      <c r="I195" t="s">
        <v>907</v>
      </c>
      <c r="J195" t="s">
        <v>909</v>
      </c>
    </row>
    <row r="196" spans="1:10">
      <c r="A196" t="s">
        <v>195</v>
      </c>
      <c r="B196" t="s">
        <v>503</v>
      </c>
      <c r="C196" t="s">
        <v>670</v>
      </c>
      <c r="E196" t="s">
        <v>901</v>
      </c>
      <c r="F196">
        <v>20000</v>
      </c>
      <c r="G196">
        <v>46</v>
      </c>
      <c r="H196">
        <v>83</v>
      </c>
      <c r="I196" t="s">
        <v>908</v>
      </c>
      <c r="J196" t="s">
        <v>909</v>
      </c>
    </row>
    <row r="197" spans="1:10">
      <c r="A197" t="s">
        <v>196</v>
      </c>
      <c r="B197" t="s">
        <v>505</v>
      </c>
      <c r="C197" t="s">
        <v>671</v>
      </c>
      <c r="E197" t="s">
        <v>900</v>
      </c>
      <c r="F197">
        <v>10000</v>
      </c>
      <c r="G197">
        <v>38</v>
      </c>
      <c r="H197">
        <v>20</v>
      </c>
      <c r="I197" t="s">
        <v>907</v>
      </c>
      <c r="J197" t="s">
        <v>909</v>
      </c>
    </row>
    <row r="198" spans="1:10">
      <c r="A198" t="s">
        <v>197</v>
      </c>
      <c r="B198" t="s">
        <v>502</v>
      </c>
      <c r="C198" t="s">
        <v>672</v>
      </c>
      <c r="E198" t="s">
        <v>900</v>
      </c>
      <c r="F198">
        <v>100000</v>
      </c>
      <c r="G198">
        <v>41</v>
      </c>
      <c r="H198">
        <v>82</v>
      </c>
      <c r="I198" t="s">
        <v>908</v>
      </c>
      <c r="J198" t="s">
        <v>908</v>
      </c>
    </row>
    <row r="199" spans="1:10">
      <c r="A199" t="s">
        <v>198</v>
      </c>
      <c r="B199" t="s">
        <v>503</v>
      </c>
      <c r="C199" t="s">
        <v>673</v>
      </c>
      <c r="E199" t="s">
        <v>902</v>
      </c>
      <c r="F199">
        <v>5000</v>
      </c>
      <c r="G199">
        <v>30</v>
      </c>
      <c r="H199">
        <v>57</v>
      </c>
      <c r="I199" t="s">
        <v>908</v>
      </c>
      <c r="J199" t="s">
        <v>909</v>
      </c>
    </row>
    <row r="200" spans="1:10">
      <c r="A200" t="s">
        <v>199</v>
      </c>
      <c r="B200" t="s">
        <v>504</v>
      </c>
      <c r="C200" t="s">
        <v>674</v>
      </c>
      <c r="D200" t="s">
        <v>874</v>
      </c>
      <c r="E200" t="s">
        <v>902</v>
      </c>
      <c r="F200">
        <v>5000</v>
      </c>
      <c r="G200">
        <v>19</v>
      </c>
      <c r="H200">
        <v>60</v>
      </c>
      <c r="I200" t="s">
        <v>909</v>
      </c>
      <c r="J200" t="s">
        <v>909</v>
      </c>
    </row>
    <row r="201" spans="1:10">
      <c r="A201" t="s">
        <v>200</v>
      </c>
      <c r="B201" t="s">
        <v>506</v>
      </c>
      <c r="C201" t="s">
        <v>675</v>
      </c>
      <c r="E201" t="s">
        <v>900</v>
      </c>
      <c r="F201">
        <v>5000</v>
      </c>
      <c r="G201">
        <v>41</v>
      </c>
      <c r="H201">
        <v>12</v>
      </c>
      <c r="I201" t="s">
        <v>908</v>
      </c>
      <c r="J201" t="s">
        <v>909</v>
      </c>
    </row>
    <row r="202" spans="1:10">
      <c r="A202" t="s">
        <v>201</v>
      </c>
      <c r="B202" t="s">
        <v>503</v>
      </c>
      <c r="C202" t="s">
        <v>622</v>
      </c>
      <c r="E202" t="s">
        <v>901</v>
      </c>
      <c r="F202">
        <v>50000</v>
      </c>
      <c r="G202">
        <v>36</v>
      </c>
      <c r="H202">
        <v>84</v>
      </c>
      <c r="I202" t="s">
        <v>907</v>
      </c>
      <c r="J202" t="s">
        <v>909</v>
      </c>
    </row>
    <row r="203" spans="1:10">
      <c r="A203" t="s">
        <v>202</v>
      </c>
      <c r="B203" t="s">
        <v>505</v>
      </c>
      <c r="C203" t="s">
        <v>676</v>
      </c>
      <c r="E203" t="s">
        <v>902</v>
      </c>
      <c r="F203">
        <v>5000</v>
      </c>
      <c r="G203">
        <v>28</v>
      </c>
      <c r="H203">
        <v>14</v>
      </c>
      <c r="I203" t="s">
        <v>907</v>
      </c>
      <c r="J203" t="s">
        <v>909</v>
      </c>
    </row>
    <row r="204" spans="1:10">
      <c r="A204" t="s">
        <v>203</v>
      </c>
      <c r="B204" t="s">
        <v>504</v>
      </c>
      <c r="C204" t="s">
        <v>677</v>
      </c>
      <c r="E204" t="s">
        <v>901</v>
      </c>
      <c r="F204">
        <v>5000</v>
      </c>
      <c r="G204">
        <v>15</v>
      </c>
      <c r="H204">
        <v>91</v>
      </c>
      <c r="I204" t="s">
        <v>907</v>
      </c>
      <c r="J204" t="s">
        <v>908</v>
      </c>
    </row>
    <row r="205" spans="1:10">
      <c r="A205" t="s">
        <v>204</v>
      </c>
      <c r="B205" t="s">
        <v>506</v>
      </c>
      <c r="C205" t="s">
        <v>678</v>
      </c>
      <c r="E205" t="s">
        <v>902</v>
      </c>
      <c r="F205">
        <v>20000</v>
      </c>
      <c r="G205">
        <v>23</v>
      </c>
      <c r="H205">
        <v>37</v>
      </c>
      <c r="I205" t="s">
        <v>907</v>
      </c>
      <c r="J205" t="s">
        <v>909</v>
      </c>
    </row>
    <row r="206" spans="1:10">
      <c r="A206" t="s">
        <v>205</v>
      </c>
      <c r="B206" t="s">
        <v>506</v>
      </c>
      <c r="C206" t="s">
        <v>679</v>
      </c>
      <c r="E206" t="s">
        <v>902</v>
      </c>
      <c r="F206">
        <v>20000</v>
      </c>
      <c r="G206">
        <v>4</v>
      </c>
      <c r="H206">
        <v>43</v>
      </c>
      <c r="I206" t="s">
        <v>907</v>
      </c>
      <c r="J206" t="s">
        <v>908</v>
      </c>
    </row>
    <row r="207" spans="1:10">
      <c r="A207" t="s">
        <v>206</v>
      </c>
      <c r="B207" t="s">
        <v>502</v>
      </c>
      <c r="C207" t="s">
        <v>680</v>
      </c>
      <c r="E207" t="s">
        <v>901</v>
      </c>
      <c r="F207">
        <v>100000</v>
      </c>
      <c r="G207">
        <v>9</v>
      </c>
      <c r="H207">
        <v>43</v>
      </c>
      <c r="I207" t="s">
        <v>908</v>
      </c>
      <c r="J207" t="s">
        <v>911</v>
      </c>
    </row>
    <row r="208" spans="1:10">
      <c r="A208" t="s">
        <v>207</v>
      </c>
      <c r="B208" t="s">
        <v>502</v>
      </c>
      <c r="C208" t="s">
        <v>681</v>
      </c>
      <c r="D208" t="s">
        <v>875</v>
      </c>
      <c r="E208" t="s">
        <v>901</v>
      </c>
      <c r="F208">
        <v>20000</v>
      </c>
      <c r="G208">
        <v>41</v>
      </c>
      <c r="H208">
        <v>90</v>
      </c>
      <c r="I208" t="s">
        <v>909</v>
      </c>
      <c r="J208" t="s">
        <v>909</v>
      </c>
    </row>
    <row r="209" spans="1:10">
      <c r="A209" t="s">
        <v>208</v>
      </c>
      <c r="B209" t="s">
        <v>506</v>
      </c>
      <c r="C209" t="s">
        <v>569</v>
      </c>
      <c r="E209" t="s">
        <v>900</v>
      </c>
      <c r="F209">
        <v>20000</v>
      </c>
      <c r="G209">
        <v>35</v>
      </c>
      <c r="H209">
        <v>49</v>
      </c>
      <c r="I209" t="s">
        <v>907</v>
      </c>
      <c r="J209" t="s">
        <v>909</v>
      </c>
    </row>
    <row r="210" spans="1:10">
      <c r="A210" t="s">
        <v>209</v>
      </c>
      <c r="B210" t="s">
        <v>504</v>
      </c>
      <c r="C210" t="s">
        <v>682</v>
      </c>
      <c r="E210" t="s">
        <v>900</v>
      </c>
      <c r="F210">
        <v>50000</v>
      </c>
      <c r="G210">
        <v>32</v>
      </c>
      <c r="H210">
        <v>47</v>
      </c>
      <c r="I210" t="s">
        <v>907</v>
      </c>
      <c r="J210" t="s">
        <v>909</v>
      </c>
    </row>
    <row r="211" spans="1:10">
      <c r="A211" t="s">
        <v>210</v>
      </c>
      <c r="B211" t="s">
        <v>502</v>
      </c>
      <c r="C211" t="s">
        <v>683</v>
      </c>
      <c r="E211" t="s">
        <v>902</v>
      </c>
      <c r="F211">
        <v>20000</v>
      </c>
      <c r="G211">
        <v>49</v>
      </c>
      <c r="H211">
        <v>63</v>
      </c>
      <c r="I211" t="s">
        <v>907</v>
      </c>
      <c r="J211" t="s">
        <v>909</v>
      </c>
    </row>
    <row r="212" spans="1:10">
      <c r="A212" t="s">
        <v>211</v>
      </c>
      <c r="B212" t="s">
        <v>505</v>
      </c>
      <c r="C212" t="s">
        <v>684</v>
      </c>
      <c r="E212" t="s">
        <v>900</v>
      </c>
      <c r="F212">
        <v>5000</v>
      </c>
      <c r="G212">
        <v>32</v>
      </c>
      <c r="H212">
        <v>99</v>
      </c>
      <c r="I212" t="s">
        <v>908</v>
      </c>
      <c r="J212" t="s">
        <v>909</v>
      </c>
    </row>
    <row r="213" spans="1:10">
      <c r="A213" t="s">
        <v>212</v>
      </c>
      <c r="B213" t="s">
        <v>503</v>
      </c>
      <c r="C213" t="s">
        <v>685</v>
      </c>
      <c r="D213" t="s">
        <v>876</v>
      </c>
      <c r="E213" t="s">
        <v>901</v>
      </c>
      <c r="F213">
        <v>100000</v>
      </c>
      <c r="G213">
        <v>8</v>
      </c>
      <c r="H213">
        <v>77</v>
      </c>
      <c r="I213" t="s">
        <v>909</v>
      </c>
      <c r="J213" t="s">
        <v>911</v>
      </c>
    </row>
    <row r="214" spans="1:10">
      <c r="A214" t="s">
        <v>213</v>
      </c>
      <c r="B214" t="s">
        <v>506</v>
      </c>
      <c r="C214" t="s">
        <v>686</v>
      </c>
      <c r="E214" t="s">
        <v>900</v>
      </c>
      <c r="F214">
        <v>50000</v>
      </c>
      <c r="G214">
        <v>2</v>
      </c>
      <c r="H214">
        <v>53</v>
      </c>
      <c r="I214" t="s">
        <v>907</v>
      </c>
      <c r="J214" t="s">
        <v>911</v>
      </c>
    </row>
    <row r="215" spans="1:10">
      <c r="A215" t="s">
        <v>214</v>
      </c>
      <c r="B215" t="s">
        <v>504</v>
      </c>
      <c r="C215" t="s">
        <v>687</v>
      </c>
      <c r="E215" t="s">
        <v>901</v>
      </c>
      <c r="F215">
        <v>50000</v>
      </c>
      <c r="G215">
        <v>14</v>
      </c>
      <c r="H215">
        <v>69</v>
      </c>
      <c r="I215" t="s">
        <v>908</v>
      </c>
      <c r="J215" t="s">
        <v>911</v>
      </c>
    </row>
    <row r="216" spans="1:10">
      <c r="A216" t="s">
        <v>215</v>
      </c>
      <c r="B216" t="s">
        <v>505</v>
      </c>
      <c r="C216" t="s">
        <v>688</v>
      </c>
      <c r="E216" t="s">
        <v>902</v>
      </c>
      <c r="F216">
        <v>20000</v>
      </c>
      <c r="G216">
        <v>43</v>
      </c>
      <c r="H216">
        <v>74</v>
      </c>
      <c r="I216" t="s">
        <v>907</v>
      </c>
      <c r="J216" t="s">
        <v>909</v>
      </c>
    </row>
    <row r="217" spans="1:10">
      <c r="A217" t="s">
        <v>216</v>
      </c>
      <c r="B217" t="s">
        <v>506</v>
      </c>
      <c r="C217" t="s">
        <v>689</v>
      </c>
      <c r="E217" t="s">
        <v>902</v>
      </c>
      <c r="F217">
        <v>10000</v>
      </c>
      <c r="G217">
        <v>12</v>
      </c>
      <c r="H217">
        <v>78</v>
      </c>
      <c r="I217" t="s">
        <v>908</v>
      </c>
      <c r="J217" t="s">
        <v>908</v>
      </c>
    </row>
    <row r="218" spans="1:10">
      <c r="A218" t="s">
        <v>217</v>
      </c>
      <c r="B218" t="s">
        <v>505</v>
      </c>
      <c r="C218" t="s">
        <v>660</v>
      </c>
      <c r="E218" t="s">
        <v>902</v>
      </c>
      <c r="F218">
        <v>100000</v>
      </c>
      <c r="G218">
        <v>6</v>
      </c>
      <c r="H218">
        <v>92</v>
      </c>
      <c r="I218" t="s">
        <v>908</v>
      </c>
      <c r="J218" t="s">
        <v>911</v>
      </c>
    </row>
    <row r="219" spans="1:10">
      <c r="A219" t="s">
        <v>218</v>
      </c>
      <c r="B219" t="s">
        <v>503</v>
      </c>
      <c r="C219" t="s">
        <v>690</v>
      </c>
      <c r="E219" t="s">
        <v>900</v>
      </c>
      <c r="F219">
        <v>20000</v>
      </c>
      <c r="G219">
        <v>28</v>
      </c>
      <c r="H219">
        <v>66</v>
      </c>
      <c r="I219" t="s">
        <v>907</v>
      </c>
      <c r="J219" t="s">
        <v>909</v>
      </c>
    </row>
    <row r="220" spans="1:10">
      <c r="A220" t="s">
        <v>219</v>
      </c>
      <c r="B220" t="s">
        <v>505</v>
      </c>
      <c r="C220" t="s">
        <v>522</v>
      </c>
      <c r="E220" t="s">
        <v>902</v>
      </c>
      <c r="F220">
        <v>50000</v>
      </c>
      <c r="G220">
        <v>22</v>
      </c>
      <c r="H220">
        <v>4</v>
      </c>
      <c r="I220" t="s">
        <v>907</v>
      </c>
      <c r="J220" t="s">
        <v>909</v>
      </c>
    </row>
    <row r="221" spans="1:10">
      <c r="A221" t="s">
        <v>220</v>
      </c>
      <c r="B221" t="s">
        <v>506</v>
      </c>
      <c r="C221" t="s">
        <v>691</v>
      </c>
      <c r="E221" t="s">
        <v>900</v>
      </c>
      <c r="F221">
        <v>50000</v>
      </c>
      <c r="G221">
        <v>5</v>
      </c>
      <c r="H221">
        <v>48</v>
      </c>
      <c r="I221" t="s">
        <v>907</v>
      </c>
      <c r="J221" t="s">
        <v>911</v>
      </c>
    </row>
    <row r="222" spans="1:10">
      <c r="A222" t="s">
        <v>221</v>
      </c>
      <c r="B222" t="s">
        <v>505</v>
      </c>
      <c r="C222" t="s">
        <v>692</v>
      </c>
      <c r="E222" t="s">
        <v>900</v>
      </c>
      <c r="F222">
        <v>10000</v>
      </c>
      <c r="G222">
        <v>8</v>
      </c>
      <c r="H222">
        <v>5</v>
      </c>
      <c r="I222" t="s">
        <v>908</v>
      </c>
      <c r="J222" t="s">
        <v>909</v>
      </c>
    </row>
    <row r="223" spans="1:10">
      <c r="A223" t="s">
        <v>222</v>
      </c>
      <c r="B223" t="s">
        <v>504</v>
      </c>
      <c r="C223" t="s">
        <v>693</v>
      </c>
      <c r="E223" t="s">
        <v>902</v>
      </c>
      <c r="F223">
        <v>50000</v>
      </c>
      <c r="G223">
        <v>39</v>
      </c>
      <c r="H223">
        <v>1</v>
      </c>
      <c r="I223" t="s">
        <v>908</v>
      </c>
      <c r="J223" t="s">
        <v>909</v>
      </c>
    </row>
    <row r="224" spans="1:10">
      <c r="A224" t="s">
        <v>223</v>
      </c>
      <c r="B224" t="s">
        <v>502</v>
      </c>
      <c r="C224" t="s">
        <v>694</v>
      </c>
      <c r="E224" t="s">
        <v>900</v>
      </c>
      <c r="F224">
        <v>100000</v>
      </c>
      <c r="G224">
        <v>46</v>
      </c>
      <c r="H224">
        <v>78</v>
      </c>
      <c r="I224" t="s">
        <v>907</v>
      </c>
      <c r="J224" t="s">
        <v>909</v>
      </c>
    </row>
    <row r="225" spans="1:10">
      <c r="A225" t="s">
        <v>224</v>
      </c>
      <c r="B225" t="s">
        <v>503</v>
      </c>
      <c r="C225" t="s">
        <v>695</v>
      </c>
      <c r="E225" t="s">
        <v>902</v>
      </c>
      <c r="F225">
        <v>20000</v>
      </c>
      <c r="G225">
        <v>7</v>
      </c>
      <c r="H225">
        <v>7</v>
      </c>
      <c r="I225" t="s">
        <v>907</v>
      </c>
      <c r="J225" t="s">
        <v>909</v>
      </c>
    </row>
    <row r="226" spans="1:10">
      <c r="A226" t="s">
        <v>225</v>
      </c>
      <c r="B226" t="s">
        <v>505</v>
      </c>
      <c r="C226" t="s">
        <v>696</v>
      </c>
      <c r="E226" t="s">
        <v>902</v>
      </c>
      <c r="F226">
        <v>5000</v>
      </c>
      <c r="G226">
        <v>7</v>
      </c>
      <c r="H226">
        <v>64</v>
      </c>
      <c r="I226" t="s">
        <v>908</v>
      </c>
      <c r="J226" t="s">
        <v>908</v>
      </c>
    </row>
    <row r="227" spans="1:10">
      <c r="A227" t="s">
        <v>226</v>
      </c>
      <c r="B227" t="s">
        <v>503</v>
      </c>
      <c r="C227" t="s">
        <v>650</v>
      </c>
      <c r="E227" t="s">
        <v>901</v>
      </c>
      <c r="F227">
        <v>10000</v>
      </c>
      <c r="G227">
        <v>18</v>
      </c>
      <c r="H227">
        <v>55</v>
      </c>
      <c r="I227" t="s">
        <v>907</v>
      </c>
      <c r="J227" t="s">
        <v>909</v>
      </c>
    </row>
    <row r="228" spans="1:10">
      <c r="A228" t="s">
        <v>227</v>
      </c>
      <c r="B228" t="s">
        <v>502</v>
      </c>
      <c r="C228" t="s">
        <v>697</v>
      </c>
      <c r="E228" t="s">
        <v>901</v>
      </c>
      <c r="F228">
        <v>10000</v>
      </c>
      <c r="G228">
        <v>42</v>
      </c>
      <c r="H228">
        <v>86</v>
      </c>
      <c r="I228" t="s">
        <v>908</v>
      </c>
      <c r="J228" t="s">
        <v>909</v>
      </c>
    </row>
    <row r="229" spans="1:10">
      <c r="A229" t="s">
        <v>228</v>
      </c>
      <c r="B229" t="s">
        <v>502</v>
      </c>
      <c r="C229" t="s">
        <v>698</v>
      </c>
      <c r="D229" t="s">
        <v>877</v>
      </c>
      <c r="E229" t="s">
        <v>901</v>
      </c>
      <c r="F229">
        <v>100000</v>
      </c>
      <c r="G229">
        <v>32</v>
      </c>
      <c r="H229">
        <v>65</v>
      </c>
      <c r="I229" t="s">
        <v>909</v>
      </c>
      <c r="J229" t="s">
        <v>908</v>
      </c>
    </row>
    <row r="230" spans="1:10">
      <c r="A230" t="s">
        <v>229</v>
      </c>
      <c r="B230" t="s">
        <v>503</v>
      </c>
      <c r="C230" t="s">
        <v>541</v>
      </c>
      <c r="E230" t="s">
        <v>900</v>
      </c>
      <c r="F230">
        <v>50000</v>
      </c>
      <c r="G230">
        <v>23</v>
      </c>
      <c r="H230">
        <v>33</v>
      </c>
      <c r="I230" t="s">
        <v>907</v>
      </c>
      <c r="J230" t="s">
        <v>909</v>
      </c>
    </row>
    <row r="231" spans="1:10">
      <c r="A231" t="s">
        <v>230</v>
      </c>
      <c r="B231" t="s">
        <v>502</v>
      </c>
      <c r="C231" t="s">
        <v>699</v>
      </c>
      <c r="E231" t="s">
        <v>902</v>
      </c>
      <c r="F231">
        <v>100000</v>
      </c>
      <c r="G231">
        <v>47</v>
      </c>
      <c r="H231">
        <v>97</v>
      </c>
      <c r="I231" t="s">
        <v>907</v>
      </c>
      <c r="J231" t="s">
        <v>908</v>
      </c>
    </row>
    <row r="232" spans="1:10">
      <c r="A232" t="s">
        <v>231</v>
      </c>
      <c r="B232" t="s">
        <v>504</v>
      </c>
      <c r="C232" t="s">
        <v>700</v>
      </c>
      <c r="E232" t="s">
        <v>900</v>
      </c>
      <c r="F232">
        <v>10000</v>
      </c>
      <c r="G232">
        <v>49</v>
      </c>
      <c r="H232">
        <v>88</v>
      </c>
      <c r="I232" t="s">
        <v>908</v>
      </c>
      <c r="J232" t="s">
        <v>909</v>
      </c>
    </row>
    <row r="233" spans="1:10">
      <c r="A233" t="s">
        <v>232</v>
      </c>
      <c r="B233" t="s">
        <v>506</v>
      </c>
      <c r="C233" t="s">
        <v>600</v>
      </c>
      <c r="E233" t="s">
        <v>901</v>
      </c>
      <c r="F233">
        <v>5000</v>
      </c>
      <c r="G233">
        <v>45</v>
      </c>
      <c r="H233">
        <v>100</v>
      </c>
      <c r="I233" t="s">
        <v>907</v>
      </c>
      <c r="J233" t="s">
        <v>909</v>
      </c>
    </row>
    <row r="234" spans="1:10">
      <c r="A234" t="s">
        <v>233</v>
      </c>
      <c r="B234" t="s">
        <v>506</v>
      </c>
      <c r="C234" t="s">
        <v>701</v>
      </c>
      <c r="E234" t="s">
        <v>900</v>
      </c>
      <c r="F234">
        <v>5000</v>
      </c>
      <c r="G234">
        <v>20</v>
      </c>
      <c r="H234">
        <v>40</v>
      </c>
      <c r="I234" t="s">
        <v>907</v>
      </c>
      <c r="J234" t="s">
        <v>909</v>
      </c>
    </row>
    <row r="235" spans="1:10">
      <c r="A235" t="s">
        <v>234</v>
      </c>
      <c r="B235" t="s">
        <v>503</v>
      </c>
      <c r="C235" t="s">
        <v>549</v>
      </c>
      <c r="E235" t="s">
        <v>902</v>
      </c>
      <c r="F235">
        <v>10000</v>
      </c>
      <c r="G235">
        <v>18</v>
      </c>
      <c r="H235">
        <v>46</v>
      </c>
      <c r="I235" t="s">
        <v>907</v>
      </c>
      <c r="J235" t="s">
        <v>909</v>
      </c>
    </row>
    <row r="236" spans="1:10">
      <c r="A236" t="s">
        <v>235</v>
      </c>
      <c r="B236" t="s">
        <v>502</v>
      </c>
      <c r="C236" t="s">
        <v>626</v>
      </c>
      <c r="E236" t="s">
        <v>901</v>
      </c>
      <c r="F236">
        <v>50000</v>
      </c>
      <c r="G236">
        <v>25</v>
      </c>
      <c r="H236">
        <v>96</v>
      </c>
      <c r="I236" t="s">
        <v>908</v>
      </c>
      <c r="J236" t="s">
        <v>908</v>
      </c>
    </row>
    <row r="237" spans="1:10">
      <c r="A237" t="s">
        <v>236</v>
      </c>
      <c r="B237" t="s">
        <v>506</v>
      </c>
      <c r="C237" t="s">
        <v>702</v>
      </c>
      <c r="E237" t="s">
        <v>902</v>
      </c>
      <c r="F237">
        <v>50000</v>
      </c>
      <c r="G237">
        <v>23</v>
      </c>
      <c r="H237">
        <v>67</v>
      </c>
      <c r="I237" t="s">
        <v>908</v>
      </c>
      <c r="J237" t="s">
        <v>908</v>
      </c>
    </row>
    <row r="238" spans="1:10">
      <c r="A238" t="s">
        <v>237</v>
      </c>
      <c r="B238" t="s">
        <v>504</v>
      </c>
      <c r="C238" t="s">
        <v>703</v>
      </c>
      <c r="E238" t="s">
        <v>900</v>
      </c>
      <c r="F238">
        <v>100000</v>
      </c>
      <c r="G238">
        <v>18</v>
      </c>
      <c r="H238">
        <v>42</v>
      </c>
      <c r="I238" t="s">
        <v>907</v>
      </c>
      <c r="J238" t="s">
        <v>911</v>
      </c>
    </row>
    <row r="239" spans="1:10">
      <c r="A239" t="s">
        <v>238</v>
      </c>
      <c r="B239" t="s">
        <v>502</v>
      </c>
      <c r="C239" t="s">
        <v>704</v>
      </c>
      <c r="E239" t="s">
        <v>900</v>
      </c>
      <c r="F239">
        <v>50000</v>
      </c>
      <c r="G239">
        <v>38</v>
      </c>
      <c r="H239">
        <v>92</v>
      </c>
      <c r="I239" t="s">
        <v>908</v>
      </c>
      <c r="J239" t="s">
        <v>909</v>
      </c>
    </row>
    <row r="240" spans="1:10">
      <c r="A240" t="s">
        <v>239</v>
      </c>
      <c r="B240" t="s">
        <v>506</v>
      </c>
      <c r="C240" t="s">
        <v>705</v>
      </c>
      <c r="E240" t="s">
        <v>900</v>
      </c>
      <c r="F240">
        <v>5000</v>
      </c>
      <c r="G240">
        <v>46</v>
      </c>
      <c r="H240">
        <v>46</v>
      </c>
      <c r="I240" t="s">
        <v>908</v>
      </c>
      <c r="J240" t="s">
        <v>909</v>
      </c>
    </row>
    <row r="241" spans="1:10">
      <c r="A241" t="s">
        <v>240</v>
      </c>
      <c r="B241" t="s">
        <v>503</v>
      </c>
      <c r="C241" t="s">
        <v>508</v>
      </c>
      <c r="E241" t="s">
        <v>902</v>
      </c>
      <c r="F241">
        <v>5000</v>
      </c>
      <c r="G241">
        <v>42</v>
      </c>
      <c r="H241">
        <v>82</v>
      </c>
      <c r="I241" t="s">
        <v>907</v>
      </c>
      <c r="J241" t="s">
        <v>909</v>
      </c>
    </row>
    <row r="242" spans="1:10">
      <c r="A242" t="s">
        <v>241</v>
      </c>
      <c r="B242" t="s">
        <v>506</v>
      </c>
      <c r="C242" t="s">
        <v>706</v>
      </c>
      <c r="E242" t="s">
        <v>902</v>
      </c>
      <c r="F242">
        <v>5000</v>
      </c>
      <c r="G242">
        <v>9</v>
      </c>
      <c r="H242">
        <v>78</v>
      </c>
      <c r="I242" t="s">
        <v>907</v>
      </c>
      <c r="J242" t="s">
        <v>908</v>
      </c>
    </row>
    <row r="243" spans="1:10">
      <c r="A243" t="s">
        <v>242</v>
      </c>
      <c r="B243" t="s">
        <v>506</v>
      </c>
      <c r="C243" t="s">
        <v>707</v>
      </c>
      <c r="E243" t="s">
        <v>900</v>
      </c>
      <c r="F243">
        <v>20000</v>
      </c>
      <c r="G243">
        <v>24</v>
      </c>
      <c r="H243">
        <v>73</v>
      </c>
      <c r="I243" t="s">
        <v>908</v>
      </c>
      <c r="J243" t="s">
        <v>909</v>
      </c>
    </row>
    <row r="244" spans="1:10">
      <c r="A244" t="s">
        <v>243</v>
      </c>
      <c r="B244" t="s">
        <v>502</v>
      </c>
      <c r="C244" t="s">
        <v>708</v>
      </c>
      <c r="E244" t="s">
        <v>901</v>
      </c>
      <c r="F244">
        <v>20000</v>
      </c>
      <c r="G244">
        <v>28</v>
      </c>
      <c r="H244">
        <v>98</v>
      </c>
      <c r="I244" t="s">
        <v>908</v>
      </c>
      <c r="J244" t="s">
        <v>908</v>
      </c>
    </row>
    <row r="245" spans="1:10">
      <c r="A245" t="s">
        <v>244</v>
      </c>
      <c r="B245" t="s">
        <v>502</v>
      </c>
      <c r="C245" t="s">
        <v>684</v>
      </c>
      <c r="E245" t="s">
        <v>901</v>
      </c>
      <c r="F245">
        <v>20000</v>
      </c>
      <c r="G245">
        <v>41</v>
      </c>
      <c r="H245">
        <v>36</v>
      </c>
      <c r="I245" t="s">
        <v>908</v>
      </c>
      <c r="J245" t="s">
        <v>909</v>
      </c>
    </row>
    <row r="246" spans="1:10">
      <c r="A246" t="s">
        <v>245</v>
      </c>
      <c r="B246" t="s">
        <v>505</v>
      </c>
      <c r="C246" t="s">
        <v>709</v>
      </c>
      <c r="E246" t="s">
        <v>900</v>
      </c>
      <c r="F246">
        <v>100000</v>
      </c>
      <c r="G246">
        <v>24</v>
      </c>
      <c r="H246">
        <v>72</v>
      </c>
      <c r="I246" t="s">
        <v>908</v>
      </c>
      <c r="J246" t="s">
        <v>911</v>
      </c>
    </row>
    <row r="247" spans="1:10">
      <c r="A247" t="s">
        <v>246</v>
      </c>
      <c r="B247" t="s">
        <v>502</v>
      </c>
      <c r="C247" t="s">
        <v>710</v>
      </c>
      <c r="E247" t="s">
        <v>902</v>
      </c>
      <c r="F247">
        <v>100000</v>
      </c>
      <c r="G247">
        <v>18</v>
      </c>
      <c r="H247">
        <v>89</v>
      </c>
      <c r="I247" t="s">
        <v>907</v>
      </c>
      <c r="J247" t="s">
        <v>911</v>
      </c>
    </row>
    <row r="248" spans="1:10">
      <c r="A248" t="s">
        <v>247</v>
      </c>
      <c r="B248" t="s">
        <v>506</v>
      </c>
      <c r="C248" t="s">
        <v>711</v>
      </c>
      <c r="E248" t="s">
        <v>900</v>
      </c>
      <c r="F248">
        <v>50000</v>
      </c>
      <c r="G248">
        <v>11</v>
      </c>
      <c r="H248">
        <v>92</v>
      </c>
      <c r="I248" t="s">
        <v>907</v>
      </c>
      <c r="J248" t="s">
        <v>911</v>
      </c>
    </row>
    <row r="249" spans="1:10">
      <c r="A249" t="s">
        <v>248</v>
      </c>
      <c r="B249" t="s">
        <v>506</v>
      </c>
      <c r="C249" t="s">
        <v>555</v>
      </c>
      <c r="E249" t="s">
        <v>900</v>
      </c>
      <c r="F249">
        <v>20000</v>
      </c>
      <c r="G249">
        <v>45</v>
      </c>
      <c r="H249">
        <v>9</v>
      </c>
      <c r="I249" t="s">
        <v>908</v>
      </c>
      <c r="J249" t="s">
        <v>909</v>
      </c>
    </row>
    <row r="250" spans="1:10">
      <c r="A250" t="s">
        <v>249</v>
      </c>
      <c r="B250" t="s">
        <v>503</v>
      </c>
      <c r="C250" t="s">
        <v>712</v>
      </c>
      <c r="E250" t="s">
        <v>901</v>
      </c>
      <c r="F250">
        <v>10000</v>
      </c>
      <c r="G250">
        <v>50</v>
      </c>
      <c r="H250">
        <v>47</v>
      </c>
      <c r="I250" t="s">
        <v>907</v>
      </c>
      <c r="J250" t="s">
        <v>909</v>
      </c>
    </row>
    <row r="251" spans="1:10">
      <c r="A251" t="s">
        <v>250</v>
      </c>
      <c r="B251" t="s">
        <v>503</v>
      </c>
      <c r="C251" t="s">
        <v>713</v>
      </c>
      <c r="E251" t="s">
        <v>900</v>
      </c>
      <c r="F251">
        <v>10000</v>
      </c>
      <c r="G251">
        <v>50</v>
      </c>
      <c r="H251">
        <v>64</v>
      </c>
      <c r="I251" t="s">
        <v>907</v>
      </c>
      <c r="J251" t="s">
        <v>909</v>
      </c>
    </row>
    <row r="252" spans="1:10">
      <c r="A252" t="s">
        <v>251</v>
      </c>
      <c r="B252" t="s">
        <v>502</v>
      </c>
      <c r="C252" t="s">
        <v>714</v>
      </c>
      <c r="E252" t="s">
        <v>902</v>
      </c>
      <c r="F252">
        <v>100000</v>
      </c>
      <c r="G252">
        <v>8</v>
      </c>
      <c r="H252">
        <v>79</v>
      </c>
      <c r="I252" t="s">
        <v>908</v>
      </c>
      <c r="J252" t="s">
        <v>911</v>
      </c>
    </row>
    <row r="253" spans="1:10">
      <c r="A253" t="s">
        <v>252</v>
      </c>
      <c r="B253" t="s">
        <v>502</v>
      </c>
      <c r="C253" t="s">
        <v>683</v>
      </c>
      <c r="E253" t="s">
        <v>900</v>
      </c>
      <c r="F253">
        <v>100000</v>
      </c>
      <c r="G253">
        <v>26</v>
      </c>
      <c r="H253">
        <v>99</v>
      </c>
      <c r="I253" t="s">
        <v>908</v>
      </c>
      <c r="J253" t="s">
        <v>911</v>
      </c>
    </row>
    <row r="254" spans="1:10">
      <c r="A254" t="s">
        <v>253</v>
      </c>
      <c r="B254" t="s">
        <v>506</v>
      </c>
      <c r="C254" t="s">
        <v>634</v>
      </c>
      <c r="D254" t="s">
        <v>546</v>
      </c>
      <c r="E254" t="s">
        <v>901</v>
      </c>
      <c r="F254">
        <v>5000</v>
      </c>
      <c r="G254">
        <v>28</v>
      </c>
      <c r="H254">
        <v>60</v>
      </c>
      <c r="I254" t="s">
        <v>909</v>
      </c>
      <c r="J254" t="s">
        <v>909</v>
      </c>
    </row>
    <row r="255" spans="1:10">
      <c r="A255" t="s">
        <v>254</v>
      </c>
      <c r="B255" t="s">
        <v>503</v>
      </c>
      <c r="C255" t="s">
        <v>715</v>
      </c>
      <c r="E255" t="s">
        <v>902</v>
      </c>
      <c r="F255">
        <v>10000</v>
      </c>
      <c r="G255">
        <v>27</v>
      </c>
      <c r="H255">
        <v>65</v>
      </c>
      <c r="I255" t="s">
        <v>907</v>
      </c>
      <c r="J255" t="s">
        <v>909</v>
      </c>
    </row>
    <row r="256" spans="1:10">
      <c r="A256" t="s">
        <v>255</v>
      </c>
      <c r="B256" t="s">
        <v>502</v>
      </c>
      <c r="C256" t="s">
        <v>716</v>
      </c>
      <c r="E256" t="s">
        <v>900</v>
      </c>
      <c r="F256">
        <v>10000</v>
      </c>
      <c r="G256">
        <v>20</v>
      </c>
      <c r="H256">
        <v>91</v>
      </c>
      <c r="I256" t="s">
        <v>907</v>
      </c>
      <c r="J256" t="s">
        <v>908</v>
      </c>
    </row>
    <row r="257" spans="1:10">
      <c r="A257" t="s">
        <v>256</v>
      </c>
      <c r="B257" t="s">
        <v>505</v>
      </c>
      <c r="C257" t="s">
        <v>611</v>
      </c>
      <c r="E257" t="s">
        <v>902</v>
      </c>
      <c r="F257">
        <v>20000</v>
      </c>
      <c r="G257">
        <v>12</v>
      </c>
      <c r="H257">
        <v>82</v>
      </c>
      <c r="I257" t="s">
        <v>907</v>
      </c>
      <c r="J257" t="s">
        <v>908</v>
      </c>
    </row>
    <row r="258" spans="1:10">
      <c r="A258" t="s">
        <v>257</v>
      </c>
      <c r="B258" t="s">
        <v>503</v>
      </c>
      <c r="C258" t="s">
        <v>717</v>
      </c>
      <c r="E258" t="s">
        <v>902</v>
      </c>
      <c r="F258">
        <v>100000</v>
      </c>
      <c r="G258">
        <v>41</v>
      </c>
      <c r="H258">
        <v>22</v>
      </c>
      <c r="I258" t="s">
        <v>907</v>
      </c>
      <c r="J258" t="s">
        <v>909</v>
      </c>
    </row>
    <row r="259" spans="1:10">
      <c r="A259" t="s">
        <v>258</v>
      </c>
      <c r="B259" t="s">
        <v>503</v>
      </c>
      <c r="C259" t="s">
        <v>708</v>
      </c>
      <c r="D259" t="s">
        <v>878</v>
      </c>
      <c r="E259" t="s">
        <v>901</v>
      </c>
      <c r="F259">
        <v>100000</v>
      </c>
      <c r="G259">
        <v>21</v>
      </c>
      <c r="H259">
        <v>73</v>
      </c>
      <c r="I259" t="s">
        <v>909</v>
      </c>
      <c r="J259" t="s">
        <v>911</v>
      </c>
    </row>
    <row r="260" spans="1:10">
      <c r="A260" t="s">
        <v>259</v>
      </c>
      <c r="B260" t="s">
        <v>502</v>
      </c>
      <c r="C260" t="s">
        <v>605</v>
      </c>
      <c r="D260" t="s">
        <v>879</v>
      </c>
      <c r="E260" t="s">
        <v>900</v>
      </c>
      <c r="F260">
        <v>100000</v>
      </c>
      <c r="G260">
        <v>16</v>
      </c>
      <c r="H260">
        <v>84</v>
      </c>
      <c r="I260" t="s">
        <v>909</v>
      </c>
      <c r="J260" t="s">
        <v>911</v>
      </c>
    </row>
    <row r="261" spans="1:10">
      <c r="A261" t="s">
        <v>260</v>
      </c>
      <c r="B261" t="s">
        <v>505</v>
      </c>
      <c r="C261" t="s">
        <v>718</v>
      </c>
      <c r="E261" t="s">
        <v>901</v>
      </c>
      <c r="F261">
        <v>50000</v>
      </c>
      <c r="G261">
        <v>40</v>
      </c>
      <c r="H261">
        <v>70</v>
      </c>
      <c r="I261" t="s">
        <v>907</v>
      </c>
      <c r="J261" t="s">
        <v>909</v>
      </c>
    </row>
    <row r="262" spans="1:10">
      <c r="A262" t="s">
        <v>261</v>
      </c>
      <c r="B262" t="s">
        <v>504</v>
      </c>
      <c r="C262" t="s">
        <v>719</v>
      </c>
      <c r="E262" t="s">
        <v>901</v>
      </c>
      <c r="F262">
        <v>20000</v>
      </c>
      <c r="G262">
        <v>29</v>
      </c>
      <c r="H262">
        <v>10</v>
      </c>
      <c r="I262" t="s">
        <v>908</v>
      </c>
      <c r="J262" t="s">
        <v>909</v>
      </c>
    </row>
    <row r="263" spans="1:10">
      <c r="A263" t="s">
        <v>262</v>
      </c>
      <c r="B263" t="s">
        <v>502</v>
      </c>
      <c r="C263" t="s">
        <v>720</v>
      </c>
      <c r="E263" t="s">
        <v>900</v>
      </c>
      <c r="F263">
        <v>10000</v>
      </c>
      <c r="G263">
        <v>21</v>
      </c>
      <c r="H263">
        <v>78</v>
      </c>
      <c r="I263" t="s">
        <v>908</v>
      </c>
      <c r="J263" t="s">
        <v>909</v>
      </c>
    </row>
    <row r="264" spans="1:10">
      <c r="A264" t="s">
        <v>263</v>
      </c>
      <c r="B264" t="s">
        <v>505</v>
      </c>
      <c r="C264" t="s">
        <v>692</v>
      </c>
      <c r="E264" t="s">
        <v>902</v>
      </c>
      <c r="F264">
        <v>50000</v>
      </c>
      <c r="G264">
        <v>8</v>
      </c>
      <c r="H264">
        <v>98</v>
      </c>
      <c r="I264" t="s">
        <v>908</v>
      </c>
      <c r="J264" t="s">
        <v>911</v>
      </c>
    </row>
    <row r="265" spans="1:10">
      <c r="A265" t="s">
        <v>264</v>
      </c>
      <c r="B265" t="s">
        <v>504</v>
      </c>
      <c r="C265" t="s">
        <v>721</v>
      </c>
      <c r="D265" t="s">
        <v>880</v>
      </c>
      <c r="E265" t="s">
        <v>901</v>
      </c>
      <c r="F265">
        <v>50000</v>
      </c>
      <c r="G265">
        <v>7</v>
      </c>
      <c r="H265">
        <v>35</v>
      </c>
      <c r="I265" t="s">
        <v>909</v>
      </c>
      <c r="J265" t="s">
        <v>908</v>
      </c>
    </row>
    <row r="266" spans="1:10">
      <c r="A266" t="s">
        <v>265</v>
      </c>
      <c r="B266" t="s">
        <v>506</v>
      </c>
      <c r="C266" t="s">
        <v>722</v>
      </c>
      <c r="E266" t="s">
        <v>900</v>
      </c>
      <c r="F266">
        <v>50000</v>
      </c>
      <c r="G266">
        <v>39</v>
      </c>
      <c r="H266">
        <v>54</v>
      </c>
      <c r="I266" t="s">
        <v>908</v>
      </c>
      <c r="J266" t="s">
        <v>909</v>
      </c>
    </row>
    <row r="267" spans="1:10">
      <c r="A267" t="s">
        <v>266</v>
      </c>
      <c r="B267" t="s">
        <v>505</v>
      </c>
      <c r="C267" t="s">
        <v>704</v>
      </c>
      <c r="E267" t="s">
        <v>900</v>
      </c>
      <c r="F267">
        <v>10000</v>
      </c>
      <c r="G267">
        <v>48</v>
      </c>
      <c r="H267">
        <v>21</v>
      </c>
      <c r="I267" t="s">
        <v>908</v>
      </c>
      <c r="J267" t="s">
        <v>909</v>
      </c>
    </row>
    <row r="268" spans="1:10">
      <c r="A268" t="s">
        <v>267</v>
      </c>
      <c r="B268" t="s">
        <v>506</v>
      </c>
      <c r="C268" t="s">
        <v>723</v>
      </c>
      <c r="E268" t="s">
        <v>901</v>
      </c>
      <c r="F268">
        <v>50000</v>
      </c>
      <c r="G268">
        <v>1</v>
      </c>
      <c r="H268">
        <v>12</v>
      </c>
      <c r="I268" t="s">
        <v>908</v>
      </c>
      <c r="J268" t="s">
        <v>908</v>
      </c>
    </row>
    <row r="269" spans="1:10">
      <c r="A269" t="s">
        <v>268</v>
      </c>
      <c r="B269" t="s">
        <v>506</v>
      </c>
      <c r="C269" t="s">
        <v>724</v>
      </c>
      <c r="E269" t="s">
        <v>901</v>
      </c>
      <c r="F269">
        <v>100000</v>
      </c>
      <c r="G269">
        <v>22</v>
      </c>
      <c r="H269">
        <v>7</v>
      </c>
      <c r="I269" t="s">
        <v>907</v>
      </c>
      <c r="J269" t="s">
        <v>908</v>
      </c>
    </row>
    <row r="270" spans="1:10">
      <c r="A270" t="s">
        <v>269</v>
      </c>
      <c r="B270" t="s">
        <v>502</v>
      </c>
      <c r="C270" t="s">
        <v>725</v>
      </c>
      <c r="E270" t="s">
        <v>902</v>
      </c>
      <c r="F270">
        <v>20000</v>
      </c>
      <c r="G270">
        <v>34</v>
      </c>
      <c r="H270">
        <v>2</v>
      </c>
      <c r="I270" t="s">
        <v>908</v>
      </c>
      <c r="J270" t="s">
        <v>909</v>
      </c>
    </row>
    <row r="271" spans="1:10">
      <c r="A271" t="s">
        <v>270</v>
      </c>
      <c r="B271" t="s">
        <v>502</v>
      </c>
      <c r="C271" t="s">
        <v>726</v>
      </c>
      <c r="E271" t="s">
        <v>902</v>
      </c>
      <c r="F271">
        <v>50000</v>
      </c>
      <c r="G271">
        <v>23</v>
      </c>
      <c r="H271">
        <v>6</v>
      </c>
      <c r="I271" t="s">
        <v>908</v>
      </c>
      <c r="J271" t="s">
        <v>909</v>
      </c>
    </row>
    <row r="272" spans="1:10">
      <c r="A272" t="s">
        <v>271</v>
      </c>
      <c r="B272" t="s">
        <v>506</v>
      </c>
      <c r="C272" t="s">
        <v>727</v>
      </c>
      <c r="E272" t="s">
        <v>900</v>
      </c>
      <c r="F272">
        <v>100000</v>
      </c>
      <c r="G272">
        <v>18</v>
      </c>
      <c r="H272">
        <v>10</v>
      </c>
      <c r="I272" t="s">
        <v>908</v>
      </c>
      <c r="J272" t="s">
        <v>908</v>
      </c>
    </row>
    <row r="273" spans="1:10">
      <c r="A273" t="s">
        <v>272</v>
      </c>
      <c r="B273" t="s">
        <v>506</v>
      </c>
      <c r="C273" t="s">
        <v>606</v>
      </c>
      <c r="E273" t="s">
        <v>901</v>
      </c>
      <c r="F273">
        <v>100000</v>
      </c>
      <c r="G273">
        <v>43</v>
      </c>
      <c r="H273">
        <v>79</v>
      </c>
      <c r="I273" t="s">
        <v>908</v>
      </c>
      <c r="J273" t="s">
        <v>908</v>
      </c>
    </row>
    <row r="274" spans="1:10">
      <c r="A274" t="s">
        <v>273</v>
      </c>
      <c r="B274" t="s">
        <v>502</v>
      </c>
      <c r="C274" t="s">
        <v>637</v>
      </c>
      <c r="E274" t="s">
        <v>900</v>
      </c>
      <c r="F274">
        <v>100000</v>
      </c>
      <c r="G274">
        <v>23</v>
      </c>
      <c r="H274">
        <v>97</v>
      </c>
      <c r="I274" t="s">
        <v>908</v>
      </c>
      <c r="J274" t="s">
        <v>911</v>
      </c>
    </row>
    <row r="275" spans="1:10">
      <c r="A275" t="s">
        <v>274</v>
      </c>
      <c r="B275" t="s">
        <v>505</v>
      </c>
      <c r="C275" t="s">
        <v>728</v>
      </c>
      <c r="E275" t="s">
        <v>900</v>
      </c>
      <c r="F275">
        <v>5000</v>
      </c>
      <c r="G275">
        <v>2</v>
      </c>
      <c r="H275">
        <v>18</v>
      </c>
      <c r="I275" t="s">
        <v>907</v>
      </c>
      <c r="J275" t="s">
        <v>908</v>
      </c>
    </row>
    <row r="276" spans="1:10">
      <c r="A276" t="s">
        <v>275</v>
      </c>
      <c r="B276" t="s">
        <v>504</v>
      </c>
      <c r="C276" t="s">
        <v>611</v>
      </c>
      <c r="E276" t="s">
        <v>902</v>
      </c>
      <c r="F276">
        <v>20000</v>
      </c>
      <c r="G276">
        <v>39</v>
      </c>
      <c r="H276">
        <v>41</v>
      </c>
      <c r="I276" t="s">
        <v>907</v>
      </c>
      <c r="J276" t="s">
        <v>909</v>
      </c>
    </row>
    <row r="277" spans="1:10">
      <c r="A277" t="s">
        <v>276</v>
      </c>
      <c r="B277" t="s">
        <v>505</v>
      </c>
      <c r="C277" t="s">
        <v>729</v>
      </c>
      <c r="E277" t="s">
        <v>902</v>
      </c>
      <c r="F277">
        <v>100000</v>
      </c>
      <c r="G277">
        <v>21</v>
      </c>
      <c r="H277">
        <v>65</v>
      </c>
      <c r="I277" t="s">
        <v>908</v>
      </c>
      <c r="J277" t="s">
        <v>911</v>
      </c>
    </row>
    <row r="278" spans="1:10">
      <c r="A278" t="s">
        <v>277</v>
      </c>
      <c r="B278" t="s">
        <v>503</v>
      </c>
      <c r="C278" t="s">
        <v>730</v>
      </c>
      <c r="E278" t="s">
        <v>901</v>
      </c>
      <c r="F278">
        <v>50000</v>
      </c>
      <c r="G278">
        <v>1</v>
      </c>
      <c r="H278">
        <v>48</v>
      </c>
      <c r="I278" t="s">
        <v>908</v>
      </c>
      <c r="J278" t="s">
        <v>911</v>
      </c>
    </row>
    <row r="279" spans="1:10">
      <c r="A279" t="s">
        <v>278</v>
      </c>
      <c r="B279" t="s">
        <v>504</v>
      </c>
      <c r="C279" t="s">
        <v>731</v>
      </c>
      <c r="E279" t="s">
        <v>901</v>
      </c>
      <c r="F279">
        <v>5000</v>
      </c>
      <c r="G279">
        <v>38</v>
      </c>
      <c r="H279">
        <v>61</v>
      </c>
      <c r="I279" t="s">
        <v>908</v>
      </c>
      <c r="J279" t="s">
        <v>909</v>
      </c>
    </row>
    <row r="280" spans="1:10">
      <c r="A280" t="s">
        <v>279</v>
      </c>
      <c r="B280" t="s">
        <v>504</v>
      </c>
      <c r="C280" t="s">
        <v>732</v>
      </c>
      <c r="E280" t="s">
        <v>901</v>
      </c>
      <c r="F280">
        <v>100000</v>
      </c>
      <c r="G280">
        <v>30</v>
      </c>
      <c r="H280">
        <v>22</v>
      </c>
      <c r="I280" t="s">
        <v>907</v>
      </c>
      <c r="J280" t="s">
        <v>908</v>
      </c>
    </row>
    <row r="281" spans="1:10">
      <c r="A281" t="s">
        <v>280</v>
      </c>
      <c r="B281" t="s">
        <v>503</v>
      </c>
      <c r="C281" t="s">
        <v>632</v>
      </c>
      <c r="E281" t="s">
        <v>901</v>
      </c>
      <c r="F281">
        <v>10000</v>
      </c>
      <c r="G281">
        <v>43</v>
      </c>
      <c r="H281">
        <v>32</v>
      </c>
      <c r="I281" t="s">
        <v>908</v>
      </c>
      <c r="J281" t="s">
        <v>909</v>
      </c>
    </row>
    <row r="282" spans="1:10">
      <c r="A282" t="s">
        <v>281</v>
      </c>
      <c r="B282" t="s">
        <v>502</v>
      </c>
      <c r="C282" t="s">
        <v>733</v>
      </c>
      <c r="D282" t="s">
        <v>870</v>
      </c>
      <c r="E282" t="s">
        <v>901</v>
      </c>
      <c r="F282">
        <v>50000</v>
      </c>
      <c r="G282">
        <v>20</v>
      </c>
      <c r="H282">
        <v>54</v>
      </c>
      <c r="I282" t="s">
        <v>909</v>
      </c>
      <c r="J282" t="s">
        <v>908</v>
      </c>
    </row>
    <row r="283" spans="1:10">
      <c r="A283" t="s">
        <v>282</v>
      </c>
      <c r="B283" t="s">
        <v>505</v>
      </c>
      <c r="C283" t="s">
        <v>583</v>
      </c>
      <c r="E283" t="s">
        <v>902</v>
      </c>
      <c r="F283">
        <v>5000</v>
      </c>
      <c r="G283">
        <v>45</v>
      </c>
      <c r="H283">
        <v>18</v>
      </c>
      <c r="I283" t="s">
        <v>908</v>
      </c>
      <c r="J283" t="s">
        <v>909</v>
      </c>
    </row>
    <row r="284" spans="1:10">
      <c r="A284" t="s">
        <v>283</v>
      </c>
      <c r="B284" t="s">
        <v>503</v>
      </c>
      <c r="C284" t="s">
        <v>734</v>
      </c>
      <c r="E284" t="s">
        <v>900</v>
      </c>
      <c r="F284">
        <v>100000</v>
      </c>
      <c r="G284">
        <v>24</v>
      </c>
      <c r="H284">
        <v>41</v>
      </c>
      <c r="I284" t="s">
        <v>908</v>
      </c>
      <c r="J284" t="s">
        <v>908</v>
      </c>
    </row>
    <row r="285" spans="1:10">
      <c r="A285" t="s">
        <v>284</v>
      </c>
      <c r="B285" t="s">
        <v>505</v>
      </c>
      <c r="C285" t="s">
        <v>529</v>
      </c>
      <c r="E285" t="s">
        <v>902</v>
      </c>
      <c r="F285">
        <v>20000</v>
      </c>
      <c r="G285">
        <v>39</v>
      </c>
      <c r="H285">
        <v>62</v>
      </c>
      <c r="I285" t="s">
        <v>908</v>
      </c>
      <c r="J285" t="s">
        <v>909</v>
      </c>
    </row>
    <row r="286" spans="1:10">
      <c r="A286" t="s">
        <v>285</v>
      </c>
      <c r="B286" t="s">
        <v>505</v>
      </c>
      <c r="C286" t="s">
        <v>657</v>
      </c>
      <c r="E286" t="s">
        <v>900</v>
      </c>
      <c r="F286">
        <v>20000</v>
      </c>
      <c r="G286">
        <v>49</v>
      </c>
      <c r="H286">
        <v>37</v>
      </c>
      <c r="I286" t="s">
        <v>907</v>
      </c>
      <c r="J286" t="s">
        <v>909</v>
      </c>
    </row>
    <row r="287" spans="1:10">
      <c r="A287" t="s">
        <v>286</v>
      </c>
      <c r="B287" t="s">
        <v>505</v>
      </c>
      <c r="C287" t="s">
        <v>735</v>
      </c>
      <c r="E287" t="s">
        <v>901</v>
      </c>
      <c r="F287">
        <v>20000</v>
      </c>
      <c r="G287">
        <v>35</v>
      </c>
      <c r="H287">
        <v>93</v>
      </c>
      <c r="I287" t="s">
        <v>908</v>
      </c>
      <c r="J287" t="s">
        <v>909</v>
      </c>
    </row>
    <row r="288" spans="1:10">
      <c r="A288" t="s">
        <v>287</v>
      </c>
      <c r="B288" t="s">
        <v>504</v>
      </c>
      <c r="C288" t="s">
        <v>713</v>
      </c>
      <c r="E288" t="s">
        <v>902</v>
      </c>
      <c r="F288">
        <v>50000</v>
      </c>
      <c r="G288">
        <v>22</v>
      </c>
      <c r="H288">
        <v>99</v>
      </c>
      <c r="I288" t="s">
        <v>908</v>
      </c>
      <c r="J288" t="s">
        <v>908</v>
      </c>
    </row>
    <row r="289" spans="1:10">
      <c r="A289" t="s">
        <v>288</v>
      </c>
      <c r="B289" t="s">
        <v>505</v>
      </c>
      <c r="C289" t="s">
        <v>736</v>
      </c>
      <c r="E289" t="s">
        <v>902</v>
      </c>
      <c r="F289">
        <v>20000</v>
      </c>
      <c r="G289">
        <v>28</v>
      </c>
      <c r="H289">
        <v>84</v>
      </c>
      <c r="I289" t="s">
        <v>907</v>
      </c>
      <c r="J289" t="s">
        <v>909</v>
      </c>
    </row>
    <row r="290" spans="1:10">
      <c r="A290" t="s">
        <v>289</v>
      </c>
      <c r="B290" t="s">
        <v>504</v>
      </c>
      <c r="C290" t="s">
        <v>600</v>
      </c>
      <c r="E290" t="s">
        <v>901</v>
      </c>
      <c r="F290">
        <v>100000</v>
      </c>
      <c r="G290">
        <v>44</v>
      </c>
      <c r="H290">
        <v>35</v>
      </c>
      <c r="I290" t="s">
        <v>908</v>
      </c>
      <c r="J290" t="s">
        <v>909</v>
      </c>
    </row>
    <row r="291" spans="1:10">
      <c r="A291" t="s">
        <v>290</v>
      </c>
      <c r="B291" t="s">
        <v>505</v>
      </c>
      <c r="C291" t="s">
        <v>737</v>
      </c>
      <c r="E291" t="s">
        <v>900</v>
      </c>
      <c r="F291">
        <v>10000</v>
      </c>
      <c r="G291">
        <v>3</v>
      </c>
      <c r="H291">
        <v>86</v>
      </c>
      <c r="I291" t="s">
        <v>907</v>
      </c>
      <c r="J291" t="s">
        <v>911</v>
      </c>
    </row>
    <row r="292" spans="1:10">
      <c r="A292" t="s">
        <v>291</v>
      </c>
      <c r="B292" t="s">
        <v>503</v>
      </c>
      <c r="C292" t="s">
        <v>738</v>
      </c>
      <c r="E292" t="s">
        <v>900</v>
      </c>
      <c r="F292">
        <v>50000</v>
      </c>
      <c r="G292">
        <v>21</v>
      </c>
      <c r="H292">
        <v>92</v>
      </c>
      <c r="I292" t="s">
        <v>907</v>
      </c>
      <c r="J292" t="s">
        <v>908</v>
      </c>
    </row>
    <row r="293" spans="1:10">
      <c r="A293" t="s">
        <v>292</v>
      </c>
      <c r="B293" t="s">
        <v>506</v>
      </c>
      <c r="C293" t="s">
        <v>739</v>
      </c>
      <c r="E293" t="s">
        <v>900</v>
      </c>
      <c r="F293">
        <v>100000</v>
      </c>
      <c r="G293">
        <v>10</v>
      </c>
      <c r="H293">
        <v>53</v>
      </c>
      <c r="I293" t="s">
        <v>907</v>
      </c>
      <c r="J293" t="s">
        <v>911</v>
      </c>
    </row>
    <row r="294" spans="1:10">
      <c r="A294" t="s">
        <v>293</v>
      </c>
      <c r="B294" t="s">
        <v>506</v>
      </c>
      <c r="C294" t="s">
        <v>740</v>
      </c>
      <c r="E294" t="s">
        <v>902</v>
      </c>
      <c r="F294">
        <v>20000</v>
      </c>
      <c r="G294">
        <v>18</v>
      </c>
      <c r="H294">
        <v>83</v>
      </c>
      <c r="I294" t="s">
        <v>908</v>
      </c>
      <c r="J294" t="s">
        <v>908</v>
      </c>
    </row>
    <row r="295" spans="1:10">
      <c r="A295" t="s">
        <v>294</v>
      </c>
      <c r="B295" t="s">
        <v>502</v>
      </c>
      <c r="C295" t="s">
        <v>741</v>
      </c>
      <c r="E295" t="s">
        <v>900</v>
      </c>
      <c r="F295">
        <v>10000</v>
      </c>
      <c r="G295">
        <v>26</v>
      </c>
      <c r="H295">
        <v>23</v>
      </c>
      <c r="I295" t="s">
        <v>907</v>
      </c>
      <c r="J295" t="s">
        <v>909</v>
      </c>
    </row>
    <row r="296" spans="1:10">
      <c r="A296" t="s">
        <v>295</v>
      </c>
      <c r="B296" t="s">
        <v>502</v>
      </c>
      <c r="C296" t="s">
        <v>742</v>
      </c>
      <c r="E296" t="s">
        <v>902</v>
      </c>
      <c r="F296">
        <v>5000</v>
      </c>
      <c r="G296">
        <v>0</v>
      </c>
      <c r="H296">
        <v>39</v>
      </c>
      <c r="I296" t="s">
        <v>908</v>
      </c>
      <c r="J296" t="s">
        <v>908</v>
      </c>
    </row>
    <row r="297" spans="1:10">
      <c r="A297" t="s">
        <v>296</v>
      </c>
      <c r="B297" t="s">
        <v>503</v>
      </c>
      <c r="C297" t="s">
        <v>743</v>
      </c>
      <c r="E297" t="s">
        <v>901</v>
      </c>
      <c r="F297">
        <v>20000</v>
      </c>
      <c r="G297">
        <v>29</v>
      </c>
      <c r="H297">
        <v>83</v>
      </c>
      <c r="I297" t="s">
        <v>908</v>
      </c>
      <c r="J297" t="s">
        <v>909</v>
      </c>
    </row>
    <row r="298" spans="1:10">
      <c r="A298" t="s">
        <v>297</v>
      </c>
      <c r="B298" t="s">
        <v>503</v>
      </c>
      <c r="C298" t="s">
        <v>744</v>
      </c>
      <c r="E298" t="s">
        <v>901</v>
      </c>
      <c r="F298">
        <v>100000</v>
      </c>
      <c r="G298">
        <v>29</v>
      </c>
      <c r="H298">
        <v>35</v>
      </c>
      <c r="I298" t="s">
        <v>907</v>
      </c>
      <c r="J298" t="s">
        <v>908</v>
      </c>
    </row>
    <row r="299" spans="1:10">
      <c r="A299" t="s">
        <v>298</v>
      </c>
      <c r="B299" t="s">
        <v>505</v>
      </c>
      <c r="C299" t="s">
        <v>745</v>
      </c>
      <c r="E299" t="s">
        <v>900</v>
      </c>
      <c r="F299">
        <v>20000</v>
      </c>
      <c r="G299">
        <v>45</v>
      </c>
      <c r="H299">
        <v>24</v>
      </c>
      <c r="I299" t="s">
        <v>908</v>
      </c>
      <c r="J299" t="s">
        <v>909</v>
      </c>
    </row>
    <row r="300" spans="1:10">
      <c r="A300" t="s">
        <v>299</v>
      </c>
      <c r="B300" t="s">
        <v>502</v>
      </c>
      <c r="C300" t="s">
        <v>746</v>
      </c>
      <c r="E300" t="s">
        <v>901</v>
      </c>
      <c r="F300">
        <v>10000</v>
      </c>
      <c r="G300">
        <v>39</v>
      </c>
      <c r="H300">
        <v>82</v>
      </c>
      <c r="I300" t="s">
        <v>907</v>
      </c>
      <c r="J300" t="s">
        <v>909</v>
      </c>
    </row>
    <row r="301" spans="1:10">
      <c r="A301" t="s">
        <v>300</v>
      </c>
      <c r="B301" t="s">
        <v>506</v>
      </c>
      <c r="C301" t="s">
        <v>747</v>
      </c>
      <c r="E301" t="s">
        <v>902</v>
      </c>
      <c r="F301">
        <v>5000</v>
      </c>
      <c r="G301">
        <v>11</v>
      </c>
      <c r="H301">
        <v>18</v>
      </c>
      <c r="I301" t="s">
        <v>908</v>
      </c>
      <c r="J301" t="s">
        <v>909</v>
      </c>
    </row>
    <row r="302" spans="1:10">
      <c r="A302" t="s">
        <v>301</v>
      </c>
      <c r="B302" t="s">
        <v>506</v>
      </c>
      <c r="C302" t="s">
        <v>602</v>
      </c>
      <c r="D302" t="s">
        <v>649</v>
      </c>
      <c r="E302" t="s">
        <v>902</v>
      </c>
      <c r="F302">
        <v>10000</v>
      </c>
      <c r="G302">
        <v>28</v>
      </c>
      <c r="H302">
        <v>97</v>
      </c>
      <c r="I302" t="s">
        <v>909</v>
      </c>
      <c r="J302" t="s">
        <v>909</v>
      </c>
    </row>
    <row r="303" spans="1:10">
      <c r="A303" t="s">
        <v>302</v>
      </c>
      <c r="B303" t="s">
        <v>504</v>
      </c>
      <c r="C303" t="s">
        <v>719</v>
      </c>
      <c r="E303" t="s">
        <v>902</v>
      </c>
      <c r="F303">
        <v>20000</v>
      </c>
      <c r="G303">
        <v>41</v>
      </c>
      <c r="H303">
        <v>47</v>
      </c>
      <c r="I303" t="s">
        <v>907</v>
      </c>
      <c r="J303" t="s">
        <v>909</v>
      </c>
    </row>
    <row r="304" spans="1:10">
      <c r="A304" t="s">
        <v>303</v>
      </c>
      <c r="B304" t="s">
        <v>505</v>
      </c>
      <c r="C304" t="s">
        <v>748</v>
      </c>
      <c r="E304" t="s">
        <v>900</v>
      </c>
      <c r="F304">
        <v>10000</v>
      </c>
      <c r="G304">
        <v>25</v>
      </c>
      <c r="H304">
        <v>88</v>
      </c>
      <c r="I304" t="s">
        <v>908</v>
      </c>
      <c r="J304" t="s">
        <v>909</v>
      </c>
    </row>
    <row r="305" spans="1:10">
      <c r="A305" t="s">
        <v>304</v>
      </c>
      <c r="B305" t="s">
        <v>503</v>
      </c>
      <c r="C305" t="s">
        <v>749</v>
      </c>
      <c r="E305" t="s">
        <v>901</v>
      </c>
      <c r="F305">
        <v>20000</v>
      </c>
      <c r="G305">
        <v>39</v>
      </c>
      <c r="H305">
        <v>29</v>
      </c>
      <c r="I305" t="s">
        <v>908</v>
      </c>
      <c r="J305" t="s">
        <v>909</v>
      </c>
    </row>
    <row r="306" spans="1:10">
      <c r="A306" t="s">
        <v>305</v>
      </c>
      <c r="B306" t="s">
        <v>505</v>
      </c>
      <c r="C306" t="s">
        <v>750</v>
      </c>
      <c r="E306" t="s">
        <v>900</v>
      </c>
      <c r="F306">
        <v>50000</v>
      </c>
      <c r="G306">
        <v>44</v>
      </c>
      <c r="H306">
        <v>71</v>
      </c>
      <c r="I306" t="s">
        <v>908</v>
      </c>
      <c r="J306" t="s">
        <v>909</v>
      </c>
    </row>
    <row r="307" spans="1:10">
      <c r="A307" t="s">
        <v>306</v>
      </c>
      <c r="B307" t="s">
        <v>506</v>
      </c>
      <c r="C307" t="s">
        <v>751</v>
      </c>
      <c r="E307" t="s">
        <v>901</v>
      </c>
      <c r="F307">
        <v>100000</v>
      </c>
      <c r="G307">
        <v>50</v>
      </c>
      <c r="H307">
        <v>11</v>
      </c>
      <c r="I307" t="s">
        <v>907</v>
      </c>
      <c r="J307" t="s">
        <v>909</v>
      </c>
    </row>
    <row r="308" spans="1:10">
      <c r="A308" t="s">
        <v>307</v>
      </c>
      <c r="B308" t="s">
        <v>503</v>
      </c>
      <c r="C308" t="s">
        <v>752</v>
      </c>
      <c r="E308" t="s">
        <v>902</v>
      </c>
      <c r="F308">
        <v>100000</v>
      </c>
      <c r="G308">
        <v>7</v>
      </c>
      <c r="H308">
        <v>8</v>
      </c>
      <c r="I308" t="s">
        <v>907</v>
      </c>
      <c r="J308" t="s">
        <v>911</v>
      </c>
    </row>
    <row r="309" spans="1:10">
      <c r="A309" t="s">
        <v>308</v>
      </c>
      <c r="B309" t="s">
        <v>503</v>
      </c>
      <c r="C309" t="s">
        <v>753</v>
      </c>
      <c r="E309" t="s">
        <v>901</v>
      </c>
      <c r="F309">
        <v>10000</v>
      </c>
      <c r="G309">
        <v>20</v>
      </c>
      <c r="H309">
        <v>67</v>
      </c>
      <c r="I309" t="s">
        <v>907</v>
      </c>
      <c r="J309" t="s">
        <v>909</v>
      </c>
    </row>
    <row r="310" spans="1:10">
      <c r="A310" t="s">
        <v>309</v>
      </c>
      <c r="B310" t="s">
        <v>506</v>
      </c>
      <c r="C310" t="s">
        <v>754</v>
      </c>
      <c r="E310" t="s">
        <v>900</v>
      </c>
      <c r="F310">
        <v>5000</v>
      </c>
      <c r="G310">
        <v>32</v>
      </c>
      <c r="H310">
        <v>58</v>
      </c>
      <c r="I310" t="s">
        <v>908</v>
      </c>
      <c r="J310" t="s">
        <v>909</v>
      </c>
    </row>
    <row r="311" spans="1:10">
      <c r="A311" t="s">
        <v>310</v>
      </c>
      <c r="B311" t="s">
        <v>502</v>
      </c>
      <c r="C311" t="s">
        <v>548</v>
      </c>
      <c r="E311" t="s">
        <v>902</v>
      </c>
      <c r="F311">
        <v>100000</v>
      </c>
      <c r="G311">
        <v>3</v>
      </c>
      <c r="H311">
        <v>72</v>
      </c>
      <c r="I311" t="s">
        <v>908</v>
      </c>
      <c r="J311" t="s">
        <v>911</v>
      </c>
    </row>
    <row r="312" spans="1:10">
      <c r="A312" t="s">
        <v>311</v>
      </c>
      <c r="B312" t="s">
        <v>506</v>
      </c>
      <c r="C312" t="s">
        <v>755</v>
      </c>
      <c r="E312" t="s">
        <v>901</v>
      </c>
      <c r="F312">
        <v>20000</v>
      </c>
      <c r="G312">
        <v>0</v>
      </c>
      <c r="H312">
        <v>96</v>
      </c>
      <c r="I312" t="s">
        <v>908</v>
      </c>
      <c r="J312" t="s">
        <v>911</v>
      </c>
    </row>
    <row r="313" spans="1:10">
      <c r="A313" t="s">
        <v>312</v>
      </c>
      <c r="B313" t="s">
        <v>505</v>
      </c>
      <c r="C313" t="s">
        <v>756</v>
      </c>
      <c r="D313" t="s">
        <v>570</v>
      </c>
      <c r="E313" t="s">
        <v>901</v>
      </c>
      <c r="F313">
        <v>5000</v>
      </c>
      <c r="G313">
        <v>34</v>
      </c>
      <c r="H313">
        <v>8</v>
      </c>
      <c r="I313" t="s">
        <v>909</v>
      </c>
      <c r="J313" t="s">
        <v>909</v>
      </c>
    </row>
    <row r="314" spans="1:10">
      <c r="A314" t="s">
        <v>313</v>
      </c>
      <c r="B314" t="s">
        <v>502</v>
      </c>
      <c r="C314" t="s">
        <v>757</v>
      </c>
      <c r="E314" t="s">
        <v>902</v>
      </c>
      <c r="F314">
        <v>10000</v>
      </c>
      <c r="G314">
        <v>49</v>
      </c>
      <c r="H314">
        <v>83</v>
      </c>
      <c r="I314" t="s">
        <v>907</v>
      </c>
      <c r="J314" t="s">
        <v>909</v>
      </c>
    </row>
    <row r="315" spans="1:10">
      <c r="A315" t="s">
        <v>314</v>
      </c>
      <c r="B315" t="s">
        <v>506</v>
      </c>
      <c r="C315" t="s">
        <v>758</v>
      </c>
      <c r="E315" t="s">
        <v>902</v>
      </c>
      <c r="F315">
        <v>50000</v>
      </c>
      <c r="G315">
        <v>5</v>
      </c>
      <c r="H315">
        <v>88</v>
      </c>
      <c r="I315" t="s">
        <v>908</v>
      </c>
      <c r="J315" t="s">
        <v>911</v>
      </c>
    </row>
    <row r="316" spans="1:10">
      <c r="A316" t="s">
        <v>315</v>
      </c>
      <c r="B316" t="s">
        <v>503</v>
      </c>
      <c r="C316" t="s">
        <v>759</v>
      </c>
      <c r="E316" t="s">
        <v>900</v>
      </c>
      <c r="F316">
        <v>10000</v>
      </c>
      <c r="G316">
        <v>34</v>
      </c>
      <c r="H316">
        <v>51</v>
      </c>
      <c r="I316" t="s">
        <v>907</v>
      </c>
      <c r="J316" t="s">
        <v>909</v>
      </c>
    </row>
    <row r="317" spans="1:10">
      <c r="A317" t="s">
        <v>316</v>
      </c>
      <c r="B317" t="s">
        <v>503</v>
      </c>
      <c r="C317" t="s">
        <v>559</v>
      </c>
      <c r="E317" t="s">
        <v>900</v>
      </c>
      <c r="F317">
        <v>20000</v>
      </c>
      <c r="G317">
        <v>29</v>
      </c>
      <c r="H317">
        <v>87</v>
      </c>
      <c r="I317" t="s">
        <v>907</v>
      </c>
      <c r="J317" t="s">
        <v>909</v>
      </c>
    </row>
    <row r="318" spans="1:10">
      <c r="A318" t="s">
        <v>317</v>
      </c>
      <c r="B318" t="s">
        <v>503</v>
      </c>
      <c r="C318" t="s">
        <v>760</v>
      </c>
      <c r="E318" t="s">
        <v>902</v>
      </c>
      <c r="F318">
        <v>10000</v>
      </c>
      <c r="G318">
        <v>29</v>
      </c>
      <c r="H318">
        <v>45</v>
      </c>
      <c r="I318" t="s">
        <v>907</v>
      </c>
      <c r="J318" t="s">
        <v>909</v>
      </c>
    </row>
    <row r="319" spans="1:10">
      <c r="A319" t="s">
        <v>318</v>
      </c>
      <c r="B319" t="s">
        <v>505</v>
      </c>
      <c r="C319" t="s">
        <v>761</v>
      </c>
      <c r="E319" t="s">
        <v>902</v>
      </c>
      <c r="F319">
        <v>5000</v>
      </c>
      <c r="G319">
        <v>42</v>
      </c>
      <c r="H319">
        <v>54</v>
      </c>
      <c r="I319" t="s">
        <v>907</v>
      </c>
      <c r="J319" t="s">
        <v>909</v>
      </c>
    </row>
    <row r="320" spans="1:10">
      <c r="A320" t="s">
        <v>319</v>
      </c>
      <c r="B320" t="s">
        <v>503</v>
      </c>
      <c r="C320" t="s">
        <v>762</v>
      </c>
      <c r="E320" t="s">
        <v>900</v>
      </c>
      <c r="F320">
        <v>100000</v>
      </c>
      <c r="G320">
        <v>2</v>
      </c>
      <c r="H320">
        <v>58</v>
      </c>
      <c r="I320" t="s">
        <v>907</v>
      </c>
      <c r="J320" t="s">
        <v>911</v>
      </c>
    </row>
    <row r="321" spans="1:10">
      <c r="A321" t="s">
        <v>320</v>
      </c>
      <c r="B321" t="s">
        <v>503</v>
      </c>
      <c r="C321" t="s">
        <v>763</v>
      </c>
      <c r="E321" t="s">
        <v>901</v>
      </c>
      <c r="F321">
        <v>5000</v>
      </c>
      <c r="G321">
        <v>25</v>
      </c>
      <c r="H321">
        <v>57</v>
      </c>
      <c r="I321" t="s">
        <v>907</v>
      </c>
      <c r="J321" t="s">
        <v>909</v>
      </c>
    </row>
    <row r="322" spans="1:10">
      <c r="A322" t="s">
        <v>321</v>
      </c>
      <c r="B322" t="s">
        <v>505</v>
      </c>
      <c r="C322" t="s">
        <v>764</v>
      </c>
      <c r="E322" t="s">
        <v>901</v>
      </c>
      <c r="F322">
        <v>10000</v>
      </c>
      <c r="G322">
        <v>32</v>
      </c>
      <c r="H322">
        <v>38</v>
      </c>
      <c r="I322" t="s">
        <v>907</v>
      </c>
      <c r="J322" t="s">
        <v>909</v>
      </c>
    </row>
    <row r="323" spans="1:10">
      <c r="A323" t="s">
        <v>322</v>
      </c>
      <c r="B323" t="s">
        <v>505</v>
      </c>
      <c r="C323" t="s">
        <v>666</v>
      </c>
      <c r="E323" t="s">
        <v>901</v>
      </c>
      <c r="F323">
        <v>10000</v>
      </c>
      <c r="G323">
        <v>19</v>
      </c>
      <c r="H323">
        <v>19</v>
      </c>
      <c r="I323" t="s">
        <v>908</v>
      </c>
      <c r="J323" t="s">
        <v>909</v>
      </c>
    </row>
    <row r="324" spans="1:10">
      <c r="A324" t="s">
        <v>323</v>
      </c>
      <c r="B324" t="s">
        <v>503</v>
      </c>
      <c r="C324" t="s">
        <v>765</v>
      </c>
      <c r="E324" t="s">
        <v>900</v>
      </c>
      <c r="F324">
        <v>100000</v>
      </c>
      <c r="G324">
        <v>37</v>
      </c>
      <c r="H324">
        <v>95</v>
      </c>
      <c r="I324" t="s">
        <v>907</v>
      </c>
      <c r="J324" t="s">
        <v>908</v>
      </c>
    </row>
    <row r="325" spans="1:10">
      <c r="A325" t="s">
        <v>324</v>
      </c>
      <c r="B325" t="s">
        <v>505</v>
      </c>
      <c r="C325" t="s">
        <v>766</v>
      </c>
      <c r="E325" t="s">
        <v>901</v>
      </c>
      <c r="F325">
        <v>5000</v>
      </c>
      <c r="G325">
        <v>22</v>
      </c>
      <c r="H325">
        <v>83</v>
      </c>
      <c r="I325" t="s">
        <v>908</v>
      </c>
      <c r="J325" t="s">
        <v>909</v>
      </c>
    </row>
    <row r="326" spans="1:10">
      <c r="A326" t="s">
        <v>325</v>
      </c>
      <c r="B326" t="s">
        <v>506</v>
      </c>
      <c r="C326" t="s">
        <v>692</v>
      </c>
      <c r="E326" t="s">
        <v>901</v>
      </c>
      <c r="F326">
        <v>10000</v>
      </c>
      <c r="G326">
        <v>19</v>
      </c>
      <c r="H326">
        <v>49</v>
      </c>
      <c r="I326" t="s">
        <v>908</v>
      </c>
      <c r="J326" t="s">
        <v>909</v>
      </c>
    </row>
    <row r="327" spans="1:10">
      <c r="A327" t="s">
        <v>326</v>
      </c>
      <c r="B327" t="s">
        <v>505</v>
      </c>
      <c r="C327" t="s">
        <v>535</v>
      </c>
      <c r="E327" t="s">
        <v>901</v>
      </c>
      <c r="F327">
        <v>20000</v>
      </c>
      <c r="G327">
        <v>45</v>
      </c>
      <c r="H327">
        <v>19</v>
      </c>
      <c r="I327" t="s">
        <v>907</v>
      </c>
      <c r="J327" t="s">
        <v>909</v>
      </c>
    </row>
    <row r="328" spans="1:10">
      <c r="A328" t="s">
        <v>327</v>
      </c>
      <c r="B328" t="s">
        <v>506</v>
      </c>
      <c r="C328" t="s">
        <v>721</v>
      </c>
      <c r="E328" t="s">
        <v>900</v>
      </c>
      <c r="F328">
        <v>100000</v>
      </c>
      <c r="G328">
        <v>33</v>
      </c>
      <c r="H328">
        <v>18</v>
      </c>
      <c r="I328" t="s">
        <v>908</v>
      </c>
      <c r="J328" t="s">
        <v>909</v>
      </c>
    </row>
    <row r="329" spans="1:10">
      <c r="A329" t="s">
        <v>328</v>
      </c>
      <c r="B329" t="s">
        <v>506</v>
      </c>
      <c r="C329" t="s">
        <v>663</v>
      </c>
      <c r="E329" t="s">
        <v>900</v>
      </c>
      <c r="F329">
        <v>50000</v>
      </c>
      <c r="G329">
        <v>23</v>
      </c>
      <c r="H329">
        <v>12</v>
      </c>
      <c r="I329" t="s">
        <v>907</v>
      </c>
      <c r="J329" t="s">
        <v>909</v>
      </c>
    </row>
    <row r="330" spans="1:10">
      <c r="A330" t="s">
        <v>329</v>
      </c>
      <c r="B330" t="s">
        <v>503</v>
      </c>
      <c r="C330" t="s">
        <v>767</v>
      </c>
      <c r="D330" t="s">
        <v>881</v>
      </c>
      <c r="E330" t="s">
        <v>901</v>
      </c>
      <c r="F330">
        <v>100000</v>
      </c>
      <c r="G330">
        <v>38</v>
      </c>
      <c r="H330">
        <v>6</v>
      </c>
      <c r="I330" t="s">
        <v>909</v>
      </c>
      <c r="J330" t="s">
        <v>909</v>
      </c>
    </row>
    <row r="331" spans="1:10">
      <c r="A331" t="s">
        <v>330</v>
      </c>
      <c r="B331" t="s">
        <v>502</v>
      </c>
      <c r="C331" t="s">
        <v>768</v>
      </c>
      <c r="E331" t="s">
        <v>900</v>
      </c>
      <c r="F331">
        <v>50000</v>
      </c>
      <c r="G331">
        <v>13</v>
      </c>
      <c r="H331">
        <v>43</v>
      </c>
      <c r="I331" t="s">
        <v>907</v>
      </c>
      <c r="J331" t="s">
        <v>908</v>
      </c>
    </row>
    <row r="332" spans="1:10">
      <c r="A332" t="s">
        <v>331</v>
      </c>
      <c r="B332" t="s">
        <v>504</v>
      </c>
      <c r="C332" t="s">
        <v>769</v>
      </c>
      <c r="E332" t="s">
        <v>900</v>
      </c>
      <c r="F332">
        <v>50000</v>
      </c>
      <c r="G332">
        <v>15</v>
      </c>
      <c r="H332">
        <v>90</v>
      </c>
      <c r="I332" t="s">
        <v>907</v>
      </c>
      <c r="J332" t="s">
        <v>911</v>
      </c>
    </row>
    <row r="333" spans="1:10">
      <c r="A333" t="s">
        <v>332</v>
      </c>
      <c r="B333" t="s">
        <v>503</v>
      </c>
      <c r="C333" t="s">
        <v>770</v>
      </c>
      <c r="E333" t="s">
        <v>901</v>
      </c>
      <c r="F333">
        <v>100000</v>
      </c>
      <c r="G333">
        <v>20</v>
      </c>
      <c r="H333">
        <v>100</v>
      </c>
      <c r="I333" t="s">
        <v>907</v>
      </c>
      <c r="J333" t="s">
        <v>911</v>
      </c>
    </row>
    <row r="334" spans="1:10">
      <c r="A334" t="s">
        <v>333</v>
      </c>
      <c r="B334" t="s">
        <v>504</v>
      </c>
      <c r="C334" t="s">
        <v>771</v>
      </c>
      <c r="E334" t="s">
        <v>902</v>
      </c>
      <c r="F334">
        <v>20000</v>
      </c>
      <c r="G334">
        <v>16</v>
      </c>
      <c r="H334">
        <v>47</v>
      </c>
      <c r="I334" t="s">
        <v>908</v>
      </c>
      <c r="J334" t="s">
        <v>909</v>
      </c>
    </row>
    <row r="335" spans="1:10">
      <c r="A335" t="s">
        <v>334</v>
      </c>
      <c r="B335" t="s">
        <v>503</v>
      </c>
      <c r="C335" t="s">
        <v>771</v>
      </c>
      <c r="D335" t="s">
        <v>882</v>
      </c>
      <c r="E335" t="s">
        <v>902</v>
      </c>
      <c r="F335">
        <v>20000</v>
      </c>
      <c r="G335">
        <v>13</v>
      </c>
      <c r="H335">
        <v>48</v>
      </c>
      <c r="I335" t="s">
        <v>909</v>
      </c>
      <c r="J335" t="s">
        <v>908</v>
      </c>
    </row>
    <row r="336" spans="1:10">
      <c r="A336" t="s">
        <v>335</v>
      </c>
      <c r="B336" t="s">
        <v>504</v>
      </c>
      <c r="C336" t="s">
        <v>772</v>
      </c>
      <c r="E336" t="s">
        <v>902</v>
      </c>
      <c r="F336">
        <v>10000</v>
      </c>
      <c r="G336">
        <v>1</v>
      </c>
      <c r="H336">
        <v>34</v>
      </c>
      <c r="I336" t="s">
        <v>907</v>
      </c>
      <c r="J336" t="s">
        <v>908</v>
      </c>
    </row>
    <row r="337" spans="1:10">
      <c r="A337" t="s">
        <v>336</v>
      </c>
      <c r="B337" t="s">
        <v>503</v>
      </c>
      <c r="C337" t="s">
        <v>773</v>
      </c>
      <c r="E337" t="s">
        <v>901</v>
      </c>
      <c r="F337">
        <v>10000</v>
      </c>
      <c r="G337">
        <v>12</v>
      </c>
      <c r="H337">
        <v>43</v>
      </c>
      <c r="I337" t="s">
        <v>908</v>
      </c>
      <c r="J337" t="s">
        <v>909</v>
      </c>
    </row>
    <row r="338" spans="1:10">
      <c r="A338" t="s">
        <v>337</v>
      </c>
      <c r="B338" t="s">
        <v>505</v>
      </c>
      <c r="C338" t="s">
        <v>727</v>
      </c>
      <c r="E338" t="s">
        <v>902</v>
      </c>
      <c r="F338">
        <v>100000</v>
      </c>
      <c r="G338">
        <v>41</v>
      </c>
      <c r="H338">
        <v>88</v>
      </c>
      <c r="I338" t="s">
        <v>908</v>
      </c>
      <c r="J338" t="s">
        <v>908</v>
      </c>
    </row>
    <row r="339" spans="1:10">
      <c r="A339" t="s">
        <v>338</v>
      </c>
      <c r="B339" t="s">
        <v>504</v>
      </c>
      <c r="C339" t="s">
        <v>774</v>
      </c>
      <c r="E339" t="s">
        <v>902</v>
      </c>
      <c r="F339">
        <v>50000</v>
      </c>
      <c r="G339">
        <v>10</v>
      </c>
      <c r="H339">
        <v>94</v>
      </c>
      <c r="I339" t="s">
        <v>908</v>
      </c>
      <c r="J339" t="s">
        <v>911</v>
      </c>
    </row>
    <row r="340" spans="1:10">
      <c r="A340" t="s">
        <v>339</v>
      </c>
      <c r="B340" t="s">
        <v>504</v>
      </c>
      <c r="C340" t="s">
        <v>538</v>
      </c>
      <c r="E340" t="s">
        <v>900</v>
      </c>
      <c r="F340">
        <v>10000</v>
      </c>
      <c r="G340">
        <v>34</v>
      </c>
      <c r="H340">
        <v>83</v>
      </c>
      <c r="I340" t="s">
        <v>908</v>
      </c>
      <c r="J340" t="s">
        <v>909</v>
      </c>
    </row>
    <row r="341" spans="1:10">
      <c r="A341" t="s">
        <v>340</v>
      </c>
      <c r="B341" t="s">
        <v>502</v>
      </c>
      <c r="C341" t="s">
        <v>775</v>
      </c>
      <c r="E341" t="s">
        <v>901</v>
      </c>
      <c r="F341">
        <v>5000</v>
      </c>
      <c r="G341">
        <v>48</v>
      </c>
      <c r="H341">
        <v>1</v>
      </c>
      <c r="I341" t="s">
        <v>907</v>
      </c>
      <c r="J341" t="s">
        <v>909</v>
      </c>
    </row>
    <row r="342" spans="1:10">
      <c r="A342" t="s">
        <v>341</v>
      </c>
      <c r="B342" t="s">
        <v>506</v>
      </c>
      <c r="C342" t="s">
        <v>776</v>
      </c>
      <c r="E342" t="s">
        <v>900</v>
      </c>
      <c r="F342">
        <v>5000</v>
      </c>
      <c r="G342">
        <v>13</v>
      </c>
      <c r="H342">
        <v>65</v>
      </c>
      <c r="I342" t="s">
        <v>907</v>
      </c>
      <c r="J342" t="s">
        <v>908</v>
      </c>
    </row>
    <row r="343" spans="1:10">
      <c r="A343" t="s">
        <v>342</v>
      </c>
      <c r="B343" t="s">
        <v>506</v>
      </c>
      <c r="C343" t="s">
        <v>777</v>
      </c>
      <c r="E343" t="s">
        <v>902</v>
      </c>
      <c r="F343">
        <v>50000</v>
      </c>
      <c r="G343">
        <v>1</v>
      </c>
      <c r="H343">
        <v>1</v>
      </c>
      <c r="I343" t="s">
        <v>908</v>
      </c>
      <c r="J343" t="s">
        <v>908</v>
      </c>
    </row>
    <row r="344" spans="1:10">
      <c r="A344" t="s">
        <v>343</v>
      </c>
      <c r="B344" t="s">
        <v>503</v>
      </c>
      <c r="C344" t="s">
        <v>613</v>
      </c>
      <c r="D344" t="s">
        <v>883</v>
      </c>
      <c r="E344" t="s">
        <v>901</v>
      </c>
      <c r="F344">
        <v>20000</v>
      </c>
      <c r="G344">
        <v>34</v>
      </c>
      <c r="H344">
        <v>37</v>
      </c>
      <c r="I344" t="s">
        <v>909</v>
      </c>
      <c r="J344" t="s">
        <v>909</v>
      </c>
    </row>
    <row r="345" spans="1:10">
      <c r="A345" t="s">
        <v>344</v>
      </c>
      <c r="B345" t="s">
        <v>502</v>
      </c>
      <c r="C345" t="s">
        <v>599</v>
      </c>
      <c r="E345" t="s">
        <v>901</v>
      </c>
      <c r="F345">
        <v>5000</v>
      </c>
      <c r="G345">
        <v>6</v>
      </c>
      <c r="H345">
        <v>68</v>
      </c>
      <c r="I345" t="s">
        <v>907</v>
      </c>
      <c r="J345" t="s">
        <v>908</v>
      </c>
    </row>
    <row r="346" spans="1:10">
      <c r="A346" t="s">
        <v>345</v>
      </c>
      <c r="B346" t="s">
        <v>505</v>
      </c>
      <c r="C346" t="s">
        <v>778</v>
      </c>
      <c r="E346" t="s">
        <v>900</v>
      </c>
      <c r="F346">
        <v>20000</v>
      </c>
      <c r="G346">
        <v>17</v>
      </c>
      <c r="H346">
        <v>51</v>
      </c>
      <c r="I346" t="s">
        <v>908</v>
      </c>
      <c r="J346" t="s">
        <v>909</v>
      </c>
    </row>
    <row r="347" spans="1:10">
      <c r="A347" t="s">
        <v>346</v>
      </c>
      <c r="B347" t="s">
        <v>502</v>
      </c>
      <c r="C347" t="s">
        <v>779</v>
      </c>
      <c r="E347" t="s">
        <v>902</v>
      </c>
      <c r="F347">
        <v>10000</v>
      </c>
      <c r="G347">
        <v>19</v>
      </c>
      <c r="H347">
        <v>88</v>
      </c>
      <c r="I347" t="s">
        <v>907</v>
      </c>
      <c r="J347" t="s">
        <v>908</v>
      </c>
    </row>
    <row r="348" spans="1:10">
      <c r="A348" t="s">
        <v>347</v>
      </c>
      <c r="B348" t="s">
        <v>502</v>
      </c>
      <c r="C348" t="s">
        <v>780</v>
      </c>
      <c r="E348" t="s">
        <v>901</v>
      </c>
      <c r="F348">
        <v>50000</v>
      </c>
      <c r="G348">
        <v>24</v>
      </c>
      <c r="H348">
        <v>49</v>
      </c>
      <c r="I348" t="s">
        <v>907</v>
      </c>
      <c r="J348" t="s">
        <v>909</v>
      </c>
    </row>
    <row r="349" spans="1:10">
      <c r="A349" t="s">
        <v>348</v>
      </c>
      <c r="B349" t="s">
        <v>503</v>
      </c>
      <c r="C349" t="s">
        <v>781</v>
      </c>
      <c r="E349" t="s">
        <v>902</v>
      </c>
      <c r="F349">
        <v>5000</v>
      </c>
      <c r="G349">
        <v>31</v>
      </c>
      <c r="H349">
        <v>56</v>
      </c>
      <c r="I349" t="s">
        <v>907</v>
      </c>
      <c r="J349" t="s">
        <v>909</v>
      </c>
    </row>
    <row r="350" spans="1:10">
      <c r="A350" t="s">
        <v>349</v>
      </c>
      <c r="B350" t="s">
        <v>504</v>
      </c>
      <c r="C350" t="s">
        <v>654</v>
      </c>
      <c r="E350" t="s">
        <v>901</v>
      </c>
      <c r="F350">
        <v>10000</v>
      </c>
      <c r="G350">
        <v>13</v>
      </c>
      <c r="H350">
        <v>89</v>
      </c>
      <c r="I350" t="s">
        <v>907</v>
      </c>
      <c r="J350" t="s">
        <v>908</v>
      </c>
    </row>
    <row r="351" spans="1:10">
      <c r="A351" t="s">
        <v>350</v>
      </c>
      <c r="B351" t="s">
        <v>503</v>
      </c>
      <c r="C351" t="s">
        <v>782</v>
      </c>
      <c r="D351" t="s">
        <v>884</v>
      </c>
      <c r="E351" t="s">
        <v>902</v>
      </c>
      <c r="F351">
        <v>20000</v>
      </c>
      <c r="G351">
        <v>34</v>
      </c>
      <c r="H351">
        <v>73</v>
      </c>
      <c r="I351" t="s">
        <v>909</v>
      </c>
      <c r="J351" t="s">
        <v>909</v>
      </c>
    </row>
    <row r="352" spans="1:10">
      <c r="A352" t="s">
        <v>351</v>
      </c>
      <c r="B352" t="s">
        <v>502</v>
      </c>
      <c r="C352" t="s">
        <v>783</v>
      </c>
      <c r="D352" t="s">
        <v>885</v>
      </c>
      <c r="E352" t="s">
        <v>900</v>
      </c>
      <c r="F352">
        <v>100000</v>
      </c>
      <c r="G352">
        <v>9</v>
      </c>
      <c r="H352">
        <v>97</v>
      </c>
      <c r="I352" t="s">
        <v>909</v>
      </c>
      <c r="J352" t="s">
        <v>911</v>
      </c>
    </row>
    <row r="353" spans="1:10">
      <c r="A353" t="s">
        <v>352</v>
      </c>
      <c r="B353" t="s">
        <v>506</v>
      </c>
      <c r="C353" t="s">
        <v>784</v>
      </c>
      <c r="E353" t="s">
        <v>900</v>
      </c>
      <c r="F353">
        <v>100000</v>
      </c>
      <c r="G353">
        <v>24</v>
      </c>
      <c r="H353">
        <v>87</v>
      </c>
      <c r="I353" t="s">
        <v>907</v>
      </c>
      <c r="J353" t="s">
        <v>911</v>
      </c>
    </row>
    <row r="354" spans="1:10">
      <c r="A354" t="s">
        <v>353</v>
      </c>
      <c r="B354" t="s">
        <v>503</v>
      </c>
      <c r="C354" t="s">
        <v>785</v>
      </c>
      <c r="E354" t="s">
        <v>902</v>
      </c>
      <c r="F354">
        <v>5000</v>
      </c>
      <c r="G354">
        <v>32</v>
      </c>
      <c r="H354">
        <v>96</v>
      </c>
      <c r="I354" t="s">
        <v>907</v>
      </c>
      <c r="J354" t="s">
        <v>909</v>
      </c>
    </row>
    <row r="355" spans="1:10">
      <c r="A355" t="s">
        <v>354</v>
      </c>
      <c r="B355" t="s">
        <v>504</v>
      </c>
      <c r="C355" t="s">
        <v>539</v>
      </c>
      <c r="E355" t="s">
        <v>900</v>
      </c>
      <c r="F355">
        <v>20000</v>
      </c>
      <c r="G355">
        <v>38</v>
      </c>
      <c r="H355">
        <v>99</v>
      </c>
      <c r="I355" t="s">
        <v>907</v>
      </c>
      <c r="J355" t="s">
        <v>909</v>
      </c>
    </row>
    <row r="356" spans="1:10">
      <c r="A356" t="s">
        <v>355</v>
      </c>
      <c r="B356" t="s">
        <v>503</v>
      </c>
      <c r="C356" t="s">
        <v>665</v>
      </c>
      <c r="E356" t="s">
        <v>901</v>
      </c>
      <c r="F356">
        <v>5000</v>
      </c>
      <c r="G356">
        <v>40</v>
      </c>
      <c r="H356">
        <v>35</v>
      </c>
      <c r="I356" t="s">
        <v>908</v>
      </c>
      <c r="J356" t="s">
        <v>909</v>
      </c>
    </row>
    <row r="357" spans="1:10">
      <c r="A357" t="s">
        <v>356</v>
      </c>
      <c r="B357" t="s">
        <v>506</v>
      </c>
      <c r="C357" t="s">
        <v>786</v>
      </c>
      <c r="E357" t="s">
        <v>902</v>
      </c>
      <c r="F357">
        <v>50000</v>
      </c>
      <c r="G357">
        <v>11</v>
      </c>
      <c r="H357">
        <v>88</v>
      </c>
      <c r="I357" t="s">
        <v>908</v>
      </c>
      <c r="J357" t="s">
        <v>911</v>
      </c>
    </row>
    <row r="358" spans="1:10">
      <c r="A358" t="s">
        <v>357</v>
      </c>
      <c r="B358" t="s">
        <v>503</v>
      </c>
      <c r="C358" t="s">
        <v>603</v>
      </c>
      <c r="D358" t="s">
        <v>886</v>
      </c>
      <c r="E358" t="s">
        <v>901</v>
      </c>
      <c r="F358">
        <v>20000</v>
      </c>
      <c r="G358">
        <v>15</v>
      </c>
      <c r="H358">
        <v>92</v>
      </c>
      <c r="I358" t="s">
        <v>909</v>
      </c>
      <c r="J358" t="s">
        <v>908</v>
      </c>
    </row>
    <row r="359" spans="1:10">
      <c r="A359" t="s">
        <v>358</v>
      </c>
      <c r="B359" t="s">
        <v>502</v>
      </c>
      <c r="C359" t="s">
        <v>787</v>
      </c>
      <c r="E359" t="s">
        <v>900</v>
      </c>
      <c r="F359">
        <v>50000</v>
      </c>
      <c r="G359">
        <v>20</v>
      </c>
      <c r="H359">
        <v>47</v>
      </c>
      <c r="I359" t="s">
        <v>907</v>
      </c>
      <c r="J359" t="s">
        <v>908</v>
      </c>
    </row>
    <row r="360" spans="1:10">
      <c r="A360" t="s">
        <v>359</v>
      </c>
      <c r="B360" t="s">
        <v>502</v>
      </c>
      <c r="C360" t="s">
        <v>788</v>
      </c>
      <c r="E360" t="s">
        <v>900</v>
      </c>
      <c r="F360">
        <v>20000</v>
      </c>
      <c r="G360">
        <v>48</v>
      </c>
      <c r="H360">
        <v>35</v>
      </c>
      <c r="I360" t="s">
        <v>908</v>
      </c>
      <c r="J360" t="s">
        <v>909</v>
      </c>
    </row>
    <row r="361" spans="1:10">
      <c r="A361" t="s">
        <v>360</v>
      </c>
      <c r="B361" t="s">
        <v>502</v>
      </c>
      <c r="C361" t="s">
        <v>789</v>
      </c>
      <c r="E361" t="s">
        <v>900</v>
      </c>
      <c r="F361">
        <v>100000</v>
      </c>
      <c r="G361">
        <v>35</v>
      </c>
      <c r="H361">
        <v>66</v>
      </c>
      <c r="I361" t="s">
        <v>908</v>
      </c>
      <c r="J361" t="s">
        <v>908</v>
      </c>
    </row>
    <row r="362" spans="1:10">
      <c r="A362" t="s">
        <v>361</v>
      </c>
      <c r="B362" t="s">
        <v>506</v>
      </c>
      <c r="C362" t="s">
        <v>709</v>
      </c>
      <c r="E362" t="s">
        <v>900</v>
      </c>
      <c r="F362">
        <v>100000</v>
      </c>
      <c r="G362">
        <v>38</v>
      </c>
      <c r="H362">
        <v>42</v>
      </c>
      <c r="I362" t="s">
        <v>907</v>
      </c>
      <c r="J362" t="s">
        <v>909</v>
      </c>
    </row>
    <row r="363" spans="1:10">
      <c r="A363" t="s">
        <v>362</v>
      </c>
      <c r="B363" t="s">
        <v>506</v>
      </c>
      <c r="C363" t="s">
        <v>790</v>
      </c>
      <c r="E363" t="s">
        <v>900</v>
      </c>
      <c r="F363">
        <v>100000</v>
      </c>
      <c r="G363">
        <v>15</v>
      </c>
      <c r="H363">
        <v>74</v>
      </c>
      <c r="I363" t="s">
        <v>907</v>
      </c>
      <c r="J363" t="s">
        <v>911</v>
      </c>
    </row>
    <row r="364" spans="1:10">
      <c r="A364" t="s">
        <v>363</v>
      </c>
      <c r="B364" t="s">
        <v>503</v>
      </c>
      <c r="C364" t="s">
        <v>518</v>
      </c>
      <c r="E364" t="s">
        <v>900</v>
      </c>
      <c r="F364">
        <v>20000</v>
      </c>
      <c r="G364">
        <v>19</v>
      </c>
      <c r="H364">
        <v>35</v>
      </c>
      <c r="I364" t="s">
        <v>907</v>
      </c>
      <c r="J364" t="s">
        <v>909</v>
      </c>
    </row>
    <row r="365" spans="1:10">
      <c r="A365" t="s">
        <v>364</v>
      </c>
      <c r="B365" t="s">
        <v>506</v>
      </c>
      <c r="C365" t="s">
        <v>791</v>
      </c>
      <c r="E365" t="s">
        <v>900</v>
      </c>
      <c r="F365">
        <v>50000</v>
      </c>
      <c r="G365">
        <v>19</v>
      </c>
      <c r="H365">
        <v>62</v>
      </c>
      <c r="I365" t="s">
        <v>908</v>
      </c>
      <c r="J365" t="s">
        <v>908</v>
      </c>
    </row>
    <row r="366" spans="1:10">
      <c r="A366" t="s">
        <v>365</v>
      </c>
      <c r="B366" t="s">
        <v>502</v>
      </c>
      <c r="C366" t="s">
        <v>792</v>
      </c>
      <c r="E366" t="s">
        <v>902</v>
      </c>
      <c r="F366">
        <v>100000</v>
      </c>
      <c r="G366">
        <v>39</v>
      </c>
      <c r="H366">
        <v>26</v>
      </c>
      <c r="I366" t="s">
        <v>908</v>
      </c>
      <c r="J366" t="s">
        <v>909</v>
      </c>
    </row>
    <row r="367" spans="1:10">
      <c r="A367" t="s">
        <v>366</v>
      </c>
      <c r="B367" t="s">
        <v>506</v>
      </c>
      <c r="C367" t="s">
        <v>793</v>
      </c>
      <c r="E367" t="s">
        <v>900</v>
      </c>
      <c r="F367">
        <v>20000</v>
      </c>
      <c r="G367">
        <v>39</v>
      </c>
      <c r="H367">
        <v>49</v>
      </c>
      <c r="I367" t="s">
        <v>908</v>
      </c>
      <c r="J367" t="s">
        <v>909</v>
      </c>
    </row>
    <row r="368" spans="1:10">
      <c r="A368" t="s">
        <v>367</v>
      </c>
      <c r="B368" t="s">
        <v>504</v>
      </c>
      <c r="C368" t="s">
        <v>794</v>
      </c>
      <c r="E368" t="s">
        <v>902</v>
      </c>
      <c r="F368">
        <v>20000</v>
      </c>
      <c r="G368">
        <v>20</v>
      </c>
      <c r="H368">
        <v>78</v>
      </c>
      <c r="I368" t="s">
        <v>907</v>
      </c>
      <c r="J368" t="s">
        <v>908</v>
      </c>
    </row>
    <row r="369" spans="1:10">
      <c r="A369" t="s">
        <v>368</v>
      </c>
      <c r="B369" t="s">
        <v>505</v>
      </c>
      <c r="C369" t="s">
        <v>543</v>
      </c>
      <c r="E369" t="s">
        <v>902</v>
      </c>
      <c r="F369">
        <v>20000</v>
      </c>
      <c r="G369">
        <v>18</v>
      </c>
      <c r="H369">
        <v>95</v>
      </c>
      <c r="I369" t="s">
        <v>908</v>
      </c>
      <c r="J369" t="s">
        <v>908</v>
      </c>
    </row>
    <row r="370" spans="1:10">
      <c r="A370" t="s">
        <v>369</v>
      </c>
      <c r="B370" t="s">
        <v>506</v>
      </c>
      <c r="C370" t="s">
        <v>795</v>
      </c>
      <c r="E370" t="s">
        <v>901</v>
      </c>
      <c r="F370">
        <v>50000</v>
      </c>
      <c r="G370">
        <v>23</v>
      </c>
      <c r="H370">
        <v>15</v>
      </c>
      <c r="I370" t="s">
        <v>908</v>
      </c>
      <c r="J370" t="s">
        <v>909</v>
      </c>
    </row>
    <row r="371" spans="1:10">
      <c r="A371" t="s">
        <v>370</v>
      </c>
      <c r="B371" t="s">
        <v>503</v>
      </c>
      <c r="C371" t="s">
        <v>796</v>
      </c>
      <c r="E371" t="s">
        <v>900</v>
      </c>
      <c r="F371">
        <v>100000</v>
      </c>
      <c r="G371">
        <v>1</v>
      </c>
      <c r="H371">
        <v>94</v>
      </c>
      <c r="I371" t="s">
        <v>907</v>
      </c>
      <c r="J371" t="s">
        <v>911</v>
      </c>
    </row>
    <row r="372" spans="1:10">
      <c r="A372" t="s">
        <v>371</v>
      </c>
      <c r="B372" t="s">
        <v>506</v>
      </c>
      <c r="C372" t="s">
        <v>797</v>
      </c>
      <c r="E372" t="s">
        <v>901</v>
      </c>
      <c r="F372">
        <v>5000</v>
      </c>
      <c r="G372">
        <v>50</v>
      </c>
      <c r="H372">
        <v>53</v>
      </c>
      <c r="I372" t="s">
        <v>908</v>
      </c>
      <c r="J372" t="s">
        <v>909</v>
      </c>
    </row>
    <row r="373" spans="1:10">
      <c r="A373" t="s">
        <v>372</v>
      </c>
      <c r="B373" t="s">
        <v>506</v>
      </c>
      <c r="C373" t="s">
        <v>631</v>
      </c>
      <c r="E373" t="s">
        <v>900</v>
      </c>
      <c r="F373">
        <v>10000</v>
      </c>
      <c r="G373">
        <v>45</v>
      </c>
      <c r="H373">
        <v>55</v>
      </c>
      <c r="I373" t="s">
        <v>908</v>
      </c>
      <c r="J373" t="s">
        <v>909</v>
      </c>
    </row>
    <row r="374" spans="1:10">
      <c r="A374" t="s">
        <v>373</v>
      </c>
      <c r="B374" t="s">
        <v>506</v>
      </c>
      <c r="C374" t="s">
        <v>798</v>
      </c>
      <c r="E374" t="s">
        <v>900</v>
      </c>
      <c r="F374">
        <v>100000</v>
      </c>
      <c r="G374">
        <v>25</v>
      </c>
      <c r="H374">
        <v>69</v>
      </c>
      <c r="I374" t="s">
        <v>908</v>
      </c>
      <c r="J374" t="s">
        <v>911</v>
      </c>
    </row>
    <row r="375" spans="1:10">
      <c r="A375" t="s">
        <v>374</v>
      </c>
      <c r="B375" t="s">
        <v>503</v>
      </c>
      <c r="C375" t="s">
        <v>799</v>
      </c>
      <c r="E375" t="s">
        <v>901</v>
      </c>
      <c r="F375">
        <v>100000</v>
      </c>
      <c r="G375">
        <v>38</v>
      </c>
      <c r="H375">
        <v>82</v>
      </c>
      <c r="I375" t="s">
        <v>908</v>
      </c>
      <c r="J375" t="s">
        <v>908</v>
      </c>
    </row>
    <row r="376" spans="1:10">
      <c r="A376" t="s">
        <v>375</v>
      </c>
      <c r="B376" t="s">
        <v>502</v>
      </c>
      <c r="C376" t="s">
        <v>602</v>
      </c>
      <c r="E376" t="s">
        <v>900</v>
      </c>
      <c r="F376">
        <v>10000</v>
      </c>
      <c r="G376">
        <v>41</v>
      </c>
      <c r="H376">
        <v>79</v>
      </c>
      <c r="I376" t="s">
        <v>908</v>
      </c>
      <c r="J376" t="s">
        <v>909</v>
      </c>
    </row>
    <row r="377" spans="1:10">
      <c r="A377" t="s">
        <v>376</v>
      </c>
      <c r="B377" t="s">
        <v>502</v>
      </c>
      <c r="C377" t="s">
        <v>645</v>
      </c>
      <c r="E377" t="s">
        <v>901</v>
      </c>
      <c r="F377">
        <v>20000</v>
      </c>
      <c r="G377">
        <v>50</v>
      </c>
      <c r="H377">
        <v>56</v>
      </c>
      <c r="I377" t="s">
        <v>908</v>
      </c>
      <c r="J377" t="s">
        <v>909</v>
      </c>
    </row>
    <row r="378" spans="1:10">
      <c r="A378" t="s">
        <v>377</v>
      </c>
      <c r="B378" t="s">
        <v>502</v>
      </c>
      <c r="C378" t="s">
        <v>539</v>
      </c>
      <c r="E378" t="s">
        <v>900</v>
      </c>
      <c r="F378">
        <v>50000</v>
      </c>
      <c r="G378">
        <v>23</v>
      </c>
      <c r="H378">
        <v>51</v>
      </c>
      <c r="I378" t="s">
        <v>907</v>
      </c>
      <c r="J378" t="s">
        <v>908</v>
      </c>
    </row>
    <row r="379" spans="1:10">
      <c r="A379" t="s">
        <v>378</v>
      </c>
      <c r="B379" t="s">
        <v>506</v>
      </c>
      <c r="C379" t="s">
        <v>800</v>
      </c>
      <c r="E379" t="s">
        <v>901</v>
      </c>
      <c r="F379">
        <v>20000</v>
      </c>
      <c r="G379">
        <v>1</v>
      </c>
      <c r="H379">
        <v>62</v>
      </c>
      <c r="I379" t="s">
        <v>907</v>
      </c>
      <c r="J379" t="s">
        <v>911</v>
      </c>
    </row>
    <row r="380" spans="1:10">
      <c r="A380" t="s">
        <v>379</v>
      </c>
      <c r="B380" t="s">
        <v>502</v>
      </c>
      <c r="C380" t="s">
        <v>801</v>
      </c>
      <c r="E380" t="s">
        <v>902</v>
      </c>
      <c r="F380">
        <v>5000</v>
      </c>
      <c r="G380">
        <v>46</v>
      </c>
      <c r="H380">
        <v>19</v>
      </c>
      <c r="I380" t="s">
        <v>907</v>
      </c>
      <c r="J380" t="s">
        <v>909</v>
      </c>
    </row>
    <row r="381" spans="1:10">
      <c r="A381" t="s">
        <v>380</v>
      </c>
      <c r="B381" t="s">
        <v>504</v>
      </c>
      <c r="C381" t="s">
        <v>802</v>
      </c>
      <c r="E381" t="s">
        <v>902</v>
      </c>
      <c r="F381">
        <v>100000</v>
      </c>
      <c r="G381">
        <v>30</v>
      </c>
      <c r="H381">
        <v>45</v>
      </c>
      <c r="I381" t="s">
        <v>907</v>
      </c>
      <c r="J381" t="s">
        <v>908</v>
      </c>
    </row>
    <row r="382" spans="1:10">
      <c r="A382" t="s">
        <v>381</v>
      </c>
      <c r="B382" t="s">
        <v>506</v>
      </c>
      <c r="C382" t="s">
        <v>803</v>
      </c>
      <c r="E382" t="s">
        <v>900</v>
      </c>
      <c r="F382">
        <v>20000</v>
      </c>
      <c r="G382">
        <v>4</v>
      </c>
      <c r="H382">
        <v>39</v>
      </c>
      <c r="I382" t="s">
        <v>908</v>
      </c>
      <c r="J382" t="s">
        <v>908</v>
      </c>
    </row>
    <row r="383" spans="1:10">
      <c r="A383" t="s">
        <v>382</v>
      </c>
      <c r="B383" t="s">
        <v>502</v>
      </c>
      <c r="C383" t="s">
        <v>524</v>
      </c>
      <c r="D383" t="s">
        <v>542</v>
      </c>
      <c r="E383" t="s">
        <v>901</v>
      </c>
      <c r="F383">
        <v>5000</v>
      </c>
      <c r="G383">
        <v>43</v>
      </c>
      <c r="H383">
        <v>22</v>
      </c>
      <c r="I383" t="s">
        <v>909</v>
      </c>
      <c r="J383" t="s">
        <v>909</v>
      </c>
    </row>
    <row r="384" spans="1:10">
      <c r="A384" t="s">
        <v>383</v>
      </c>
      <c r="B384" t="s">
        <v>505</v>
      </c>
      <c r="C384" t="s">
        <v>563</v>
      </c>
      <c r="E384" t="s">
        <v>901</v>
      </c>
      <c r="F384">
        <v>100000</v>
      </c>
      <c r="G384">
        <v>27</v>
      </c>
      <c r="H384">
        <v>60</v>
      </c>
      <c r="I384" t="s">
        <v>908</v>
      </c>
      <c r="J384" t="s">
        <v>908</v>
      </c>
    </row>
    <row r="385" spans="1:10">
      <c r="A385" t="s">
        <v>384</v>
      </c>
      <c r="B385" t="s">
        <v>505</v>
      </c>
      <c r="C385" t="s">
        <v>566</v>
      </c>
      <c r="E385" t="s">
        <v>902</v>
      </c>
      <c r="F385">
        <v>50000</v>
      </c>
      <c r="G385">
        <v>1</v>
      </c>
      <c r="H385">
        <v>95</v>
      </c>
      <c r="I385" t="s">
        <v>908</v>
      </c>
      <c r="J385" t="s">
        <v>911</v>
      </c>
    </row>
    <row r="386" spans="1:10">
      <c r="A386" t="s">
        <v>385</v>
      </c>
      <c r="B386" t="s">
        <v>503</v>
      </c>
      <c r="C386" t="s">
        <v>804</v>
      </c>
      <c r="E386" t="s">
        <v>900</v>
      </c>
      <c r="F386">
        <v>5000</v>
      </c>
      <c r="G386">
        <v>45</v>
      </c>
      <c r="H386">
        <v>28</v>
      </c>
      <c r="I386" t="s">
        <v>908</v>
      </c>
      <c r="J386" t="s">
        <v>909</v>
      </c>
    </row>
    <row r="387" spans="1:10">
      <c r="A387" t="s">
        <v>386</v>
      </c>
      <c r="B387" t="s">
        <v>505</v>
      </c>
      <c r="C387" t="s">
        <v>763</v>
      </c>
      <c r="E387" t="s">
        <v>902</v>
      </c>
      <c r="F387">
        <v>100000</v>
      </c>
      <c r="G387">
        <v>6</v>
      </c>
      <c r="H387">
        <v>69</v>
      </c>
      <c r="I387" t="s">
        <v>907</v>
      </c>
      <c r="J387" t="s">
        <v>911</v>
      </c>
    </row>
    <row r="388" spans="1:10">
      <c r="A388" t="s">
        <v>387</v>
      </c>
      <c r="B388" t="s">
        <v>505</v>
      </c>
      <c r="C388" t="s">
        <v>805</v>
      </c>
      <c r="E388" t="s">
        <v>902</v>
      </c>
      <c r="F388">
        <v>20000</v>
      </c>
      <c r="G388">
        <v>42</v>
      </c>
      <c r="H388">
        <v>63</v>
      </c>
      <c r="I388" t="s">
        <v>907</v>
      </c>
      <c r="J388" t="s">
        <v>909</v>
      </c>
    </row>
    <row r="389" spans="1:10">
      <c r="A389" t="s">
        <v>388</v>
      </c>
      <c r="B389" t="s">
        <v>503</v>
      </c>
      <c r="C389" t="s">
        <v>806</v>
      </c>
      <c r="E389" t="s">
        <v>901</v>
      </c>
      <c r="F389">
        <v>100000</v>
      </c>
      <c r="G389">
        <v>7</v>
      </c>
      <c r="H389">
        <v>45</v>
      </c>
      <c r="I389" t="s">
        <v>908</v>
      </c>
      <c r="J389" t="s">
        <v>911</v>
      </c>
    </row>
    <row r="390" spans="1:10">
      <c r="A390" t="s">
        <v>389</v>
      </c>
      <c r="B390" t="s">
        <v>504</v>
      </c>
      <c r="C390" t="s">
        <v>807</v>
      </c>
      <c r="E390" t="s">
        <v>902</v>
      </c>
      <c r="F390">
        <v>100000</v>
      </c>
      <c r="G390">
        <v>37</v>
      </c>
      <c r="H390">
        <v>11</v>
      </c>
      <c r="I390" t="s">
        <v>908</v>
      </c>
      <c r="J390" t="s">
        <v>909</v>
      </c>
    </row>
    <row r="391" spans="1:10">
      <c r="A391" t="s">
        <v>390</v>
      </c>
      <c r="B391" t="s">
        <v>505</v>
      </c>
      <c r="C391" t="s">
        <v>808</v>
      </c>
      <c r="E391" t="s">
        <v>902</v>
      </c>
      <c r="F391">
        <v>10000</v>
      </c>
      <c r="G391">
        <v>23</v>
      </c>
      <c r="H391">
        <v>89</v>
      </c>
      <c r="I391" t="s">
        <v>907</v>
      </c>
      <c r="J391" t="s">
        <v>908</v>
      </c>
    </row>
    <row r="392" spans="1:10">
      <c r="A392" t="s">
        <v>391</v>
      </c>
      <c r="B392" t="s">
        <v>505</v>
      </c>
      <c r="C392" t="s">
        <v>809</v>
      </c>
      <c r="E392" t="s">
        <v>901</v>
      </c>
      <c r="F392">
        <v>100000</v>
      </c>
      <c r="G392">
        <v>24</v>
      </c>
      <c r="H392">
        <v>55</v>
      </c>
      <c r="I392" t="s">
        <v>907</v>
      </c>
      <c r="J392" t="s">
        <v>908</v>
      </c>
    </row>
    <row r="393" spans="1:10">
      <c r="A393" t="s">
        <v>392</v>
      </c>
      <c r="B393" t="s">
        <v>505</v>
      </c>
      <c r="C393" t="s">
        <v>586</v>
      </c>
      <c r="E393" t="s">
        <v>902</v>
      </c>
      <c r="F393">
        <v>100000</v>
      </c>
      <c r="G393">
        <v>10</v>
      </c>
      <c r="H393">
        <v>63</v>
      </c>
      <c r="I393" t="s">
        <v>907</v>
      </c>
      <c r="J393" t="s">
        <v>911</v>
      </c>
    </row>
    <row r="394" spans="1:10">
      <c r="A394" t="s">
        <v>393</v>
      </c>
      <c r="B394" t="s">
        <v>504</v>
      </c>
      <c r="C394" t="s">
        <v>810</v>
      </c>
      <c r="E394" t="s">
        <v>900</v>
      </c>
      <c r="F394">
        <v>100000</v>
      </c>
      <c r="G394">
        <v>3</v>
      </c>
      <c r="H394">
        <v>46</v>
      </c>
      <c r="I394" t="s">
        <v>908</v>
      </c>
      <c r="J394" t="s">
        <v>911</v>
      </c>
    </row>
    <row r="395" spans="1:10">
      <c r="A395" t="s">
        <v>394</v>
      </c>
      <c r="B395" t="s">
        <v>502</v>
      </c>
      <c r="C395" t="s">
        <v>811</v>
      </c>
      <c r="E395" t="s">
        <v>902</v>
      </c>
      <c r="F395">
        <v>100000</v>
      </c>
      <c r="G395">
        <v>32</v>
      </c>
      <c r="H395">
        <v>84</v>
      </c>
      <c r="I395" t="s">
        <v>908</v>
      </c>
      <c r="J395" t="s">
        <v>908</v>
      </c>
    </row>
    <row r="396" spans="1:10">
      <c r="A396" t="s">
        <v>395</v>
      </c>
      <c r="B396" t="s">
        <v>506</v>
      </c>
      <c r="C396" t="s">
        <v>518</v>
      </c>
      <c r="E396" t="s">
        <v>902</v>
      </c>
      <c r="F396">
        <v>50000</v>
      </c>
      <c r="G396">
        <v>10</v>
      </c>
      <c r="H396">
        <v>11</v>
      </c>
      <c r="I396" t="s">
        <v>908</v>
      </c>
      <c r="J396" t="s">
        <v>908</v>
      </c>
    </row>
    <row r="397" spans="1:10">
      <c r="A397" t="s">
        <v>396</v>
      </c>
      <c r="B397" t="s">
        <v>503</v>
      </c>
      <c r="C397" t="s">
        <v>812</v>
      </c>
      <c r="E397" t="s">
        <v>900</v>
      </c>
      <c r="F397">
        <v>10000</v>
      </c>
      <c r="G397">
        <v>34</v>
      </c>
      <c r="H397">
        <v>37</v>
      </c>
      <c r="I397" t="s">
        <v>908</v>
      </c>
      <c r="J397" t="s">
        <v>909</v>
      </c>
    </row>
    <row r="398" spans="1:10">
      <c r="A398" t="s">
        <v>397</v>
      </c>
      <c r="B398" t="s">
        <v>505</v>
      </c>
      <c r="C398" t="s">
        <v>813</v>
      </c>
      <c r="E398" t="s">
        <v>902</v>
      </c>
      <c r="F398">
        <v>100000</v>
      </c>
      <c r="G398">
        <v>32</v>
      </c>
      <c r="H398">
        <v>15</v>
      </c>
      <c r="I398" t="s">
        <v>908</v>
      </c>
      <c r="J398" t="s">
        <v>909</v>
      </c>
    </row>
    <row r="399" spans="1:10">
      <c r="A399" t="s">
        <v>398</v>
      </c>
      <c r="B399" t="s">
        <v>503</v>
      </c>
      <c r="C399" t="s">
        <v>787</v>
      </c>
      <c r="E399" t="s">
        <v>900</v>
      </c>
      <c r="F399">
        <v>100000</v>
      </c>
      <c r="G399">
        <v>48</v>
      </c>
      <c r="H399">
        <v>6</v>
      </c>
      <c r="I399" t="s">
        <v>908</v>
      </c>
      <c r="J399" t="s">
        <v>909</v>
      </c>
    </row>
    <row r="400" spans="1:10">
      <c r="A400" t="s">
        <v>399</v>
      </c>
      <c r="B400" t="s">
        <v>506</v>
      </c>
      <c r="C400" t="s">
        <v>814</v>
      </c>
      <c r="E400" t="s">
        <v>901</v>
      </c>
      <c r="F400">
        <v>10000</v>
      </c>
      <c r="G400">
        <v>19</v>
      </c>
      <c r="H400">
        <v>5</v>
      </c>
      <c r="I400" t="s">
        <v>907</v>
      </c>
      <c r="J400" t="s">
        <v>909</v>
      </c>
    </row>
    <row r="401" spans="1:10">
      <c r="A401" t="s">
        <v>400</v>
      </c>
      <c r="B401" t="s">
        <v>506</v>
      </c>
      <c r="C401" t="s">
        <v>815</v>
      </c>
      <c r="E401" t="s">
        <v>902</v>
      </c>
      <c r="F401">
        <v>50000</v>
      </c>
      <c r="G401">
        <v>7</v>
      </c>
      <c r="H401">
        <v>100</v>
      </c>
      <c r="I401" t="s">
        <v>907</v>
      </c>
      <c r="J401" t="s">
        <v>911</v>
      </c>
    </row>
    <row r="402" spans="1:10">
      <c r="A402" t="s">
        <v>401</v>
      </c>
      <c r="B402" t="s">
        <v>505</v>
      </c>
      <c r="C402" t="s">
        <v>800</v>
      </c>
      <c r="E402" t="s">
        <v>900</v>
      </c>
      <c r="F402">
        <v>10000</v>
      </c>
      <c r="G402">
        <v>39</v>
      </c>
      <c r="H402">
        <v>18</v>
      </c>
      <c r="I402" t="s">
        <v>908</v>
      </c>
      <c r="J402" t="s">
        <v>909</v>
      </c>
    </row>
    <row r="403" spans="1:10">
      <c r="A403" t="s">
        <v>402</v>
      </c>
      <c r="B403" t="s">
        <v>505</v>
      </c>
      <c r="C403" t="s">
        <v>816</v>
      </c>
      <c r="E403" t="s">
        <v>900</v>
      </c>
      <c r="F403">
        <v>100000</v>
      </c>
      <c r="G403">
        <v>34</v>
      </c>
      <c r="H403">
        <v>22</v>
      </c>
      <c r="I403" t="s">
        <v>908</v>
      </c>
      <c r="J403" t="s">
        <v>909</v>
      </c>
    </row>
    <row r="404" spans="1:10">
      <c r="A404" t="s">
        <v>403</v>
      </c>
      <c r="B404" t="s">
        <v>504</v>
      </c>
      <c r="C404" t="s">
        <v>817</v>
      </c>
      <c r="E404" t="s">
        <v>901</v>
      </c>
      <c r="F404">
        <v>100000</v>
      </c>
      <c r="G404">
        <v>43</v>
      </c>
      <c r="H404">
        <v>13</v>
      </c>
      <c r="I404" t="s">
        <v>908</v>
      </c>
      <c r="J404" t="s">
        <v>909</v>
      </c>
    </row>
    <row r="405" spans="1:10">
      <c r="A405" t="s">
        <v>404</v>
      </c>
      <c r="B405" t="s">
        <v>505</v>
      </c>
      <c r="C405" t="s">
        <v>816</v>
      </c>
      <c r="E405" t="s">
        <v>902</v>
      </c>
      <c r="F405">
        <v>10000</v>
      </c>
      <c r="G405">
        <v>15</v>
      </c>
      <c r="H405">
        <v>19</v>
      </c>
      <c r="I405" t="s">
        <v>907</v>
      </c>
      <c r="J405" t="s">
        <v>909</v>
      </c>
    </row>
    <row r="406" spans="1:10">
      <c r="A406" t="s">
        <v>405</v>
      </c>
      <c r="B406" t="s">
        <v>504</v>
      </c>
      <c r="C406" t="s">
        <v>818</v>
      </c>
      <c r="E406" t="s">
        <v>900</v>
      </c>
      <c r="F406">
        <v>100000</v>
      </c>
      <c r="G406">
        <v>40</v>
      </c>
      <c r="H406">
        <v>35</v>
      </c>
      <c r="I406" t="s">
        <v>907</v>
      </c>
      <c r="J406" t="s">
        <v>909</v>
      </c>
    </row>
    <row r="407" spans="1:10">
      <c r="A407" t="s">
        <v>406</v>
      </c>
      <c r="B407" t="s">
        <v>506</v>
      </c>
      <c r="C407" t="s">
        <v>819</v>
      </c>
      <c r="D407" t="s">
        <v>887</v>
      </c>
      <c r="E407" t="s">
        <v>902</v>
      </c>
      <c r="F407">
        <v>50000</v>
      </c>
      <c r="G407">
        <v>32</v>
      </c>
      <c r="H407">
        <v>96</v>
      </c>
      <c r="I407" t="s">
        <v>909</v>
      </c>
      <c r="J407" t="s">
        <v>908</v>
      </c>
    </row>
    <row r="408" spans="1:10">
      <c r="A408" t="s">
        <v>407</v>
      </c>
      <c r="B408" t="s">
        <v>504</v>
      </c>
      <c r="C408" t="s">
        <v>820</v>
      </c>
      <c r="E408" t="s">
        <v>901</v>
      </c>
      <c r="F408">
        <v>20000</v>
      </c>
      <c r="G408">
        <v>37</v>
      </c>
      <c r="H408">
        <v>1</v>
      </c>
      <c r="I408" t="s">
        <v>908</v>
      </c>
      <c r="J408" t="s">
        <v>909</v>
      </c>
    </row>
    <row r="409" spans="1:10">
      <c r="A409" t="s">
        <v>408</v>
      </c>
      <c r="B409" t="s">
        <v>502</v>
      </c>
      <c r="C409" t="s">
        <v>520</v>
      </c>
      <c r="E409" t="s">
        <v>901</v>
      </c>
      <c r="F409">
        <v>5000</v>
      </c>
      <c r="G409">
        <v>50</v>
      </c>
      <c r="H409">
        <v>69</v>
      </c>
      <c r="I409" t="s">
        <v>908</v>
      </c>
      <c r="J409" t="s">
        <v>909</v>
      </c>
    </row>
    <row r="410" spans="1:10">
      <c r="A410" t="s">
        <v>409</v>
      </c>
      <c r="B410" t="s">
        <v>506</v>
      </c>
      <c r="C410" t="s">
        <v>821</v>
      </c>
      <c r="E410" t="s">
        <v>900</v>
      </c>
      <c r="F410">
        <v>20000</v>
      </c>
      <c r="G410">
        <v>20</v>
      </c>
      <c r="H410">
        <v>37</v>
      </c>
      <c r="I410" t="s">
        <v>908</v>
      </c>
      <c r="J410" t="s">
        <v>909</v>
      </c>
    </row>
    <row r="411" spans="1:10">
      <c r="A411" t="s">
        <v>410</v>
      </c>
      <c r="B411" t="s">
        <v>504</v>
      </c>
      <c r="C411" t="s">
        <v>514</v>
      </c>
      <c r="D411" t="s">
        <v>888</v>
      </c>
      <c r="E411" t="s">
        <v>901</v>
      </c>
      <c r="F411">
        <v>20000</v>
      </c>
      <c r="G411">
        <v>43</v>
      </c>
      <c r="H411">
        <v>98</v>
      </c>
      <c r="I411" t="s">
        <v>909</v>
      </c>
      <c r="J411" t="s">
        <v>909</v>
      </c>
    </row>
    <row r="412" spans="1:10">
      <c r="A412" t="s">
        <v>411</v>
      </c>
      <c r="B412" t="s">
        <v>502</v>
      </c>
      <c r="C412" t="s">
        <v>822</v>
      </c>
      <c r="E412" t="s">
        <v>900</v>
      </c>
      <c r="F412">
        <v>5000</v>
      </c>
      <c r="G412">
        <v>7</v>
      </c>
      <c r="H412">
        <v>21</v>
      </c>
      <c r="I412" t="s">
        <v>908</v>
      </c>
      <c r="J412" t="s">
        <v>909</v>
      </c>
    </row>
    <row r="413" spans="1:10">
      <c r="A413" t="s">
        <v>412</v>
      </c>
      <c r="B413" t="s">
        <v>506</v>
      </c>
      <c r="C413" t="s">
        <v>823</v>
      </c>
      <c r="E413" t="s">
        <v>902</v>
      </c>
      <c r="F413">
        <v>10000</v>
      </c>
      <c r="G413">
        <v>44</v>
      </c>
      <c r="H413">
        <v>17</v>
      </c>
      <c r="I413" t="s">
        <v>908</v>
      </c>
      <c r="J413" t="s">
        <v>909</v>
      </c>
    </row>
    <row r="414" spans="1:10">
      <c r="A414" t="s">
        <v>413</v>
      </c>
      <c r="B414" t="s">
        <v>504</v>
      </c>
      <c r="C414" t="s">
        <v>824</v>
      </c>
      <c r="E414" t="s">
        <v>900</v>
      </c>
      <c r="F414">
        <v>20000</v>
      </c>
      <c r="G414">
        <v>5</v>
      </c>
      <c r="H414">
        <v>48</v>
      </c>
      <c r="I414" t="s">
        <v>908</v>
      </c>
      <c r="J414" t="s">
        <v>908</v>
      </c>
    </row>
    <row r="415" spans="1:10">
      <c r="A415" t="s">
        <v>414</v>
      </c>
      <c r="B415" t="s">
        <v>505</v>
      </c>
      <c r="C415" t="s">
        <v>691</v>
      </c>
      <c r="E415" t="s">
        <v>900</v>
      </c>
      <c r="F415">
        <v>50000</v>
      </c>
      <c r="G415">
        <v>41</v>
      </c>
      <c r="H415">
        <v>12</v>
      </c>
      <c r="I415" t="s">
        <v>907</v>
      </c>
      <c r="J415" t="s">
        <v>909</v>
      </c>
    </row>
    <row r="416" spans="1:10">
      <c r="A416" t="s">
        <v>415</v>
      </c>
      <c r="B416" t="s">
        <v>502</v>
      </c>
      <c r="C416" t="s">
        <v>825</v>
      </c>
      <c r="E416" t="s">
        <v>900</v>
      </c>
      <c r="F416">
        <v>100000</v>
      </c>
      <c r="G416">
        <v>14</v>
      </c>
      <c r="H416">
        <v>67</v>
      </c>
      <c r="I416" t="s">
        <v>907</v>
      </c>
      <c r="J416" t="s">
        <v>911</v>
      </c>
    </row>
    <row r="417" spans="1:10">
      <c r="A417" t="s">
        <v>416</v>
      </c>
      <c r="B417" t="s">
        <v>506</v>
      </c>
      <c r="C417" t="s">
        <v>636</v>
      </c>
      <c r="E417" t="s">
        <v>900</v>
      </c>
      <c r="F417">
        <v>50000</v>
      </c>
      <c r="G417">
        <v>44</v>
      </c>
      <c r="H417">
        <v>17</v>
      </c>
      <c r="I417" t="s">
        <v>907</v>
      </c>
      <c r="J417" t="s">
        <v>909</v>
      </c>
    </row>
    <row r="418" spans="1:10">
      <c r="A418" t="s">
        <v>417</v>
      </c>
      <c r="B418" t="s">
        <v>506</v>
      </c>
      <c r="C418" t="s">
        <v>826</v>
      </c>
      <c r="E418" t="s">
        <v>900</v>
      </c>
      <c r="F418">
        <v>5000</v>
      </c>
      <c r="G418">
        <v>20</v>
      </c>
      <c r="H418">
        <v>48</v>
      </c>
      <c r="I418" t="s">
        <v>907</v>
      </c>
      <c r="J418" t="s">
        <v>909</v>
      </c>
    </row>
    <row r="419" spans="1:10">
      <c r="A419" t="s">
        <v>418</v>
      </c>
      <c r="B419" t="s">
        <v>504</v>
      </c>
      <c r="C419" t="s">
        <v>758</v>
      </c>
      <c r="E419" t="s">
        <v>900</v>
      </c>
      <c r="F419">
        <v>10000</v>
      </c>
      <c r="G419">
        <v>4</v>
      </c>
      <c r="H419">
        <v>68</v>
      </c>
      <c r="I419" t="s">
        <v>907</v>
      </c>
      <c r="J419" t="s">
        <v>908</v>
      </c>
    </row>
    <row r="420" spans="1:10">
      <c r="A420" t="s">
        <v>419</v>
      </c>
      <c r="B420" t="s">
        <v>503</v>
      </c>
      <c r="C420" t="s">
        <v>589</v>
      </c>
      <c r="E420" t="s">
        <v>900</v>
      </c>
      <c r="F420">
        <v>20000</v>
      </c>
      <c r="G420">
        <v>46</v>
      </c>
      <c r="H420">
        <v>28</v>
      </c>
      <c r="I420" t="s">
        <v>908</v>
      </c>
      <c r="J420" t="s">
        <v>909</v>
      </c>
    </row>
    <row r="421" spans="1:10">
      <c r="A421" t="s">
        <v>420</v>
      </c>
      <c r="B421" t="s">
        <v>505</v>
      </c>
      <c r="C421" t="s">
        <v>737</v>
      </c>
      <c r="E421" t="s">
        <v>902</v>
      </c>
      <c r="F421">
        <v>5000</v>
      </c>
      <c r="G421">
        <v>6</v>
      </c>
      <c r="H421">
        <v>18</v>
      </c>
      <c r="I421" t="s">
        <v>907</v>
      </c>
      <c r="J421" t="s">
        <v>909</v>
      </c>
    </row>
    <row r="422" spans="1:10">
      <c r="A422" t="s">
        <v>421</v>
      </c>
      <c r="B422" t="s">
        <v>502</v>
      </c>
      <c r="C422" t="s">
        <v>785</v>
      </c>
      <c r="E422" t="s">
        <v>901</v>
      </c>
      <c r="F422">
        <v>20000</v>
      </c>
      <c r="G422">
        <v>50</v>
      </c>
      <c r="H422">
        <v>18</v>
      </c>
      <c r="I422" t="s">
        <v>908</v>
      </c>
      <c r="J422" t="s">
        <v>909</v>
      </c>
    </row>
    <row r="423" spans="1:10">
      <c r="A423" t="s">
        <v>422</v>
      </c>
      <c r="B423" t="s">
        <v>505</v>
      </c>
      <c r="C423" t="s">
        <v>645</v>
      </c>
      <c r="D423" t="s">
        <v>889</v>
      </c>
      <c r="E423" t="s">
        <v>902</v>
      </c>
      <c r="F423">
        <v>100000</v>
      </c>
      <c r="G423">
        <v>38</v>
      </c>
      <c r="H423">
        <v>93</v>
      </c>
      <c r="I423" t="s">
        <v>909</v>
      </c>
      <c r="J423" t="s">
        <v>908</v>
      </c>
    </row>
    <row r="424" spans="1:10">
      <c r="A424" t="s">
        <v>423</v>
      </c>
      <c r="B424" t="s">
        <v>503</v>
      </c>
      <c r="C424" t="s">
        <v>583</v>
      </c>
      <c r="D424" t="s">
        <v>890</v>
      </c>
      <c r="E424" t="s">
        <v>902</v>
      </c>
      <c r="F424">
        <v>20000</v>
      </c>
      <c r="G424">
        <v>13</v>
      </c>
      <c r="H424">
        <v>67</v>
      </c>
      <c r="I424" t="s">
        <v>909</v>
      </c>
      <c r="J424" t="s">
        <v>908</v>
      </c>
    </row>
    <row r="425" spans="1:10">
      <c r="A425" t="s">
        <v>424</v>
      </c>
      <c r="B425" t="s">
        <v>503</v>
      </c>
      <c r="C425" t="s">
        <v>761</v>
      </c>
      <c r="E425" t="s">
        <v>901</v>
      </c>
      <c r="F425">
        <v>5000</v>
      </c>
      <c r="G425">
        <v>50</v>
      </c>
      <c r="H425">
        <v>31</v>
      </c>
      <c r="I425" t="s">
        <v>908</v>
      </c>
      <c r="J425" t="s">
        <v>909</v>
      </c>
    </row>
    <row r="426" spans="1:10">
      <c r="A426" t="s">
        <v>425</v>
      </c>
      <c r="B426" t="s">
        <v>506</v>
      </c>
      <c r="C426" t="s">
        <v>827</v>
      </c>
      <c r="E426" t="s">
        <v>902</v>
      </c>
      <c r="F426">
        <v>100000</v>
      </c>
      <c r="G426">
        <v>0</v>
      </c>
      <c r="H426">
        <v>47</v>
      </c>
      <c r="I426" t="s">
        <v>907</v>
      </c>
      <c r="J426" t="s">
        <v>911</v>
      </c>
    </row>
    <row r="427" spans="1:10">
      <c r="A427" t="s">
        <v>426</v>
      </c>
      <c r="B427" t="s">
        <v>504</v>
      </c>
      <c r="C427" t="s">
        <v>828</v>
      </c>
      <c r="E427" t="s">
        <v>900</v>
      </c>
      <c r="F427">
        <v>20000</v>
      </c>
      <c r="G427">
        <v>34</v>
      </c>
      <c r="H427">
        <v>88</v>
      </c>
      <c r="I427" t="s">
        <v>908</v>
      </c>
      <c r="J427" t="s">
        <v>909</v>
      </c>
    </row>
    <row r="428" spans="1:10">
      <c r="A428" t="s">
        <v>427</v>
      </c>
      <c r="B428" t="s">
        <v>505</v>
      </c>
      <c r="C428" t="s">
        <v>756</v>
      </c>
      <c r="D428" t="s">
        <v>891</v>
      </c>
      <c r="E428" t="s">
        <v>902</v>
      </c>
      <c r="F428">
        <v>5000</v>
      </c>
      <c r="G428">
        <v>16</v>
      </c>
      <c r="H428">
        <v>28</v>
      </c>
      <c r="I428" t="s">
        <v>909</v>
      </c>
      <c r="J428" t="s">
        <v>909</v>
      </c>
    </row>
    <row r="429" spans="1:10">
      <c r="A429" t="s">
        <v>428</v>
      </c>
      <c r="B429" t="s">
        <v>502</v>
      </c>
      <c r="C429" t="s">
        <v>829</v>
      </c>
      <c r="E429" t="s">
        <v>900</v>
      </c>
      <c r="F429">
        <v>50000</v>
      </c>
      <c r="G429">
        <v>44</v>
      </c>
      <c r="H429">
        <v>52</v>
      </c>
      <c r="I429" t="s">
        <v>908</v>
      </c>
      <c r="J429" t="s">
        <v>909</v>
      </c>
    </row>
    <row r="430" spans="1:10">
      <c r="A430" t="s">
        <v>429</v>
      </c>
      <c r="B430" t="s">
        <v>502</v>
      </c>
      <c r="C430" t="s">
        <v>830</v>
      </c>
      <c r="E430" t="s">
        <v>901</v>
      </c>
      <c r="F430">
        <v>20000</v>
      </c>
      <c r="G430">
        <v>5</v>
      </c>
      <c r="H430">
        <v>40</v>
      </c>
      <c r="I430" t="s">
        <v>907</v>
      </c>
      <c r="J430" t="s">
        <v>908</v>
      </c>
    </row>
    <row r="431" spans="1:10">
      <c r="A431" t="s">
        <v>430</v>
      </c>
      <c r="B431" t="s">
        <v>502</v>
      </c>
      <c r="C431" t="s">
        <v>831</v>
      </c>
      <c r="E431" t="s">
        <v>901</v>
      </c>
      <c r="F431">
        <v>100000</v>
      </c>
      <c r="G431">
        <v>20</v>
      </c>
      <c r="H431">
        <v>51</v>
      </c>
      <c r="I431" t="s">
        <v>907</v>
      </c>
      <c r="J431" t="s">
        <v>911</v>
      </c>
    </row>
    <row r="432" spans="1:10">
      <c r="A432" t="s">
        <v>431</v>
      </c>
      <c r="B432" t="s">
        <v>503</v>
      </c>
      <c r="C432" t="s">
        <v>780</v>
      </c>
      <c r="E432" t="s">
        <v>901</v>
      </c>
      <c r="F432">
        <v>20000</v>
      </c>
      <c r="G432">
        <v>44</v>
      </c>
      <c r="H432">
        <v>56</v>
      </c>
      <c r="I432" t="s">
        <v>907</v>
      </c>
      <c r="J432" t="s">
        <v>909</v>
      </c>
    </row>
    <row r="433" spans="1:10">
      <c r="A433" t="s">
        <v>432</v>
      </c>
      <c r="B433" t="s">
        <v>505</v>
      </c>
      <c r="C433" t="s">
        <v>517</v>
      </c>
      <c r="E433" t="s">
        <v>900</v>
      </c>
      <c r="F433">
        <v>5000</v>
      </c>
      <c r="G433">
        <v>29</v>
      </c>
      <c r="H433">
        <v>79</v>
      </c>
      <c r="I433" t="s">
        <v>908</v>
      </c>
      <c r="J433" t="s">
        <v>909</v>
      </c>
    </row>
    <row r="434" spans="1:10">
      <c r="A434" t="s">
        <v>433</v>
      </c>
      <c r="B434" t="s">
        <v>503</v>
      </c>
      <c r="C434" t="s">
        <v>683</v>
      </c>
      <c r="E434" t="s">
        <v>900</v>
      </c>
      <c r="F434">
        <v>5000</v>
      </c>
      <c r="G434">
        <v>0</v>
      </c>
      <c r="H434">
        <v>91</v>
      </c>
      <c r="I434" t="s">
        <v>907</v>
      </c>
      <c r="J434" t="s">
        <v>911</v>
      </c>
    </row>
    <row r="435" spans="1:10">
      <c r="A435" t="s">
        <v>434</v>
      </c>
      <c r="B435" t="s">
        <v>505</v>
      </c>
      <c r="C435" t="s">
        <v>832</v>
      </c>
      <c r="D435" t="s">
        <v>828</v>
      </c>
      <c r="E435" t="s">
        <v>901</v>
      </c>
      <c r="F435">
        <v>100000</v>
      </c>
      <c r="G435">
        <v>33</v>
      </c>
      <c r="H435">
        <v>93</v>
      </c>
      <c r="I435" t="s">
        <v>909</v>
      </c>
      <c r="J435" t="s">
        <v>911</v>
      </c>
    </row>
    <row r="436" spans="1:10">
      <c r="A436" t="s">
        <v>435</v>
      </c>
      <c r="B436" t="s">
        <v>504</v>
      </c>
      <c r="C436" t="s">
        <v>833</v>
      </c>
      <c r="E436" t="s">
        <v>900</v>
      </c>
      <c r="F436">
        <v>5000</v>
      </c>
      <c r="G436">
        <v>49</v>
      </c>
      <c r="H436">
        <v>4</v>
      </c>
      <c r="I436" t="s">
        <v>908</v>
      </c>
      <c r="J436" t="s">
        <v>909</v>
      </c>
    </row>
    <row r="437" spans="1:10">
      <c r="A437" t="s">
        <v>436</v>
      </c>
      <c r="B437" t="s">
        <v>504</v>
      </c>
      <c r="C437" t="s">
        <v>834</v>
      </c>
      <c r="E437" t="s">
        <v>902</v>
      </c>
      <c r="F437">
        <v>100000</v>
      </c>
      <c r="G437">
        <v>40</v>
      </c>
      <c r="H437">
        <v>10</v>
      </c>
      <c r="I437" t="s">
        <v>908</v>
      </c>
      <c r="J437" t="s">
        <v>909</v>
      </c>
    </row>
    <row r="438" spans="1:10">
      <c r="A438" t="s">
        <v>437</v>
      </c>
      <c r="B438" t="s">
        <v>506</v>
      </c>
      <c r="C438" t="s">
        <v>835</v>
      </c>
      <c r="E438" t="s">
        <v>902</v>
      </c>
      <c r="F438">
        <v>100000</v>
      </c>
      <c r="G438">
        <v>10</v>
      </c>
      <c r="H438">
        <v>48</v>
      </c>
      <c r="I438" t="s">
        <v>908</v>
      </c>
      <c r="J438" t="s">
        <v>911</v>
      </c>
    </row>
    <row r="439" spans="1:10">
      <c r="A439" t="s">
        <v>438</v>
      </c>
      <c r="B439" t="s">
        <v>505</v>
      </c>
      <c r="C439" t="s">
        <v>671</v>
      </c>
      <c r="E439" t="s">
        <v>902</v>
      </c>
      <c r="F439">
        <v>10000</v>
      </c>
      <c r="G439">
        <v>47</v>
      </c>
      <c r="H439">
        <v>66</v>
      </c>
      <c r="I439" t="s">
        <v>907</v>
      </c>
      <c r="J439" t="s">
        <v>909</v>
      </c>
    </row>
    <row r="440" spans="1:10">
      <c r="A440" t="s">
        <v>439</v>
      </c>
      <c r="B440" t="s">
        <v>502</v>
      </c>
      <c r="C440" t="s">
        <v>836</v>
      </c>
      <c r="E440" t="s">
        <v>900</v>
      </c>
      <c r="F440">
        <v>20000</v>
      </c>
      <c r="G440">
        <v>24</v>
      </c>
      <c r="H440">
        <v>20</v>
      </c>
      <c r="I440" t="s">
        <v>908</v>
      </c>
      <c r="J440" t="s">
        <v>909</v>
      </c>
    </row>
    <row r="441" spans="1:10">
      <c r="A441" t="s">
        <v>440</v>
      </c>
      <c r="B441" t="s">
        <v>505</v>
      </c>
      <c r="C441" t="s">
        <v>594</v>
      </c>
      <c r="E441" t="s">
        <v>900</v>
      </c>
      <c r="F441">
        <v>10000</v>
      </c>
      <c r="G441">
        <v>20</v>
      </c>
      <c r="H441">
        <v>32</v>
      </c>
      <c r="I441" t="s">
        <v>908</v>
      </c>
      <c r="J441" t="s">
        <v>909</v>
      </c>
    </row>
    <row r="442" spans="1:10">
      <c r="A442" t="s">
        <v>441</v>
      </c>
      <c r="B442" t="s">
        <v>506</v>
      </c>
      <c r="C442" t="s">
        <v>837</v>
      </c>
      <c r="E442" t="s">
        <v>901</v>
      </c>
      <c r="F442">
        <v>100000</v>
      </c>
      <c r="G442">
        <v>23</v>
      </c>
      <c r="H442">
        <v>16</v>
      </c>
      <c r="I442" t="s">
        <v>907</v>
      </c>
      <c r="J442" t="s">
        <v>908</v>
      </c>
    </row>
    <row r="443" spans="1:10">
      <c r="A443" t="s">
        <v>442</v>
      </c>
      <c r="B443" t="s">
        <v>503</v>
      </c>
      <c r="C443" t="s">
        <v>660</v>
      </c>
      <c r="D443" t="s">
        <v>881</v>
      </c>
      <c r="E443" t="s">
        <v>901</v>
      </c>
      <c r="F443">
        <v>5000</v>
      </c>
      <c r="G443">
        <v>25</v>
      </c>
      <c r="H443">
        <v>9</v>
      </c>
      <c r="I443" t="s">
        <v>909</v>
      </c>
      <c r="J443" t="s">
        <v>909</v>
      </c>
    </row>
    <row r="444" spans="1:10">
      <c r="A444" t="s">
        <v>443</v>
      </c>
      <c r="B444" t="s">
        <v>506</v>
      </c>
      <c r="C444" t="s">
        <v>749</v>
      </c>
      <c r="E444" t="s">
        <v>902</v>
      </c>
      <c r="F444">
        <v>5000</v>
      </c>
      <c r="G444">
        <v>23</v>
      </c>
      <c r="H444">
        <v>26</v>
      </c>
      <c r="I444" t="s">
        <v>908</v>
      </c>
      <c r="J444" t="s">
        <v>909</v>
      </c>
    </row>
    <row r="445" spans="1:10">
      <c r="A445" t="s">
        <v>444</v>
      </c>
      <c r="B445" t="s">
        <v>504</v>
      </c>
      <c r="C445" t="s">
        <v>643</v>
      </c>
      <c r="E445" t="s">
        <v>901</v>
      </c>
      <c r="F445">
        <v>50000</v>
      </c>
      <c r="G445">
        <v>23</v>
      </c>
      <c r="H445">
        <v>76</v>
      </c>
      <c r="I445" t="s">
        <v>907</v>
      </c>
      <c r="J445" t="s">
        <v>908</v>
      </c>
    </row>
    <row r="446" spans="1:10">
      <c r="A446" t="s">
        <v>445</v>
      </c>
      <c r="B446" t="s">
        <v>506</v>
      </c>
      <c r="C446" t="s">
        <v>838</v>
      </c>
      <c r="E446" t="s">
        <v>900</v>
      </c>
      <c r="F446">
        <v>10000</v>
      </c>
      <c r="G446">
        <v>0</v>
      </c>
      <c r="H446">
        <v>53</v>
      </c>
      <c r="I446" t="s">
        <v>907</v>
      </c>
      <c r="J446" t="s">
        <v>908</v>
      </c>
    </row>
    <row r="447" spans="1:10">
      <c r="A447" t="s">
        <v>446</v>
      </c>
      <c r="B447" t="s">
        <v>502</v>
      </c>
      <c r="C447" t="s">
        <v>839</v>
      </c>
      <c r="E447" t="s">
        <v>900</v>
      </c>
      <c r="F447">
        <v>20000</v>
      </c>
      <c r="G447">
        <v>0</v>
      </c>
      <c r="H447">
        <v>98</v>
      </c>
      <c r="I447" t="s">
        <v>907</v>
      </c>
      <c r="J447" t="s">
        <v>911</v>
      </c>
    </row>
    <row r="448" spans="1:10">
      <c r="A448" t="s">
        <v>447</v>
      </c>
      <c r="B448" t="s">
        <v>506</v>
      </c>
      <c r="C448" t="s">
        <v>840</v>
      </c>
      <c r="D448" t="s">
        <v>892</v>
      </c>
      <c r="E448" t="s">
        <v>901</v>
      </c>
      <c r="F448">
        <v>10000</v>
      </c>
      <c r="G448">
        <v>26</v>
      </c>
      <c r="H448">
        <v>63</v>
      </c>
      <c r="I448" t="s">
        <v>909</v>
      </c>
      <c r="J448" t="s">
        <v>909</v>
      </c>
    </row>
    <row r="449" spans="1:10">
      <c r="A449" t="s">
        <v>448</v>
      </c>
      <c r="B449" t="s">
        <v>502</v>
      </c>
      <c r="C449" t="s">
        <v>841</v>
      </c>
      <c r="E449" t="s">
        <v>900</v>
      </c>
      <c r="F449">
        <v>10000</v>
      </c>
      <c r="G449">
        <v>33</v>
      </c>
      <c r="H449">
        <v>53</v>
      </c>
      <c r="I449" t="s">
        <v>907</v>
      </c>
      <c r="J449" t="s">
        <v>909</v>
      </c>
    </row>
    <row r="450" spans="1:10">
      <c r="A450" t="s">
        <v>449</v>
      </c>
      <c r="B450" t="s">
        <v>504</v>
      </c>
      <c r="C450" t="s">
        <v>677</v>
      </c>
      <c r="E450" t="s">
        <v>902</v>
      </c>
      <c r="F450">
        <v>50000</v>
      </c>
      <c r="G450">
        <v>4</v>
      </c>
      <c r="H450">
        <v>76</v>
      </c>
      <c r="I450" t="s">
        <v>907</v>
      </c>
      <c r="J450" t="s">
        <v>911</v>
      </c>
    </row>
    <row r="451" spans="1:10">
      <c r="A451" t="s">
        <v>450</v>
      </c>
      <c r="B451" t="s">
        <v>503</v>
      </c>
      <c r="C451" t="s">
        <v>842</v>
      </c>
      <c r="E451" t="s">
        <v>900</v>
      </c>
      <c r="F451">
        <v>10000</v>
      </c>
      <c r="G451">
        <v>18</v>
      </c>
      <c r="H451">
        <v>34</v>
      </c>
      <c r="I451" t="s">
        <v>907</v>
      </c>
      <c r="J451" t="s">
        <v>909</v>
      </c>
    </row>
    <row r="452" spans="1:10">
      <c r="A452" t="s">
        <v>451</v>
      </c>
      <c r="B452" t="s">
        <v>504</v>
      </c>
      <c r="C452" t="s">
        <v>733</v>
      </c>
      <c r="E452" t="s">
        <v>902</v>
      </c>
      <c r="F452">
        <v>20000</v>
      </c>
      <c r="G452">
        <v>28</v>
      </c>
      <c r="H452">
        <v>35</v>
      </c>
      <c r="I452" t="s">
        <v>908</v>
      </c>
      <c r="J452" t="s">
        <v>909</v>
      </c>
    </row>
    <row r="453" spans="1:10">
      <c r="A453" t="s">
        <v>452</v>
      </c>
      <c r="B453" t="s">
        <v>505</v>
      </c>
      <c r="C453" t="s">
        <v>753</v>
      </c>
      <c r="E453" t="s">
        <v>900</v>
      </c>
      <c r="F453">
        <v>10000</v>
      </c>
      <c r="G453">
        <v>6</v>
      </c>
      <c r="H453">
        <v>22</v>
      </c>
      <c r="I453" t="s">
        <v>907</v>
      </c>
      <c r="J453" t="s">
        <v>908</v>
      </c>
    </row>
    <row r="454" spans="1:10">
      <c r="A454" t="s">
        <v>453</v>
      </c>
      <c r="B454" t="s">
        <v>506</v>
      </c>
      <c r="C454" t="s">
        <v>543</v>
      </c>
      <c r="E454" t="s">
        <v>902</v>
      </c>
      <c r="F454">
        <v>10000</v>
      </c>
      <c r="G454">
        <v>28</v>
      </c>
      <c r="H454">
        <v>40</v>
      </c>
      <c r="I454" t="s">
        <v>908</v>
      </c>
      <c r="J454" t="s">
        <v>909</v>
      </c>
    </row>
    <row r="455" spans="1:10">
      <c r="A455" t="s">
        <v>454</v>
      </c>
      <c r="B455" t="s">
        <v>506</v>
      </c>
      <c r="C455" t="s">
        <v>545</v>
      </c>
      <c r="D455" t="s">
        <v>893</v>
      </c>
      <c r="E455" t="s">
        <v>902</v>
      </c>
      <c r="F455">
        <v>100000</v>
      </c>
      <c r="G455">
        <v>2</v>
      </c>
      <c r="H455">
        <v>28</v>
      </c>
      <c r="I455" t="s">
        <v>909</v>
      </c>
      <c r="J455" t="s">
        <v>911</v>
      </c>
    </row>
    <row r="456" spans="1:10">
      <c r="A456" t="s">
        <v>455</v>
      </c>
      <c r="B456" t="s">
        <v>504</v>
      </c>
      <c r="C456" t="s">
        <v>522</v>
      </c>
      <c r="E456" t="s">
        <v>900</v>
      </c>
      <c r="F456">
        <v>50000</v>
      </c>
      <c r="G456">
        <v>32</v>
      </c>
      <c r="H456">
        <v>7</v>
      </c>
      <c r="I456" t="s">
        <v>908</v>
      </c>
      <c r="J456" t="s">
        <v>909</v>
      </c>
    </row>
    <row r="457" spans="1:10">
      <c r="A457" t="s">
        <v>456</v>
      </c>
      <c r="B457" t="s">
        <v>504</v>
      </c>
      <c r="C457" t="s">
        <v>563</v>
      </c>
      <c r="D457" t="s">
        <v>894</v>
      </c>
      <c r="E457" t="s">
        <v>902</v>
      </c>
      <c r="F457">
        <v>50000</v>
      </c>
      <c r="G457">
        <v>35</v>
      </c>
      <c r="H457">
        <v>96</v>
      </c>
      <c r="I457" t="s">
        <v>909</v>
      </c>
      <c r="J457" t="s">
        <v>908</v>
      </c>
    </row>
    <row r="458" spans="1:10">
      <c r="A458" t="s">
        <v>457</v>
      </c>
      <c r="B458" t="s">
        <v>503</v>
      </c>
      <c r="C458" t="s">
        <v>843</v>
      </c>
      <c r="E458" t="s">
        <v>900</v>
      </c>
      <c r="F458">
        <v>5000</v>
      </c>
      <c r="G458">
        <v>0</v>
      </c>
      <c r="H458">
        <v>8</v>
      </c>
      <c r="I458" t="s">
        <v>907</v>
      </c>
      <c r="J458" t="s">
        <v>908</v>
      </c>
    </row>
    <row r="459" spans="1:10">
      <c r="A459" t="s">
        <v>458</v>
      </c>
      <c r="B459" t="s">
        <v>505</v>
      </c>
      <c r="C459" t="s">
        <v>844</v>
      </c>
      <c r="E459" t="s">
        <v>900</v>
      </c>
      <c r="F459">
        <v>5000</v>
      </c>
      <c r="G459">
        <v>37</v>
      </c>
      <c r="H459">
        <v>76</v>
      </c>
      <c r="I459" t="s">
        <v>908</v>
      </c>
      <c r="J459" t="s">
        <v>909</v>
      </c>
    </row>
    <row r="460" spans="1:10">
      <c r="A460" t="s">
        <v>459</v>
      </c>
      <c r="B460" t="s">
        <v>504</v>
      </c>
      <c r="C460" t="s">
        <v>845</v>
      </c>
      <c r="E460" t="s">
        <v>900</v>
      </c>
      <c r="F460">
        <v>50000</v>
      </c>
      <c r="G460">
        <v>8</v>
      </c>
      <c r="H460">
        <v>12</v>
      </c>
      <c r="I460" t="s">
        <v>907</v>
      </c>
      <c r="J460" t="s">
        <v>908</v>
      </c>
    </row>
    <row r="461" spans="1:10">
      <c r="A461" t="s">
        <v>460</v>
      </c>
      <c r="B461" t="s">
        <v>504</v>
      </c>
      <c r="C461" t="s">
        <v>736</v>
      </c>
      <c r="E461" t="s">
        <v>900</v>
      </c>
      <c r="F461">
        <v>10000</v>
      </c>
      <c r="G461">
        <v>36</v>
      </c>
      <c r="H461">
        <v>56</v>
      </c>
      <c r="I461" t="s">
        <v>907</v>
      </c>
      <c r="J461" t="s">
        <v>909</v>
      </c>
    </row>
    <row r="462" spans="1:10">
      <c r="A462" t="s">
        <v>461</v>
      </c>
      <c r="B462" t="s">
        <v>506</v>
      </c>
      <c r="C462" t="s">
        <v>846</v>
      </c>
      <c r="E462" t="s">
        <v>902</v>
      </c>
      <c r="F462">
        <v>10000</v>
      </c>
      <c r="G462">
        <v>22</v>
      </c>
      <c r="H462">
        <v>28</v>
      </c>
      <c r="I462" t="s">
        <v>908</v>
      </c>
      <c r="J462" t="s">
        <v>909</v>
      </c>
    </row>
    <row r="463" spans="1:10">
      <c r="A463" t="s">
        <v>462</v>
      </c>
      <c r="B463" t="s">
        <v>505</v>
      </c>
      <c r="C463" t="s">
        <v>847</v>
      </c>
      <c r="E463" t="s">
        <v>902</v>
      </c>
      <c r="F463">
        <v>5000</v>
      </c>
      <c r="G463">
        <v>39</v>
      </c>
      <c r="H463">
        <v>80</v>
      </c>
      <c r="I463" t="s">
        <v>907</v>
      </c>
      <c r="J463" t="s">
        <v>909</v>
      </c>
    </row>
    <row r="464" spans="1:10">
      <c r="A464" t="s">
        <v>463</v>
      </c>
      <c r="B464" t="s">
        <v>503</v>
      </c>
      <c r="C464" t="s">
        <v>848</v>
      </c>
      <c r="E464" t="s">
        <v>900</v>
      </c>
      <c r="F464">
        <v>100000</v>
      </c>
      <c r="G464">
        <v>30</v>
      </c>
      <c r="H464">
        <v>8</v>
      </c>
      <c r="I464" t="s">
        <v>908</v>
      </c>
      <c r="J464" t="s">
        <v>909</v>
      </c>
    </row>
    <row r="465" spans="1:10">
      <c r="A465" t="s">
        <v>464</v>
      </c>
      <c r="B465" t="s">
        <v>502</v>
      </c>
      <c r="C465" t="s">
        <v>621</v>
      </c>
      <c r="E465" t="s">
        <v>902</v>
      </c>
      <c r="F465">
        <v>100000</v>
      </c>
      <c r="G465">
        <v>15</v>
      </c>
      <c r="H465">
        <v>81</v>
      </c>
      <c r="I465" t="s">
        <v>907</v>
      </c>
      <c r="J465" t="s">
        <v>911</v>
      </c>
    </row>
    <row r="466" spans="1:10">
      <c r="A466" t="s">
        <v>465</v>
      </c>
      <c r="B466" t="s">
        <v>503</v>
      </c>
      <c r="C466" t="s">
        <v>758</v>
      </c>
      <c r="E466" t="s">
        <v>900</v>
      </c>
      <c r="F466">
        <v>50000</v>
      </c>
      <c r="G466">
        <v>34</v>
      </c>
      <c r="H466">
        <v>63</v>
      </c>
      <c r="I466" t="s">
        <v>908</v>
      </c>
      <c r="J466" t="s">
        <v>909</v>
      </c>
    </row>
    <row r="467" spans="1:10">
      <c r="A467" t="s">
        <v>466</v>
      </c>
      <c r="B467" t="s">
        <v>504</v>
      </c>
      <c r="C467" t="s">
        <v>849</v>
      </c>
      <c r="E467" t="s">
        <v>901</v>
      </c>
      <c r="F467">
        <v>10000</v>
      </c>
      <c r="G467">
        <v>1</v>
      </c>
      <c r="H467">
        <v>41</v>
      </c>
      <c r="I467" t="s">
        <v>908</v>
      </c>
      <c r="J467" t="s">
        <v>908</v>
      </c>
    </row>
    <row r="468" spans="1:10">
      <c r="A468" t="s">
        <v>467</v>
      </c>
      <c r="B468" t="s">
        <v>503</v>
      </c>
      <c r="C468" t="s">
        <v>846</v>
      </c>
      <c r="E468" t="s">
        <v>900</v>
      </c>
      <c r="F468">
        <v>5000</v>
      </c>
      <c r="G468">
        <v>30</v>
      </c>
      <c r="H468">
        <v>68</v>
      </c>
      <c r="I468" t="s">
        <v>908</v>
      </c>
      <c r="J468" t="s">
        <v>909</v>
      </c>
    </row>
    <row r="469" spans="1:10">
      <c r="A469" t="s">
        <v>468</v>
      </c>
      <c r="B469" t="s">
        <v>504</v>
      </c>
      <c r="C469" t="s">
        <v>515</v>
      </c>
      <c r="E469" t="s">
        <v>901</v>
      </c>
      <c r="F469">
        <v>10000</v>
      </c>
      <c r="G469">
        <v>42</v>
      </c>
      <c r="H469">
        <v>31</v>
      </c>
      <c r="I469" t="s">
        <v>907</v>
      </c>
      <c r="J469" t="s">
        <v>909</v>
      </c>
    </row>
    <row r="470" spans="1:10">
      <c r="A470" t="s">
        <v>469</v>
      </c>
      <c r="B470" t="s">
        <v>504</v>
      </c>
      <c r="C470" t="s">
        <v>781</v>
      </c>
      <c r="E470" t="s">
        <v>901</v>
      </c>
      <c r="F470">
        <v>100000</v>
      </c>
      <c r="G470">
        <v>24</v>
      </c>
      <c r="H470">
        <v>46</v>
      </c>
      <c r="I470" t="s">
        <v>907</v>
      </c>
      <c r="J470" t="s">
        <v>908</v>
      </c>
    </row>
    <row r="471" spans="1:10">
      <c r="A471" t="s">
        <v>470</v>
      </c>
      <c r="B471" t="s">
        <v>505</v>
      </c>
      <c r="C471" t="s">
        <v>850</v>
      </c>
      <c r="E471" t="s">
        <v>900</v>
      </c>
      <c r="F471">
        <v>100000</v>
      </c>
      <c r="G471">
        <v>1</v>
      </c>
      <c r="H471">
        <v>91</v>
      </c>
      <c r="I471" t="s">
        <v>908</v>
      </c>
      <c r="J471" t="s">
        <v>911</v>
      </c>
    </row>
    <row r="472" spans="1:10">
      <c r="A472" t="s">
        <v>471</v>
      </c>
      <c r="B472" t="s">
        <v>504</v>
      </c>
      <c r="C472" t="s">
        <v>851</v>
      </c>
      <c r="D472" t="s">
        <v>895</v>
      </c>
      <c r="E472" t="s">
        <v>901</v>
      </c>
      <c r="F472">
        <v>50000</v>
      </c>
      <c r="G472">
        <v>34</v>
      </c>
      <c r="H472">
        <v>40</v>
      </c>
      <c r="I472" t="s">
        <v>909</v>
      </c>
      <c r="J472" t="s">
        <v>909</v>
      </c>
    </row>
    <row r="473" spans="1:10">
      <c r="A473" t="s">
        <v>472</v>
      </c>
      <c r="B473" t="s">
        <v>505</v>
      </c>
      <c r="C473" t="s">
        <v>852</v>
      </c>
      <c r="D473" t="s">
        <v>784</v>
      </c>
      <c r="E473" t="s">
        <v>902</v>
      </c>
      <c r="F473">
        <v>100000</v>
      </c>
      <c r="G473">
        <v>14</v>
      </c>
      <c r="H473">
        <v>3</v>
      </c>
      <c r="I473" t="s">
        <v>909</v>
      </c>
      <c r="J473" t="s">
        <v>908</v>
      </c>
    </row>
    <row r="474" spans="1:10">
      <c r="A474" t="s">
        <v>473</v>
      </c>
      <c r="B474" t="s">
        <v>503</v>
      </c>
      <c r="C474" t="s">
        <v>823</v>
      </c>
      <c r="E474" t="s">
        <v>902</v>
      </c>
      <c r="F474">
        <v>10000</v>
      </c>
      <c r="G474">
        <v>21</v>
      </c>
      <c r="H474">
        <v>92</v>
      </c>
      <c r="I474" t="s">
        <v>907</v>
      </c>
      <c r="J474" t="s">
        <v>908</v>
      </c>
    </row>
    <row r="475" spans="1:10">
      <c r="A475" t="s">
        <v>474</v>
      </c>
      <c r="B475" t="s">
        <v>505</v>
      </c>
      <c r="C475" t="s">
        <v>816</v>
      </c>
      <c r="D475" t="s">
        <v>896</v>
      </c>
      <c r="E475" t="s">
        <v>902</v>
      </c>
      <c r="F475">
        <v>10000</v>
      </c>
      <c r="G475">
        <v>49</v>
      </c>
      <c r="H475">
        <v>15</v>
      </c>
      <c r="I475" t="s">
        <v>909</v>
      </c>
      <c r="J475" t="s">
        <v>909</v>
      </c>
    </row>
    <row r="476" spans="1:10">
      <c r="A476" t="s">
        <v>475</v>
      </c>
      <c r="B476" t="s">
        <v>503</v>
      </c>
      <c r="C476" t="s">
        <v>756</v>
      </c>
      <c r="E476" t="s">
        <v>902</v>
      </c>
      <c r="F476">
        <v>100000</v>
      </c>
      <c r="G476">
        <v>6</v>
      </c>
      <c r="H476">
        <v>44</v>
      </c>
      <c r="I476" t="s">
        <v>908</v>
      </c>
      <c r="J476" t="s">
        <v>911</v>
      </c>
    </row>
    <row r="477" spans="1:10">
      <c r="A477" t="s">
        <v>476</v>
      </c>
      <c r="B477" t="s">
        <v>504</v>
      </c>
      <c r="C477" t="s">
        <v>811</v>
      </c>
      <c r="E477" t="s">
        <v>902</v>
      </c>
      <c r="F477">
        <v>50000</v>
      </c>
      <c r="G477">
        <v>41</v>
      </c>
      <c r="H477">
        <v>41</v>
      </c>
      <c r="I477" t="s">
        <v>908</v>
      </c>
      <c r="J477" t="s">
        <v>909</v>
      </c>
    </row>
    <row r="478" spans="1:10">
      <c r="A478" t="s">
        <v>477</v>
      </c>
      <c r="B478" t="s">
        <v>505</v>
      </c>
      <c r="C478" t="s">
        <v>721</v>
      </c>
      <c r="E478" t="s">
        <v>901</v>
      </c>
      <c r="F478">
        <v>10000</v>
      </c>
      <c r="G478">
        <v>42</v>
      </c>
      <c r="H478">
        <v>76</v>
      </c>
      <c r="I478" t="s">
        <v>908</v>
      </c>
      <c r="J478" t="s">
        <v>909</v>
      </c>
    </row>
    <row r="479" spans="1:10">
      <c r="A479" t="s">
        <v>478</v>
      </c>
      <c r="B479" t="s">
        <v>505</v>
      </c>
      <c r="C479" t="s">
        <v>840</v>
      </c>
      <c r="E479" t="s">
        <v>902</v>
      </c>
      <c r="F479">
        <v>10000</v>
      </c>
      <c r="G479">
        <v>11</v>
      </c>
      <c r="H479">
        <v>94</v>
      </c>
      <c r="I479" t="s">
        <v>908</v>
      </c>
      <c r="J479" t="s">
        <v>908</v>
      </c>
    </row>
    <row r="480" spans="1:10">
      <c r="A480" t="s">
        <v>479</v>
      </c>
      <c r="B480" t="s">
        <v>502</v>
      </c>
      <c r="C480" t="s">
        <v>853</v>
      </c>
      <c r="E480" t="s">
        <v>901</v>
      </c>
      <c r="F480">
        <v>10000</v>
      </c>
      <c r="G480">
        <v>38</v>
      </c>
      <c r="H480">
        <v>41</v>
      </c>
      <c r="I480" t="s">
        <v>907</v>
      </c>
      <c r="J480" t="s">
        <v>909</v>
      </c>
    </row>
    <row r="481" spans="1:10">
      <c r="A481" t="s">
        <v>480</v>
      </c>
      <c r="B481" t="s">
        <v>503</v>
      </c>
      <c r="C481" t="s">
        <v>696</v>
      </c>
      <c r="E481" t="s">
        <v>900</v>
      </c>
      <c r="F481">
        <v>10000</v>
      </c>
      <c r="G481">
        <v>21</v>
      </c>
      <c r="H481">
        <v>96</v>
      </c>
      <c r="I481" t="s">
        <v>908</v>
      </c>
      <c r="J481" t="s">
        <v>908</v>
      </c>
    </row>
    <row r="482" spans="1:10">
      <c r="A482" t="s">
        <v>481</v>
      </c>
      <c r="B482" t="s">
        <v>502</v>
      </c>
      <c r="C482" t="s">
        <v>854</v>
      </c>
      <c r="E482" t="s">
        <v>900</v>
      </c>
      <c r="F482">
        <v>5000</v>
      </c>
      <c r="G482">
        <v>45</v>
      </c>
      <c r="H482">
        <v>86</v>
      </c>
      <c r="I482" t="s">
        <v>907</v>
      </c>
      <c r="J482" t="s">
        <v>909</v>
      </c>
    </row>
    <row r="483" spans="1:10">
      <c r="A483" t="s">
        <v>482</v>
      </c>
      <c r="B483" t="s">
        <v>504</v>
      </c>
      <c r="C483" t="s">
        <v>832</v>
      </c>
      <c r="E483" t="s">
        <v>902</v>
      </c>
      <c r="F483">
        <v>5000</v>
      </c>
      <c r="G483">
        <v>22</v>
      </c>
      <c r="H483">
        <v>33</v>
      </c>
      <c r="I483" t="s">
        <v>907</v>
      </c>
      <c r="J483" t="s">
        <v>909</v>
      </c>
    </row>
    <row r="484" spans="1:10">
      <c r="A484" t="s">
        <v>483</v>
      </c>
      <c r="B484" t="s">
        <v>502</v>
      </c>
      <c r="C484" t="s">
        <v>855</v>
      </c>
      <c r="D484" t="s">
        <v>897</v>
      </c>
      <c r="E484" t="s">
        <v>901</v>
      </c>
      <c r="F484">
        <v>50000</v>
      </c>
      <c r="G484">
        <v>10</v>
      </c>
      <c r="H484">
        <v>53</v>
      </c>
      <c r="I484" t="s">
        <v>909</v>
      </c>
      <c r="J484" t="s">
        <v>908</v>
      </c>
    </row>
    <row r="485" spans="1:10">
      <c r="A485" t="s">
        <v>484</v>
      </c>
      <c r="B485" t="s">
        <v>506</v>
      </c>
      <c r="C485" t="s">
        <v>560</v>
      </c>
      <c r="E485" t="s">
        <v>902</v>
      </c>
      <c r="F485">
        <v>50000</v>
      </c>
      <c r="G485">
        <v>50</v>
      </c>
      <c r="H485">
        <v>74</v>
      </c>
      <c r="I485" t="s">
        <v>907</v>
      </c>
      <c r="J485" t="s">
        <v>909</v>
      </c>
    </row>
    <row r="486" spans="1:10">
      <c r="A486" t="s">
        <v>485</v>
      </c>
      <c r="B486" t="s">
        <v>505</v>
      </c>
      <c r="C486" t="s">
        <v>819</v>
      </c>
      <c r="E486" t="s">
        <v>900</v>
      </c>
      <c r="F486">
        <v>20000</v>
      </c>
      <c r="G486">
        <v>1</v>
      </c>
      <c r="H486">
        <v>41</v>
      </c>
      <c r="I486" t="s">
        <v>907</v>
      </c>
      <c r="J486" t="s">
        <v>908</v>
      </c>
    </row>
    <row r="487" spans="1:10">
      <c r="A487" t="s">
        <v>486</v>
      </c>
      <c r="B487" t="s">
        <v>504</v>
      </c>
      <c r="C487" t="s">
        <v>634</v>
      </c>
      <c r="E487" t="s">
        <v>900</v>
      </c>
      <c r="F487">
        <v>10000</v>
      </c>
      <c r="G487">
        <v>46</v>
      </c>
      <c r="H487">
        <v>10</v>
      </c>
      <c r="I487" t="s">
        <v>908</v>
      </c>
      <c r="J487" t="s">
        <v>909</v>
      </c>
    </row>
    <row r="488" spans="1:10">
      <c r="A488" t="s">
        <v>487</v>
      </c>
      <c r="B488" t="s">
        <v>503</v>
      </c>
      <c r="C488" t="s">
        <v>679</v>
      </c>
      <c r="E488" t="s">
        <v>900</v>
      </c>
      <c r="F488">
        <v>5000</v>
      </c>
      <c r="G488">
        <v>27</v>
      </c>
      <c r="H488">
        <v>84</v>
      </c>
      <c r="I488" t="s">
        <v>908</v>
      </c>
      <c r="J488" t="s">
        <v>909</v>
      </c>
    </row>
    <row r="489" spans="1:10">
      <c r="A489" t="s">
        <v>488</v>
      </c>
      <c r="B489" t="s">
        <v>505</v>
      </c>
      <c r="C489" t="s">
        <v>856</v>
      </c>
      <c r="D489" t="s">
        <v>851</v>
      </c>
      <c r="E489" t="s">
        <v>901</v>
      </c>
      <c r="F489">
        <v>20000</v>
      </c>
      <c r="G489">
        <v>13</v>
      </c>
      <c r="H489">
        <v>25</v>
      </c>
      <c r="I489" t="s">
        <v>909</v>
      </c>
      <c r="J489" t="s">
        <v>909</v>
      </c>
    </row>
    <row r="490" spans="1:10">
      <c r="A490" t="s">
        <v>489</v>
      </c>
      <c r="B490" t="s">
        <v>506</v>
      </c>
      <c r="C490" t="s">
        <v>714</v>
      </c>
      <c r="E490" t="s">
        <v>901</v>
      </c>
      <c r="F490">
        <v>20000</v>
      </c>
      <c r="G490">
        <v>19</v>
      </c>
      <c r="H490">
        <v>31</v>
      </c>
      <c r="I490" t="s">
        <v>908</v>
      </c>
      <c r="J490" t="s">
        <v>909</v>
      </c>
    </row>
    <row r="491" spans="1:10">
      <c r="A491" t="s">
        <v>490</v>
      </c>
      <c r="B491" t="s">
        <v>502</v>
      </c>
      <c r="C491" t="s">
        <v>857</v>
      </c>
      <c r="E491" t="s">
        <v>900</v>
      </c>
      <c r="F491">
        <v>10000</v>
      </c>
      <c r="G491">
        <v>3</v>
      </c>
      <c r="H491">
        <v>47</v>
      </c>
      <c r="I491" t="s">
        <v>908</v>
      </c>
      <c r="J491" t="s">
        <v>908</v>
      </c>
    </row>
    <row r="492" spans="1:10">
      <c r="A492" t="s">
        <v>491</v>
      </c>
      <c r="B492" t="s">
        <v>502</v>
      </c>
      <c r="C492" t="s">
        <v>789</v>
      </c>
      <c r="E492" t="s">
        <v>902</v>
      </c>
      <c r="F492">
        <v>10000</v>
      </c>
      <c r="G492">
        <v>6</v>
      </c>
      <c r="H492">
        <v>4</v>
      </c>
      <c r="I492" t="s">
        <v>908</v>
      </c>
      <c r="J492" t="s">
        <v>909</v>
      </c>
    </row>
    <row r="493" spans="1:10">
      <c r="A493" t="s">
        <v>492</v>
      </c>
      <c r="B493" t="s">
        <v>505</v>
      </c>
      <c r="C493" t="s">
        <v>738</v>
      </c>
      <c r="E493" t="s">
        <v>900</v>
      </c>
      <c r="F493">
        <v>50000</v>
      </c>
      <c r="G493">
        <v>7</v>
      </c>
      <c r="H493">
        <v>40</v>
      </c>
      <c r="I493" t="s">
        <v>907</v>
      </c>
      <c r="J493" t="s">
        <v>908</v>
      </c>
    </row>
    <row r="494" spans="1:10">
      <c r="A494" t="s">
        <v>493</v>
      </c>
      <c r="B494" t="s">
        <v>506</v>
      </c>
      <c r="C494" t="s">
        <v>774</v>
      </c>
      <c r="E494" t="s">
        <v>902</v>
      </c>
      <c r="F494">
        <v>5000</v>
      </c>
      <c r="G494">
        <v>41</v>
      </c>
      <c r="H494">
        <v>70</v>
      </c>
      <c r="I494" t="s">
        <v>908</v>
      </c>
      <c r="J494" t="s">
        <v>909</v>
      </c>
    </row>
    <row r="495" spans="1:10">
      <c r="A495" t="s">
        <v>494</v>
      </c>
      <c r="B495" t="s">
        <v>506</v>
      </c>
      <c r="C495" t="s">
        <v>516</v>
      </c>
      <c r="E495" t="s">
        <v>900</v>
      </c>
      <c r="F495">
        <v>10000</v>
      </c>
      <c r="G495">
        <v>28</v>
      </c>
      <c r="H495">
        <v>6</v>
      </c>
      <c r="I495" t="s">
        <v>908</v>
      </c>
      <c r="J495" t="s">
        <v>909</v>
      </c>
    </row>
    <row r="496" spans="1:10">
      <c r="A496" t="s">
        <v>495</v>
      </c>
      <c r="B496" t="s">
        <v>504</v>
      </c>
      <c r="C496" t="s">
        <v>858</v>
      </c>
      <c r="E496" t="s">
        <v>902</v>
      </c>
      <c r="F496">
        <v>100000</v>
      </c>
      <c r="G496">
        <v>3</v>
      </c>
      <c r="H496">
        <v>20</v>
      </c>
      <c r="I496" t="s">
        <v>908</v>
      </c>
      <c r="J496" t="s">
        <v>911</v>
      </c>
    </row>
    <row r="497" spans="1:10">
      <c r="A497" t="s">
        <v>496</v>
      </c>
      <c r="B497" t="s">
        <v>502</v>
      </c>
      <c r="C497" t="s">
        <v>859</v>
      </c>
      <c r="E497" t="s">
        <v>900</v>
      </c>
      <c r="F497">
        <v>100000</v>
      </c>
      <c r="G497">
        <v>14</v>
      </c>
      <c r="H497">
        <v>71</v>
      </c>
      <c r="I497" t="s">
        <v>908</v>
      </c>
      <c r="J497" t="s">
        <v>911</v>
      </c>
    </row>
    <row r="498" spans="1:10">
      <c r="A498" t="s">
        <v>497</v>
      </c>
      <c r="B498" t="s">
        <v>502</v>
      </c>
      <c r="C498" t="s">
        <v>860</v>
      </c>
      <c r="E498" t="s">
        <v>902</v>
      </c>
      <c r="F498">
        <v>100000</v>
      </c>
      <c r="G498">
        <v>15</v>
      </c>
      <c r="H498">
        <v>61</v>
      </c>
      <c r="I498" t="s">
        <v>908</v>
      </c>
      <c r="J498" t="s">
        <v>911</v>
      </c>
    </row>
    <row r="499" spans="1:10">
      <c r="A499" t="s">
        <v>498</v>
      </c>
      <c r="B499" t="s">
        <v>504</v>
      </c>
      <c r="C499" t="s">
        <v>662</v>
      </c>
      <c r="E499" t="s">
        <v>900</v>
      </c>
      <c r="F499">
        <v>100000</v>
      </c>
      <c r="G499">
        <v>36</v>
      </c>
      <c r="H499">
        <v>67</v>
      </c>
      <c r="I499" t="s">
        <v>907</v>
      </c>
      <c r="J499" t="s">
        <v>908</v>
      </c>
    </row>
    <row r="500" spans="1:10">
      <c r="A500" t="s">
        <v>499</v>
      </c>
      <c r="B500" t="s">
        <v>503</v>
      </c>
      <c r="C500" t="s">
        <v>604</v>
      </c>
      <c r="D500" t="s">
        <v>898</v>
      </c>
      <c r="E500" t="s">
        <v>901</v>
      </c>
      <c r="F500">
        <v>10000</v>
      </c>
      <c r="G500">
        <v>10</v>
      </c>
      <c r="H500">
        <v>28</v>
      </c>
      <c r="I500" t="s">
        <v>909</v>
      </c>
      <c r="J500" t="s">
        <v>909</v>
      </c>
    </row>
    <row r="501" spans="1:10">
      <c r="A501" t="s">
        <v>500</v>
      </c>
      <c r="B501" t="s">
        <v>505</v>
      </c>
      <c r="C501" t="s">
        <v>736</v>
      </c>
      <c r="E501" t="s">
        <v>900</v>
      </c>
      <c r="F501">
        <v>10000</v>
      </c>
      <c r="G501">
        <v>40</v>
      </c>
      <c r="H501">
        <v>19</v>
      </c>
      <c r="I501" t="s">
        <v>908</v>
      </c>
      <c r="J501" t="s">
        <v>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t="s">
        <v>912</v>
      </c>
      <c r="B1" t="s">
        <v>935</v>
      </c>
      <c r="C1" t="s">
        <v>970</v>
      </c>
      <c r="D1" t="s">
        <v>971</v>
      </c>
      <c r="E1" t="s">
        <v>972</v>
      </c>
      <c r="F1" t="s">
        <v>973</v>
      </c>
      <c r="G1" t="s">
        <v>974</v>
      </c>
      <c r="H1" t="s">
        <v>975</v>
      </c>
    </row>
    <row r="2" spans="1:8">
      <c r="A2" t="s">
        <v>823</v>
      </c>
      <c r="B2" t="s">
        <v>936</v>
      </c>
      <c r="C2">
        <v>24</v>
      </c>
      <c r="D2">
        <v>24</v>
      </c>
      <c r="E2">
        <v>0</v>
      </c>
      <c r="F2">
        <v>860000</v>
      </c>
    </row>
    <row r="3" spans="1:8">
      <c r="A3" t="s">
        <v>913</v>
      </c>
      <c r="B3" t="s">
        <v>937</v>
      </c>
      <c r="C3">
        <v>43</v>
      </c>
      <c r="D3">
        <v>19</v>
      </c>
      <c r="E3">
        <v>0</v>
      </c>
      <c r="F3">
        <v>1455000</v>
      </c>
      <c r="G3">
        <v>0</v>
      </c>
    </row>
    <row r="4" spans="1:8">
      <c r="A4" t="s">
        <v>914</v>
      </c>
      <c r="B4" t="s">
        <v>938</v>
      </c>
      <c r="C4">
        <v>66</v>
      </c>
      <c r="D4">
        <v>23</v>
      </c>
      <c r="E4">
        <v>0</v>
      </c>
      <c r="F4">
        <v>2680000</v>
      </c>
      <c r="G4">
        <v>0</v>
      </c>
    </row>
    <row r="5" spans="1:8">
      <c r="A5" t="s">
        <v>614</v>
      </c>
      <c r="B5" t="s">
        <v>939</v>
      </c>
      <c r="C5">
        <v>92</v>
      </c>
      <c r="D5">
        <v>26</v>
      </c>
      <c r="E5">
        <v>0</v>
      </c>
      <c r="F5">
        <v>3415000</v>
      </c>
      <c r="G5">
        <v>0</v>
      </c>
    </row>
    <row r="6" spans="1:8">
      <c r="A6" t="s">
        <v>808</v>
      </c>
      <c r="B6" t="s">
        <v>940</v>
      </c>
      <c r="C6">
        <v>114</v>
      </c>
      <c r="D6">
        <v>22</v>
      </c>
      <c r="E6">
        <v>0</v>
      </c>
      <c r="F6">
        <v>4435000</v>
      </c>
      <c r="G6">
        <v>0</v>
      </c>
    </row>
    <row r="7" spans="1:8">
      <c r="A7" t="s">
        <v>554</v>
      </c>
      <c r="B7" t="s">
        <v>941</v>
      </c>
      <c r="C7">
        <v>124</v>
      </c>
      <c r="D7">
        <v>11</v>
      </c>
      <c r="E7">
        <v>1</v>
      </c>
      <c r="F7">
        <v>4860000</v>
      </c>
      <c r="G7">
        <v>0.008771929824561403</v>
      </c>
      <c r="H7">
        <v>4468064.516129033</v>
      </c>
    </row>
    <row r="8" spans="1:8">
      <c r="A8" t="s">
        <v>915</v>
      </c>
      <c r="B8" t="s">
        <v>942</v>
      </c>
      <c r="C8">
        <v>139</v>
      </c>
      <c r="D8">
        <v>15</v>
      </c>
      <c r="E8">
        <v>0</v>
      </c>
      <c r="F8">
        <v>5480000</v>
      </c>
      <c r="G8">
        <v>0</v>
      </c>
    </row>
    <row r="9" spans="1:8">
      <c r="A9" t="s">
        <v>916</v>
      </c>
      <c r="B9" t="s">
        <v>943</v>
      </c>
      <c r="C9">
        <v>161</v>
      </c>
      <c r="D9">
        <v>22</v>
      </c>
      <c r="E9">
        <v>0</v>
      </c>
      <c r="F9">
        <v>6390000</v>
      </c>
      <c r="G9">
        <v>0</v>
      </c>
    </row>
    <row r="10" spans="1:8">
      <c r="A10" t="s">
        <v>687</v>
      </c>
      <c r="B10" t="s">
        <v>944</v>
      </c>
      <c r="C10">
        <v>183</v>
      </c>
      <c r="D10">
        <v>22</v>
      </c>
      <c r="E10">
        <v>0</v>
      </c>
      <c r="F10">
        <v>7535000</v>
      </c>
      <c r="G10">
        <v>0</v>
      </c>
    </row>
    <row r="11" spans="1:8">
      <c r="A11" t="s">
        <v>917</v>
      </c>
      <c r="B11" t="s">
        <v>945</v>
      </c>
      <c r="C11">
        <v>205</v>
      </c>
      <c r="D11">
        <v>23</v>
      </c>
      <c r="E11">
        <v>1</v>
      </c>
      <c r="F11">
        <v>8265000</v>
      </c>
      <c r="G11">
        <v>0.00546448087431694</v>
      </c>
      <c r="H11">
        <v>7378024.390243903</v>
      </c>
    </row>
    <row r="12" spans="1:8">
      <c r="A12" t="s">
        <v>918</v>
      </c>
      <c r="B12" t="s">
        <v>946</v>
      </c>
      <c r="C12">
        <v>235</v>
      </c>
      <c r="D12">
        <v>31</v>
      </c>
      <c r="E12">
        <v>1</v>
      </c>
      <c r="F12">
        <v>9295000</v>
      </c>
      <c r="G12">
        <v>0.004878048780487805</v>
      </c>
      <c r="H12">
        <v>8108404.255319148</v>
      </c>
    </row>
    <row r="13" spans="1:8">
      <c r="A13" t="s">
        <v>919</v>
      </c>
      <c r="B13" t="s">
        <v>947</v>
      </c>
      <c r="C13">
        <v>255</v>
      </c>
      <c r="D13">
        <v>20</v>
      </c>
      <c r="E13">
        <v>0</v>
      </c>
      <c r="F13">
        <v>10080000</v>
      </c>
      <c r="G13">
        <v>0</v>
      </c>
    </row>
    <row r="14" spans="1:8">
      <c r="A14" t="s">
        <v>920</v>
      </c>
      <c r="B14" t="s">
        <v>948</v>
      </c>
      <c r="C14">
        <v>275</v>
      </c>
      <c r="D14">
        <v>21</v>
      </c>
      <c r="E14">
        <v>1</v>
      </c>
      <c r="F14">
        <v>10610000</v>
      </c>
      <c r="G14">
        <v>0.00392156862745098</v>
      </c>
      <c r="H14">
        <v>9838363.636363637</v>
      </c>
    </row>
    <row r="15" spans="1:8">
      <c r="A15" t="s">
        <v>828</v>
      </c>
      <c r="B15" t="s">
        <v>949</v>
      </c>
      <c r="C15">
        <v>295</v>
      </c>
      <c r="D15">
        <v>21</v>
      </c>
      <c r="E15">
        <v>1</v>
      </c>
      <c r="F15">
        <v>11330000</v>
      </c>
      <c r="G15">
        <v>0.003636363636363636</v>
      </c>
      <c r="H15">
        <v>10561864.40677966</v>
      </c>
    </row>
    <row r="16" spans="1:8">
      <c r="A16" t="s">
        <v>801</v>
      </c>
      <c r="B16" t="s">
        <v>950</v>
      </c>
      <c r="C16">
        <v>307</v>
      </c>
      <c r="D16">
        <v>14</v>
      </c>
      <c r="E16">
        <v>2</v>
      </c>
      <c r="F16">
        <v>11880000</v>
      </c>
      <c r="G16">
        <v>0.006779661016949152</v>
      </c>
      <c r="H16">
        <v>5707817.589576547</v>
      </c>
    </row>
    <row r="17" spans="1:8">
      <c r="A17" t="s">
        <v>570</v>
      </c>
      <c r="B17" t="s">
        <v>951</v>
      </c>
      <c r="C17">
        <v>329</v>
      </c>
      <c r="D17">
        <v>25</v>
      </c>
      <c r="E17">
        <v>3</v>
      </c>
      <c r="F17">
        <v>12800000</v>
      </c>
      <c r="G17">
        <v>0.009771986970684038</v>
      </c>
      <c r="H17">
        <v>3981357.649442756</v>
      </c>
    </row>
    <row r="18" spans="1:8">
      <c r="A18" t="s">
        <v>921</v>
      </c>
      <c r="B18" t="s">
        <v>952</v>
      </c>
      <c r="C18">
        <v>342</v>
      </c>
      <c r="D18">
        <v>14</v>
      </c>
      <c r="E18">
        <v>1</v>
      </c>
      <c r="F18">
        <v>13230000</v>
      </c>
      <c r="G18">
        <v>0.00303951367781155</v>
      </c>
      <c r="H18">
        <v>12727105.26315789</v>
      </c>
    </row>
    <row r="19" spans="1:8">
      <c r="A19" t="s">
        <v>652</v>
      </c>
      <c r="B19" t="s">
        <v>953</v>
      </c>
      <c r="C19">
        <v>361</v>
      </c>
      <c r="D19">
        <v>20</v>
      </c>
      <c r="E19">
        <v>1</v>
      </c>
      <c r="F19">
        <v>13885000</v>
      </c>
      <c r="G19">
        <v>0.002923976608187134</v>
      </c>
      <c r="H19">
        <v>13154210.52631579</v>
      </c>
    </row>
    <row r="20" spans="1:8">
      <c r="A20" t="s">
        <v>922</v>
      </c>
      <c r="B20" t="s">
        <v>954</v>
      </c>
      <c r="C20">
        <v>378</v>
      </c>
      <c r="D20">
        <v>19</v>
      </c>
      <c r="E20">
        <v>2</v>
      </c>
      <c r="F20">
        <v>14590000</v>
      </c>
      <c r="G20">
        <v>0.00554016620498615</v>
      </c>
      <c r="H20">
        <v>6966917.98941799</v>
      </c>
    </row>
    <row r="21" spans="1:8">
      <c r="A21" t="s">
        <v>647</v>
      </c>
      <c r="B21" t="s">
        <v>955</v>
      </c>
      <c r="C21">
        <v>397</v>
      </c>
      <c r="D21">
        <v>21</v>
      </c>
      <c r="E21">
        <v>2</v>
      </c>
      <c r="F21">
        <v>15440000</v>
      </c>
      <c r="G21">
        <v>0.005291005291005291</v>
      </c>
      <c r="H21">
        <v>7350528.967254409</v>
      </c>
    </row>
    <row r="22" spans="1:8">
      <c r="A22" t="s">
        <v>569</v>
      </c>
      <c r="B22" t="s">
        <v>956</v>
      </c>
      <c r="C22">
        <v>416</v>
      </c>
      <c r="D22">
        <v>22</v>
      </c>
      <c r="E22">
        <v>3</v>
      </c>
      <c r="F22">
        <v>16050000</v>
      </c>
      <c r="G22">
        <v>0.007556675062972292</v>
      </c>
      <c r="H22">
        <v>5105649.038461538</v>
      </c>
    </row>
    <row r="23" spans="1:8">
      <c r="A23" t="s">
        <v>923</v>
      </c>
      <c r="B23" t="s">
        <v>957</v>
      </c>
      <c r="C23">
        <v>441</v>
      </c>
      <c r="D23">
        <v>27</v>
      </c>
      <c r="E23">
        <v>2</v>
      </c>
      <c r="F23">
        <v>17090000</v>
      </c>
      <c r="G23">
        <v>0.004807692307692308</v>
      </c>
      <c r="H23">
        <v>8060589.569160998</v>
      </c>
    </row>
    <row r="24" spans="1:8">
      <c r="A24" t="s">
        <v>644</v>
      </c>
      <c r="B24" t="s">
        <v>958</v>
      </c>
      <c r="C24">
        <v>456</v>
      </c>
      <c r="D24">
        <v>18</v>
      </c>
      <c r="E24">
        <v>3</v>
      </c>
      <c r="F24">
        <v>17955000</v>
      </c>
      <c r="G24">
        <v>0.006802721088435374</v>
      </c>
      <c r="H24">
        <v>5788125</v>
      </c>
    </row>
    <row r="25" spans="1:8">
      <c r="A25" t="s">
        <v>924</v>
      </c>
      <c r="B25" t="s">
        <v>959</v>
      </c>
      <c r="C25">
        <v>475</v>
      </c>
      <c r="D25">
        <v>20</v>
      </c>
      <c r="E25">
        <v>1</v>
      </c>
      <c r="F25">
        <v>18505000</v>
      </c>
      <c r="G25">
        <v>0.002192982456140351</v>
      </c>
      <c r="H25">
        <v>17764800</v>
      </c>
    </row>
    <row r="26" spans="1:8">
      <c r="A26" t="s">
        <v>925</v>
      </c>
      <c r="B26" t="s">
        <v>960</v>
      </c>
      <c r="C26">
        <v>474</v>
      </c>
      <c r="D26">
        <v>0</v>
      </c>
      <c r="E26">
        <v>1</v>
      </c>
      <c r="F26">
        <v>18405000</v>
      </c>
      <c r="G26">
        <v>0.002105263157894737</v>
      </c>
      <c r="H26">
        <v>18443829.11392405</v>
      </c>
    </row>
    <row r="27" spans="1:8">
      <c r="A27" t="s">
        <v>926</v>
      </c>
      <c r="B27" t="s">
        <v>961</v>
      </c>
      <c r="C27">
        <v>469</v>
      </c>
      <c r="D27">
        <v>0</v>
      </c>
      <c r="E27">
        <v>5</v>
      </c>
      <c r="F27">
        <v>18135000</v>
      </c>
      <c r="G27">
        <v>0.01054852320675105</v>
      </c>
      <c r="H27">
        <v>3665667.37739872</v>
      </c>
    </row>
    <row r="28" spans="1:8">
      <c r="A28" t="s">
        <v>927</v>
      </c>
      <c r="B28" t="s">
        <v>962</v>
      </c>
      <c r="C28">
        <v>468</v>
      </c>
      <c r="D28">
        <v>0</v>
      </c>
      <c r="E28">
        <v>1</v>
      </c>
      <c r="F28">
        <v>18085000</v>
      </c>
      <c r="G28">
        <v>0.002132196162046908</v>
      </c>
      <c r="H28">
        <v>18123643.16239316</v>
      </c>
    </row>
    <row r="29" spans="1:8">
      <c r="A29" t="s">
        <v>928</v>
      </c>
      <c r="B29" t="s">
        <v>963</v>
      </c>
      <c r="C29">
        <v>465</v>
      </c>
      <c r="D29">
        <v>0</v>
      </c>
      <c r="E29">
        <v>3</v>
      </c>
      <c r="F29">
        <v>17925000</v>
      </c>
      <c r="G29">
        <v>0.00641025641025641</v>
      </c>
      <c r="H29">
        <v>6013548.387096775</v>
      </c>
    </row>
    <row r="30" spans="1:8">
      <c r="A30" t="s">
        <v>929</v>
      </c>
      <c r="B30" t="s">
        <v>964</v>
      </c>
      <c r="C30">
        <v>463</v>
      </c>
      <c r="D30">
        <v>0</v>
      </c>
      <c r="E30">
        <v>2</v>
      </c>
      <c r="F30">
        <v>17870000</v>
      </c>
      <c r="G30">
        <v>0.004301075268817204</v>
      </c>
      <c r="H30">
        <v>8973596.112311015</v>
      </c>
    </row>
    <row r="31" spans="1:8">
      <c r="A31" t="s">
        <v>930</v>
      </c>
      <c r="B31" t="s">
        <v>965</v>
      </c>
      <c r="C31">
        <v>462</v>
      </c>
      <c r="D31">
        <v>0</v>
      </c>
      <c r="E31">
        <v>1</v>
      </c>
      <c r="F31">
        <v>17860000</v>
      </c>
      <c r="G31">
        <v>0.002159827213822894</v>
      </c>
      <c r="H31">
        <v>17898658.00865801</v>
      </c>
    </row>
    <row r="32" spans="1:8">
      <c r="A32" t="s">
        <v>931</v>
      </c>
      <c r="B32" t="s">
        <v>966</v>
      </c>
      <c r="C32">
        <v>459</v>
      </c>
      <c r="D32">
        <v>0</v>
      </c>
      <c r="E32">
        <v>3</v>
      </c>
      <c r="F32">
        <v>17650000</v>
      </c>
      <c r="G32">
        <v>0.006493506493506494</v>
      </c>
      <c r="H32">
        <v>5921786.492374728</v>
      </c>
    </row>
    <row r="33" spans="1:8">
      <c r="A33" t="s">
        <v>932</v>
      </c>
      <c r="B33" t="s">
        <v>967</v>
      </c>
      <c r="C33">
        <v>459</v>
      </c>
      <c r="D33">
        <v>0</v>
      </c>
      <c r="E33">
        <v>0</v>
      </c>
      <c r="F33">
        <v>17650000</v>
      </c>
      <c r="G33">
        <v>0</v>
      </c>
    </row>
    <row r="34" spans="1:8">
      <c r="A34" t="s">
        <v>933</v>
      </c>
      <c r="B34" t="s">
        <v>968</v>
      </c>
      <c r="C34">
        <v>457</v>
      </c>
      <c r="D34">
        <v>0</v>
      </c>
      <c r="E34">
        <v>2</v>
      </c>
      <c r="F34">
        <v>17610000</v>
      </c>
      <c r="G34">
        <v>0.004357298474945534</v>
      </c>
      <c r="H34">
        <v>8843533.916849015</v>
      </c>
    </row>
    <row r="35" spans="1:8">
      <c r="A35" t="s">
        <v>934</v>
      </c>
      <c r="B35" t="s">
        <v>969</v>
      </c>
      <c r="C35">
        <v>457</v>
      </c>
      <c r="D35">
        <v>0</v>
      </c>
      <c r="E35">
        <v>0</v>
      </c>
      <c r="F35">
        <v>17610000</v>
      </c>
      <c r="G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FormatPr defaultRowHeight="15"/>
  <sheetData>
    <row r="1" spans="1:6">
      <c r="A1" t="s">
        <v>912</v>
      </c>
      <c r="B1" t="s">
        <v>935</v>
      </c>
      <c r="C1" t="s">
        <v>501</v>
      </c>
      <c r="D1" t="s">
        <v>976</v>
      </c>
      <c r="E1" t="s">
        <v>977</v>
      </c>
      <c r="F1" t="s">
        <v>974</v>
      </c>
    </row>
    <row r="2" spans="1:6">
      <c r="A2" t="s">
        <v>823</v>
      </c>
      <c r="B2" t="s">
        <v>936</v>
      </c>
      <c r="C2" t="s">
        <v>502</v>
      </c>
      <c r="D2">
        <v>3</v>
      </c>
    </row>
    <row r="3" spans="1:6">
      <c r="A3" t="s">
        <v>823</v>
      </c>
      <c r="B3" t="s">
        <v>936</v>
      </c>
      <c r="C3" t="s">
        <v>503</v>
      </c>
      <c r="D3">
        <v>9</v>
      </c>
    </row>
    <row r="4" spans="1:6">
      <c r="A4" t="s">
        <v>823</v>
      </c>
      <c r="B4" t="s">
        <v>936</v>
      </c>
      <c r="C4" t="s">
        <v>504</v>
      </c>
      <c r="D4">
        <v>3</v>
      </c>
    </row>
    <row r="5" spans="1:6">
      <c r="A5" t="s">
        <v>823</v>
      </c>
      <c r="B5" t="s">
        <v>936</v>
      </c>
      <c r="C5" t="s">
        <v>505</v>
      </c>
      <c r="D5">
        <v>3</v>
      </c>
    </row>
    <row r="6" spans="1:6">
      <c r="A6" t="s">
        <v>823</v>
      </c>
      <c r="B6" t="s">
        <v>936</v>
      </c>
      <c r="C6" t="s">
        <v>506</v>
      </c>
      <c r="D6">
        <v>6</v>
      </c>
    </row>
    <row r="7" spans="1:6">
      <c r="A7" t="s">
        <v>913</v>
      </c>
      <c r="B7" t="s">
        <v>937</v>
      </c>
      <c r="C7" t="s">
        <v>502</v>
      </c>
      <c r="D7">
        <v>6</v>
      </c>
      <c r="E7">
        <v>3</v>
      </c>
      <c r="F7">
        <v>0</v>
      </c>
    </row>
    <row r="8" spans="1:6">
      <c r="A8" t="s">
        <v>913</v>
      </c>
      <c r="B8" t="s">
        <v>937</v>
      </c>
      <c r="C8" t="s">
        <v>503</v>
      </c>
      <c r="D8">
        <v>13</v>
      </c>
      <c r="E8">
        <v>9</v>
      </c>
      <c r="F8">
        <v>0</v>
      </c>
    </row>
    <row r="9" spans="1:6">
      <c r="A9" t="s">
        <v>913</v>
      </c>
      <c r="B9" t="s">
        <v>937</v>
      </c>
      <c r="C9" t="s">
        <v>504</v>
      </c>
      <c r="D9">
        <v>8</v>
      </c>
      <c r="E9">
        <v>3</v>
      </c>
      <c r="F9">
        <v>0</v>
      </c>
    </row>
    <row r="10" spans="1:6">
      <c r="A10" t="s">
        <v>913</v>
      </c>
      <c r="B10" t="s">
        <v>937</v>
      </c>
      <c r="C10" t="s">
        <v>505</v>
      </c>
      <c r="D10">
        <v>8</v>
      </c>
      <c r="E10">
        <v>3</v>
      </c>
      <c r="F10">
        <v>0</v>
      </c>
    </row>
    <row r="11" spans="1:6">
      <c r="A11" t="s">
        <v>913</v>
      </c>
      <c r="B11" t="s">
        <v>937</v>
      </c>
      <c r="C11" t="s">
        <v>506</v>
      </c>
      <c r="D11">
        <v>8</v>
      </c>
      <c r="E11">
        <v>6</v>
      </c>
      <c r="F11">
        <v>0</v>
      </c>
    </row>
    <row r="12" spans="1:6">
      <c r="A12" t="s">
        <v>914</v>
      </c>
      <c r="B12" t="s">
        <v>938</v>
      </c>
      <c r="C12" t="s">
        <v>502</v>
      </c>
      <c r="D12">
        <v>11</v>
      </c>
      <c r="E12">
        <v>6</v>
      </c>
      <c r="F12">
        <v>0</v>
      </c>
    </row>
    <row r="13" spans="1:6">
      <c r="A13" t="s">
        <v>914</v>
      </c>
      <c r="B13" t="s">
        <v>938</v>
      </c>
      <c r="C13" t="s">
        <v>503</v>
      </c>
      <c r="D13">
        <v>16</v>
      </c>
      <c r="E13">
        <v>13</v>
      </c>
      <c r="F13">
        <v>0</v>
      </c>
    </row>
    <row r="14" spans="1:6">
      <c r="A14" t="s">
        <v>914</v>
      </c>
      <c r="B14" t="s">
        <v>938</v>
      </c>
      <c r="C14" t="s">
        <v>504</v>
      </c>
      <c r="D14">
        <v>12</v>
      </c>
      <c r="E14">
        <v>8</v>
      </c>
      <c r="F14">
        <v>0</v>
      </c>
    </row>
    <row r="15" spans="1:6">
      <c r="A15" t="s">
        <v>914</v>
      </c>
      <c r="B15" t="s">
        <v>938</v>
      </c>
      <c r="C15" t="s">
        <v>505</v>
      </c>
      <c r="D15">
        <v>13</v>
      </c>
      <c r="E15">
        <v>8</v>
      </c>
      <c r="F15">
        <v>0</v>
      </c>
    </row>
    <row r="16" spans="1:6">
      <c r="A16" t="s">
        <v>914</v>
      </c>
      <c r="B16" t="s">
        <v>938</v>
      </c>
      <c r="C16" t="s">
        <v>506</v>
      </c>
      <c r="D16">
        <v>14</v>
      </c>
      <c r="E16">
        <v>8</v>
      </c>
      <c r="F16">
        <v>0</v>
      </c>
    </row>
    <row r="17" spans="1:6">
      <c r="A17" t="s">
        <v>614</v>
      </c>
      <c r="B17" t="s">
        <v>939</v>
      </c>
      <c r="C17" t="s">
        <v>502</v>
      </c>
      <c r="D17">
        <v>17</v>
      </c>
      <c r="E17">
        <v>11</v>
      </c>
      <c r="F17">
        <v>0</v>
      </c>
    </row>
    <row r="18" spans="1:6">
      <c r="A18" t="s">
        <v>614</v>
      </c>
      <c r="B18" t="s">
        <v>939</v>
      </c>
      <c r="C18" t="s">
        <v>503</v>
      </c>
      <c r="D18">
        <v>22</v>
      </c>
      <c r="E18">
        <v>16</v>
      </c>
      <c r="F18">
        <v>0</v>
      </c>
    </row>
    <row r="19" spans="1:6">
      <c r="A19" t="s">
        <v>614</v>
      </c>
      <c r="B19" t="s">
        <v>939</v>
      </c>
      <c r="C19" t="s">
        <v>504</v>
      </c>
      <c r="D19">
        <v>18</v>
      </c>
      <c r="E19">
        <v>12</v>
      </c>
      <c r="F19">
        <v>0</v>
      </c>
    </row>
    <row r="20" spans="1:6">
      <c r="A20" t="s">
        <v>614</v>
      </c>
      <c r="B20" t="s">
        <v>939</v>
      </c>
      <c r="C20" t="s">
        <v>505</v>
      </c>
      <c r="D20">
        <v>17</v>
      </c>
      <c r="E20">
        <v>13</v>
      </c>
      <c r="F20">
        <v>0</v>
      </c>
    </row>
    <row r="21" spans="1:6">
      <c r="A21" t="s">
        <v>614</v>
      </c>
      <c r="B21" t="s">
        <v>939</v>
      </c>
      <c r="C21" t="s">
        <v>506</v>
      </c>
      <c r="D21">
        <v>18</v>
      </c>
      <c r="E21">
        <v>14</v>
      </c>
      <c r="F21">
        <v>0</v>
      </c>
    </row>
    <row r="22" spans="1:6">
      <c r="A22" t="s">
        <v>808</v>
      </c>
      <c r="B22" t="s">
        <v>940</v>
      </c>
      <c r="C22" t="s">
        <v>502</v>
      </c>
      <c r="D22">
        <v>22</v>
      </c>
      <c r="E22">
        <v>17</v>
      </c>
      <c r="F22">
        <v>0</v>
      </c>
    </row>
    <row r="23" spans="1:6">
      <c r="A23" t="s">
        <v>808</v>
      </c>
      <c r="B23" t="s">
        <v>940</v>
      </c>
      <c r="C23" t="s">
        <v>503</v>
      </c>
      <c r="D23">
        <v>27</v>
      </c>
      <c r="E23">
        <v>22</v>
      </c>
      <c r="F23">
        <v>0</v>
      </c>
    </row>
    <row r="24" spans="1:6">
      <c r="A24" t="s">
        <v>808</v>
      </c>
      <c r="B24" t="s">
        <v>940</v>
      </c>
      <c r="C24" t="s">
        <v>504</v>
      </c>
      <c r="D24">
        <v>21</v>
      </c>
      <c r="E24">
        <v>18</v>
      </c>
      <c r="F24">
        <v>0</v>
      </c>
    </row>
    <row r="25" spans="1:6">
      <c r="A25" t="s">
        <v>808</v>
      </c>
      <c r="B25" t="s">
        <v>940</v>
      </c>
      <c r="C25" t="s">
        <v>505</v>
      </c>
      <c r="D25">
        <v>20</v>
      </c>
      <c r="E25">
        <v>17</v>
      </c>
      <c r="F25">
        <v>0</v>
      </c>
    </row>
    <row r="26" spans="1:6">
      <c r="A26" t="s">
        <v>808</v>
      </c>
      <c r="B26" t="s">
        <v>940</v>
      </c>
      <c r="C26" t="s">
        <v>506</v>
      </c>
      <c r="D26">
        <v>24</v>
      </c>
      <c r="E26">
        <v>18</v>
      </c>
      <c r="F26">
        <v>0</v>
      </c>
    </row>
    <row r="27" spans="1:6">
      <c r="A27" t="s">
        <v>554</v>
      </c>
      <c r="B27" t="s">
        <v>941</v>
      </c>
      <c r="C27" t="s">
        <v>502</v>
      </c>
      <c r="D27">
        <v>23</v>
      </c>
      <c r="E27">
        <v>22</v>
      </c>
      <c r="F27">
        <v>0</v>
      </c>
    </row>
    <row r="28" spans="1:6">
      <c r="A28" t="s">
        <v>554</v>
      </c>
      <c r="B28" t="s">
        <v>941</v>
      </c>
      <c r="C28" t="s">
        <v>503</v>
      </c>
      <c r="D28">
        <v>30</v>
      </c>
      <c r="E28">
        <v>27</v>
      </c>
      <c r="F28">
        <v>0</v>
      </c>
    </row>
    <row r="29" spans="1:6">
      <c r="A29" t="s">
        <v>554</v>
      </c>
      <c r="B29" t="s">
        <v>941</v>
      </c>
      <c r="C29" t="s">
        <v>504</v>
      </c>
      <c r="D29">
        <v>23</v>
      </c>
      <c r="E29">
        <v>21</v>
      </c>
      <c r="F29">
        <v>0</v>
      </c>
    </row>
    <row r="30" spans="1:6">
      <c r="A30" t="s">
        <v>554</v>
      </c>
      <c r="B30" t="s">
        <v>941</v>
      </c>
      <c r="C30" t="s">
        <v>505</v>
      </c>
      <c r="D30">
        <v>21</v>
      </c>
      <c r="E30">
        <v>19</v>
      </c>
      <c r="F30">
        <v>0.05</v>
      </c>
    </row>
    <row r="31" spans="1:6">
      <c r="A31" t="s">
        <v>554</v>
      </c>
      <c r="B31" t="s">
        <v>941</v>
      </c>
      <c r="C31" t="s">
        <v>506</v>
      </c>
      <c r="D31">
        <v>27</v>
      </c>
      <c r="E31">
        <v>24</v>
      </c>
      <c r="F31">
        <v>0</v>
      </c>
    </row>
    <row r="32" spans="1:6">
      <c r="A32" t="s">
        <v>915</v>
      </c>
      <c r="B32" t="s">
        <v>942</v>
      </c>
      <c r="C32" t="s">
        <v>502</v>
      </c>
      <c r="D32">
        <v>25</v>
      </c>
      <c r="E32">
        <v>23</v>
      </c>
      <c r="F32">
        <v>0</v>
      </c>
    </row>
    <row r="33" spans="1:6">
      <c r="A33" t="s">
        <v>915</v>
      </c>
      <c r="B33" t="s">
        <v>942</v>
      </c>
      <c r="C33" t="s">
        <v>503</v>
      </c>
      <c r="D33">
        <v>36</v>
      </c>
      <c r="E33">
        <v>30</v>
      </c>
      <c r="F33">
        <v>0</v>
      </c>
    </row>
    <row r="34" spans="1:6">
      <c r="A34" t="s">
        <v>915</v>
      </c>
      <c r="B34" t="s">
        <v>942</v>
      </c>
      <c r="C34" t="s">
        <v>504</v>
      </c>
      <c r="D34">
        <v>24</v>
      </c>
      <c r="E34">
        <v>23</v>
      </c>
      <c r="F34">
        <v>0</v>
      </c>
    </row>
    <row r="35" spans="1:6">
      <c r="A35" t="s">
        <v>915</v>
      </c>
      <c r="B35" t="s">
        <v>942</v>
      </c>
      <c r="C35" t="s">
        <v>505</v>
      </c>
      <c r="D35">
        <v>26</v>
      </c>
      <c r="E35">
        <v>21</v>
      </c>
      <c r="F35">
        <v>0</v>
      </c>
    </row>
    <row r="36" spans="1:6">
      <c r="A36" t="s">
        <v>915</v>
      </c>
      <c r="B36" t="s">
        <v>942</v>
      </c>
      <c r="C36" t="s">
        <v>506</v>
      </c>
      <c r="D36">
        <v>28</v>
      </c>
      <c r="E36">
        <v>27</v>
      </c>
      <c r="F36">
        <v>0</v>
      </c>
    </row>
    <row r="37" spans="1:6">
      <c r="A37" t="s">
        <v>916</v>
      </c>
      <c r="B37" t="s">
        <v>943</v>
      </c>
      <c r="C37" t="s">
        <v>502</v>
      </c>
      <c r="D37">
        <v>29</v>
      </c>
      <c r="E37">
        <v>25</v>
      </c>
      <c r="F37">
        <v>0</v>
      </c>
    </row>
    <row r="38" spans="1:6">
      <c r="A38" t="s">
        <v>916</v>
      </c>
      <c r="B38" t="s">
        <v>943</v>
      </c>
      <c r="C38" t="s">
        <v>503</v>
      </c>
      <c r="D38">
        <v>39</v>
      </c>
      <c r="E38">
        <v>36</v>
      </c>
      <c r="F38">
        <v>0</v>
      </c>
    </row>
    <row r="39" spans="1:6">
      <c r="A39" t="s">
        <v>916</v>
      </c>
      <c r="B39" t="s">
        <v>943</v>
      </c>
      <c r="C39" t="s">
        <v>504</v>
      </c>
      <c r="D39">
        <v>30</v>
      </c>
      <c r="E39">
        <v>24</v>
      </c>
      <c r="F39">
        <v>0</v>
      </c>
    </row>
    <row r="40" spans="1:6">
      <c r="A40" t="s">
        <v>916</v>
      </c>
      <c r="B40" t="s">
        <v>943</v>
      </c>
      <c r="C40" t="s">
        <v>505</v>
      </c>
      <c r="D40">
        <v>30</v>
      </c>
      <c r="E40">
        <v>26</v>
      </c>
      <c r="F40">
        <v>0</v>
      </c>
    </row>
    <row r="41" spans="1:6">
      <c r="A41" t="s">
        <v>916</v>
      </c>
      <c r="B41" t="s">
        <v>943</v>
      </c>
      <c r="C41" t="s">
        <v>506</v>
      </c>
      <c r="D41">
        <v>33</v>
      </c>
      <c r="E41">
        <v>28</v>
      </c>
      <c r="F41">
        <v>0</v>
      </c>
    </row>
    <row r="42" spans="1:6">
      <c r="A42" t="s">
        <v>687</v>
      </c>
      <c r="B42" t="s">
        <v>944</v>
      </c>
      <c r="C42" t="s">
        <v>502</v>
      </c>
      <c r="D42">
        <v>35</v>
      </c>
      <c r="E42">
        <v>29</v>
      </c>
      <c r="F42">
        <v>0</v>
      </c>
    </row>
    <row r="43" spans="1:6">
      <c r="A43" t="s">
        <v>687</v>
      </c>
      <c r="B43" t="s">
        <v>944</v>
      </c>
      <c r="C43" t="s">
        <v>503</v>
      </c>
      <c r="D43">
        <v>40</v>
      </c>
      <c r="E43">
        <v>39</v>
      </c>
      <c r="F43">
        <v>0</v>
      </c>
    </row>
    <row r="44" spans="1:6">
      <c r="A44" t="s">
        <v>687</v>
      </c>
      <c r="B44" t="s">
        <v>944</v>
      </c>
      <c r="C44" t="s">
        <v>504</v>
      </c>
      <c r="D44">
        <v>34</v>
      </c>
      <c r="E44">
        <v>30</v>
      </c>
      <c r="F44">
        <v>0</v>
      </c>
    </row>
    <row r="45" spans="1:6">
      <c r="A45" t="s">
        <v>687</v>
      </c>
      <c r="B45" t="s">
        <v>944</v>
      </c>
      <c r="C45" t="s">
        <v>505</v>
      </c>
      <c r="D45">
        <v>34</v>
      </c>
      <c r="E45">
        <v>30</v>
      </c>
      <c r="F45">
        <v>0</v>
      </c>
    </row>
    <row r="46" spans="1:6">
      <c r="A46" t="s">
        <v>687</v>
      </c>
      <c r="B46" t="s">
        <v>944</v>
      </c>
      <c r="C46" t="s">
        <v>506</v>
      </c>
      <c r="D46">
        <v>40</v>
      </c>
      <c r="E46">
        <v>33</v>
      </c>
      <c r="F46">
        <v>0</v>
      </c>
    </row>
    <row r="47" spans="1:6">
      <c r="A47" t="s">
        <v>917</v>
      </c>
      <c r="B47" t="s">
        <v>945</v>
      </c>
      <c r="C47" t="s">
        <v>502</v>
      </c>
      <c r="D47">
        <v>38</v>
      </c>
      <c r="E47">
        <v>35</v>
      </c>
      <c r="F47">
        <v>0</v>
      </c>
    </row>
    <row r="48" spans="1:6">
      <c r="A48" t="s">
        <v>917</v>
      </c>
      <c r="B48" t="s">
        <v>945</v>
      </c>
      <c r="C48" t="s">
        <v>503</v>
      </c>
      <c r="D48">
        <v>49</v>
      </c>
      <c r="E48">
        <v>40</v>
      </c>
      <c r="F48">
        <v>0</v>
      </c>
    </row>
    <row r="49" spans="1:6">
      <c r="A49" t="s">
        <v>917</v>
      </c>
      <c r="B49" t="s">
        <v>945</v>
      </c>
      <c r="C49" t="s">
        <v>504</v>
      </c>
      <c r="D49">
        <v>38</v>
      </c>
      <c r="E49">
        <v>33</v>
      </c>
      <c r="F49">
        <v>0.02941176470588235</v>
      </c>
    </row>
    <row r="50" spans="1:6">
      <c r="A50" t="s">
        <v>917</v>
      </c>
      <c r="B50" t="s">
        <v>945</v>
      </c>
      <c r="C50" t="s">
        <v>505</v>
      </c>
      <c r="D50">
        <v>37</v>
      </c>
      <c r="E50">
        <v>34</v>
      </c>
      <c r="F50">
        <v>0</v>
      </c>
    </row>
    <row r="51" spans="1:6">
      <c r="A51" t="s">
        <v>917</v>
      </c>
      <c r="B51" t="s">
        <v>945</v>
      </c>
      <c r="C51" t="s">
        <v>506</v>
      </c>
      <c r="D51">
        <v>43</v>
      </c>
      <c r="E51">
        <v>40</v>
      </c>
      <c r="F51">
        <v>0</v>
      </c>
    </row>
    <row r="52" spans="1:6">
      <c r="A52" t="s">
        <v>918</v>
      </c>
      <c r="B52" t="s">
        <v>946</v>
      </c>
      <c r="C52" t="s">
        <v>502</v>
      </c>
      <c r="D52">
        <v>43</v>
      </c>
      <c r="E52">
        <v>38</v>
      </c>
      <c r="F52">
        <v>0</v>
      </c>
    </row>
    <row r="53" spans="1:6">
      <c r="A53" t="s">
        <v>918</v>
      </c>
      <c r="B53" t="s">
        <v>946</v>
      </c>
      <c r="C53" t="s">
        <v>503</v>
      </c>
      <c r="D53">
        <v>55</v>
      </c>
      <c r="E53">
        <v>49</v>
      </c>
      <c r="F53">
        <v>0</v>
      </c>
    </row>
    <row r="54" spans="1:6">
      <c r="A54" t="s">
        <v>918</v>
      </c>
      <c r="B54" t="s">
        <v>946</v>
      </c>
      <c r="C54" t="s">
        <v>504</v>
      </c>
      <c r="D54">
        <v>42</v>
      </c>
      <c r="E54">
        <v>38</v>
      </c>
      <c r="F54">
        <v>0</v>
      </c>
    </row>
    <row r="55" spans="1:6">
      <c r="A55" t="s">
        <v>918</v>
      </c>
      <c r="B55" t="s">
        <v>946</v>
      </c>
      <c r="C55" t="s">
        <v>505</v>
      </c>
      <c r="D55">
        <v>42</v>
      </c>
      <c r="E55">
        <v>36</v>
      </c>
      <c r="F55">
        <v>0.02702702702702703</v>
      </c>
    </row>
    <row r="56" spans="1:6">
      <c r="A56" t="s">
        <v>918</v>
      </c>
      <c r="B56" t="s">
        <v>946</v>
      </c>
      <c r="C56" t="s">
        <v>506</v>
      </c>
      <c r="D56">
        <v>53</v>
      </c>
      <c r="E56">
        <v>43</v>
      </c>
      <c r="F56">
        <v>0</v>
      </c>
    </row>
    <row r="57" spans="1:6">
      <c r="A57" t="s">
        <v>919</v>
      </c>
      <c r="B57" t="s">
        <v>947</v>
      </c>
      <c r="C57" t="s">
        <v>502</v>
      </c>
      <c r="D57">
        <v>50</v>
      </c>
      <c r="E57">
        <v>43</v>
      </c>
      <c r="F57">
        <v>0</v>
      </c>
    </row>
    <row r="58" spans="1:6">
      <c r="A58" t="s">
        <v>919</v>
      </c>
      <c r="B58" t="s">
        <v>947</v>
      </c>
      <c r="C58" t="s">
        <v>503</v>
      </c>
      <c r="D58">
        <v>57</v>
      </c>
      <c r="E58">
        <v>55</v>
      </c>
      <c r="F58">
        <v>0</v>
      </c>
    </row>
    <row r="59" spans="1:6">
      <c r="A59" t="s">
        <v>919</v>
      </c>
      <c r="B59" t="s">
        <v>947</v>
      </c>
      <c r="C59" t="s">
        <v>504</v>
      </c>
      <c r="D59">
        <v>46</v>
      </c>
      <c r="E59">
        <v>42</v>
      </c>
      <c r="F59">
        <v>0</v>
      </c>
    </row>
    <row r="60" spans="1:6">
      <c r="A60" t="s">
        <v>919</v>
      </c>
      <c r="B60" t="s">
        <v>947</v>
      </c>
      <c r="C60" t="s">
        <v>505</v>
      </c>
      <c r="D60">
        <v>44</v>
      </c>
      <c r="E60">
        <v>42</v>
      </c>
      <c r="F60">
        <v>0</v>
      </c>
    </row>
    <row r="61" spans="1:6">
      <c r="A61" t="s">
        <v>919</v>
      </c>
      <c r="B61" t="s">
        <v>947</v>
      </c>
      <c r="C61" t="s">
        <v>506</v>
      </c>
      <c r="D61">
        <v>58</v>
      </c>
      <c r="E61">
        <v>53</v>
      </c>
      <c r="F61">
        <v>0</v>
      </c>
    </row>
    <row r="62" spans="1:6">
      <c r="A62" t="s">
        <v>920</v>
      </c>
      <c r="B62" t="s">
        <v>948</v>
      </c>
      <c r="C62" t="s">
        <v>502</v>
      </c>
      <c r="D62">
        <v>56</v>
      </c>
      <c r="E62">
        <v>50</v>
      </c>
      <c r="F62">
        <v>0</v>
      </c>
    </row>
    <row r="63" spans="1:6">
      <c r="A63" t="s">
        <v>920</v>
      </c>
      <c r="B63" t="s">
        <v>948</v>
      </c>
      <c r="C63" t="s">
        <v>503</v>
      </c>
      <c r="D63">
        <v>60</v>
      </c>
      <c r="E63">
        <v>56</v>
      </c>
      <c r="F63">
        <v>0.01754385964912281</v>
      </c>
    </row>
    <row r="64" spans="1:6">
      <c r="A64" t="s">
        <v>920</v>
      </c>
      <c r="B64" t="s">
        <v>948</v>
      </c>
      <c r="C64" t="s">
        <v>504</v>
      </c>
      <c r="D64">
        <v>52</v>
      </c>
      <c r="E64">
        <v>46</v>
      </c>
      <c r="F64">
        <v>0</v>
      </c>
    </row>
    <row r="65" spans="1:6">
      <c r="A65" t="s">
        <v>920</v>
      </c>
      <c r="B65" t="s">
        <v>948</v>
      </c>
      <c r="C65" t="s">
        <v>505</v>
      </c>
      <c r="D65">
        <v>46</v>
      </c>
      <c r="E65">
        <v>44</v>
      </c>
      <c r="F65">
        <v>0</v>
      </c>
    </row>
    <row r="66" spans="1:6">
      <c r="A66" t="s">
        <v>920</v>
      </c>
      <c r="B66" t="s">
        <v>948</v>
      </c>
      <c r="C66" t="s">
        <v>506</v>
      </c>
      <c r="D66">
        <v>61</v>
      </c>
      <c r="E66">
        <v>58</v>
      </c>
      <c r="F66">
        <v>0</v>
      </c>
    </row>
    <row r="67" spans="1:6">
      <c r="A67" t="s">
        <v>828</v>
      </c>
      <c r="B67" t="s">
        <v>949</v>
      </c>
      <c r="C67" t="s">
        <v>502</v>
      </c>
      <c r="D67">
        <v>62</v>
      </c>
      <c r="E67">
        <v>56</v>
      </c>
      <c r="F67">
        <v>0</v>
      </c>
    </row>
    <row r="68" spans="1:6">
      <c r="A68" t="s">
        <v>828</v>
      </c>
      <c r="B68" t="s">
        <v>949</v>
      </c>
      <c r="C68" t="s">
        <v>503</v>
      </c>
      <c r="D68">
        <v>64</v>
      </c>
      <c r="E68">
        <v>60</v>
      </c>
      <c r="F68">
        <v>0</v>
      </c>
    </row>
    <row r="69" spans="1:6">
      <c r="A69" t="s">
        <v>828</v>
      </c>
      <c r="B69" t="s">
        <v>949</v>
      </c>
      <c r="C69" t="s">
        <v>504</v>
      </c>
      <c r="D69">
        <v>56</v>
      </c>
      <c r="E69">
        <v>52</v>
      </c>
      <c r="F69">
        <v>0</v>
      </c>
    </row>
    <row r="70" spans="1:6">
      <c r="A70" t="s">
        <v>828</v>
      </c>
      <c r="B70" t="s">
        <v>949</v>
      </c>
      <c r="C70" t="s">
        <v>505</v>
      </c>
      <c r="D70">
        <v>49</v>
      </c>
      <c r="E70">
        <v>45</v>
      </c>
      <c r="F70">
        <v>0.02173913043478261</v>
      </c>
    </row>
    <row r="71" spans="1:6">
      <c r="A71" t="s">
        <v>828</v>
      </c>
      <c r="B71" t="s">
        <v>949</v>
      </c>
      <c r="C71" t="s">
        <v>506</v>
      </c>
      <c r="D71">
        <v>64</v>
      </c>
      <c r="E71">
        <v>61</v>
      </c>
      <c r="F71">
        <v>0</v>
      </c>
    </row>
    <row r="72" spans="1:6">
      <c r="A72" t="s">
        <v>801</v>
      </c>
      <c r="B72" t="s">
        <v>950</v>
      </c>
      <c r="C72" t="s">
        <v>502</v>
      </c>
      <c r="D72">
        <v>67</v>
      </c>
      <c r="E72">
        <v>62</v>
      </c>
      <c r="F72">
        <v>0</v>
      </c>
    </row>
    <row r="73" spans="1:6">
      <c r="A73" t="s">
        <v>801</v>
      </c>
      <c r="B73" t="s">
        <v>950</v>
      </c>
      <c r="C73" t="s">
        <v>503</v>
      </c>
      <c r="D73">
        <v>67</v>
      </c>
      <c r="E73">
        <v>64</v>
      </c>
      <c r="F73">
        <v>0</v>
      </c>
    </row>
    <row r="74" spans="1:6">
      <c r="A74" t="s">
        <v>801</v>
      </c>
      <c r="B74" t="s">
        <v>950</v>
      </c>
      <c r="C74" t="s">
        <v>504</v>
      </c>
      <c r="D74">
        <v>57</v>
      </c>
      <c r="E74">
        <v>55</v>
      </c>
      <c r="F74">
        <v>0.01785714285714286</v>
      </c>
    </row>
    <row r="75" spans="1:6">
      <c r="A75" t="s">
        <v>801</v>
      </c>
      <c r="B75" t="s">
        <v>950</v>
      </c>
      <c r="C75" t="s">
        <v>505</v>
      </c>
      <c r="D75">
        <v>51</v>
      </c>
      <c r="E75">
        <v>49</v>
      </c>
      <c r="F75">
        <v>0</v>
      </c>
    </row>
    <row r="76" spans="1:6">
      <c r="A76" t="s">
        <v>801</v>
      </c>
      <c r="B76" t="s">
        <v>950</v>
      </c>
      <c r="C76" t="s">
        <v>506</v>
      </c>
      <c r="D76">
        <v>65</v>
      </c>
      <c r="E76">
        <v>63</v>
      </c>
      <c r="F76">
        <v>0.015625</v>
      </c>
    </row>
    <row r="77" spans="1:6">
      <c r="A77" t="s">
        <v>570</v>
      </c>
      <c r="B77" t="s">
        <v>951</v>
      </c>
      <c r="C77" t="s">
        <v>502</v>
      </c>
      <c r="D77">
        <v>71</v>
      </c>
      <c r="E77">
        <v>66</v>
      </c>
      <c r="F77">
        <v>0.01492537313432836</v>
      </c>
    </row>
    <row r="78" spans="1:6">
      <c r="A78" t="s">
        <v>570</v>
      </c>
      <c r="B78" t="s">
        <v>951</v>
      </c>
      <c r="C78" t="s">
        <v>503</v>
      </c>
      <c r="D78">
        <v>70</v>
      </c>
      <c r="E78">
        <v>67</v>
      </c>
      <c r="F78">
        <v>0</v>
      </c>
    </row>
    <row r="79" spans="1:6">
      <c r="A79" t="s">
        <v>570</v>
      </c>
      <c r="B79" t="s">
        <v>951</v>
      </c>
      <c r="C79" t="s">
        <v>504</v>
      </c>
      <c r="D79">
        <v>59</v>
      </c>
      <c r="E79">
        <v>57</v>
      </c>
      <c r="F79">
        <v>0</v>
      </c>
    </row>
    <row r="80" spans="1:6">
      <c r="A80" t="s">
        <v>570</v>
      </c>
      <c r="B80" t="s">
        <v>951</v>
      </c>
      <c r="C80" t="s">
        <v>505</v>
      </c>
      <c r="D80">
        <v>56</v>
      </c>
      <c r="E80">
        <v>50</v>
      </c>
      <c r="F80">
        <v>0.0196078431372549</v>
      </c>
    </row>
    <row r="81" spans="1:6">
      <c r="A81" t="s">
        <v>570</v>
      </c>
      <c r="B81" t="s">
        <v>951</v>
      </c>
      <c r="C81" t="s">
        <v>506</v>
      </c>
      <c r="D81">
        <v>73</v>
      </c>
      <c r="E81">
        <v>64</v>
      </c>
      <c r="F81">
        <v>0.01538461538461539</v>
      </c>
    </row>
    <row r="82" spans="1:6">
      <c r="A82" t="s">
        <v>921</v>
      </c>
      <c r="B82" t="s">
        <v>952</v>
      </c>
      <c r="C82" t="s">
        <v>502</v>
      </c>
      <c r="D82">
        <v>73</v>
      </c>
      <c r="E82">
        <v>70</v>
      </c>
      <c r="F82">
        <v>0.01408450704225352</v>
      </c>
    </row>
    <row r="83" spans="1:6">
      <c r="A83" t="s">
        <v>921</v>
      </c>
      <c r="B83" t="s">
        <v>952</v>
      </c>
      <c r="C83" t="s">
        <v>503</v>
      </c>
      <c r="D83">
        <v>73</v>
      </c>
      <c r="E83">
        <v>70</v>
      </c>
      <c r="F83">
        <v>0</v>
      </c>
    </row>
    <row r="84" spans="1:6">
      <c r="A84" t="s">
        <v>921</v>
      </c>
      <c r="B84" t="s">
        <v>952</v>
      </c>
      <c r="C84" t="s">
        <v>504</v>
      </c>
      <c r="D84">
        <v>63</v>
      </c>
      <c r="E84">
        <v>59</v>
      </c>
      <c r="F84">
        <v>0</v>
      </c>
    </row>
    <row r="85" spans="1:6">
      <c r="A85" t="s">
        <v>921</v>
      </c>
      <c r="B85" t="s">
        <v>952</v>
      </c>
      <c r="C85" t="s">
        <v>505</v>
      </c>
      <c r="D85">
        <v>58</v>
      </c>
      <c r="E85">
        <v>56</v>
      </c>
      <c r="F85">
        <v>0</v>
      </c>
    </row>
    <row r="86" spans="1:6">
      <c r="A86" t="s">
        <v>921</v>
      </c>
      <c r="B86" t="s">
        <v>952</v>
      </c>
      <c r="C86" t="s">
        <v>506</v>
      </c>
      <c r="D86">
        <v>75</v>
      </c>
      <c r="E86">
        <v>73</v>
      </c>
      <c r="F86">
        <v>0</v>
      </c>
    </row>
    <row r="87" spans="1:6">
      <c r="A87" t="s">
        <v>652</v>
      </c>
      <c r="B87" t="s">
        <v>953</v>
      </c>
      <c r="C87" t="s">
        <v>502</v>
      </c>
      <c r="D87">
        <v>75</v>
      </c>
      <c r="E87">
        <v>73</v>
      </c>
      <c r="F87">
        <v>0</v>
      </c>
    </row>
    <row r="88" spans="1:6">
      <c r="A88" t="s">
        <v>652</v>
      </c>
      <c r="B88" t="s">
        <v>953</v>
      </c>
      <c r="C88" t="s">
        <v>503</v>
      </c>
      <c r="D88">
        <v>77</v>
      </c>
      <c r="E88">
        <v>73</v>
      </c>
      <c r="F88">
        <v>0</v>
      </c>
    </row>
    <row r="89" spans="1:6">
      <c r="A89" t="s">
        <v>652</v>
      </c>
      <c r="B89" t="s">
        <v>953</v>
      </c>
      <c r="C89" t="s">
        <v>504</v>
      </c>
      <c r="D89">
        <v>66</v>
      </c>
      <c r="E89">
        <v>62</v>
      </c>
      <c r="F89">
        <v>0.01587301587301587</v>
      </c>
    </row>
    <row r="90" spans="1:6">
      <c r="A90" t="s">
        <v>652</v>
      </c>
      <c r="B90" t="s">
        <v>953</v>
      </c>
      <c r="C90" t="s">
        <v>505</v>
      </c>
      <c r="D90">
        <v>62</v>
      </c>
      <c r="E90">
        <v>58</v>
      </c>
      <c r="F90">
        <v>0</v>
      </c>
    </row>
    <row r="91" spans="1:6">
      <c r="A91" t="s">
        <v>652</v>
      </c>
      <c r="B91" t="s">
        <v>953</v>
      </c>
      <c r="C91" t="s">
        <v>506</v>
      </c>
      <c r="D91">
        <v>81</v>
      </c>
      <c r="E91">
        <v>75</v>
      </c>
      <c r="F91">
        <v>0</v>
      </c>
    </row>
    <row r="92" spans="1:6">
      <c r="A92" t="s">
        <v>922</v>
      </c>
      <c r="B92" t="s">
        <v>954</v>
      </c>
      <c r="C92" t="s">
        <v>502</v>
      </c>
      <c r="D92">
        <v>78</v>
      </c>
      <c r="E92">
        <v>74</v>
      </c>
      <c r="F92">
        <v>0.01333333333333333</v>
      </c>
    </row>
    <row r="93" spans="1:6">
      <c r="A93" t="s">
        <v>922</v>
      </c>
      <c r="B93" t="s">
        <v>954</v>
      </c>
      <c r="C93" t="s">
        <v>503</v>
      </c>
      <c r="D93">
        <v>79</v>
      </c>
      <c r="E93">
        <v>77</v>
      </c>
      <c r="F93">
        <v>0</v>
      </c>
    </row>
    <row r="94" spans="1:6">
      <c r="A94" t="s">
        <v>922</v>
      </c>
      <c r="B94" t="s">
        <v>954</v>
      </c>
      <c r="C94" t="s">
        <v>504</v>
      </c>
      <c r="D94">
        <v>71</v>
      </c>
      <c r="E94">
        <v>66</v>
      </c>
      <c r="F94">
        <v>0</v>
      </c>
    </row>
    <row r="95" spans="1:6">
      <c r="A95" t="s">
        <v>922</v>
      </c>
      <c r="B95" t="s">
        <v>954</v>
      </c>
      <c r="C95" t="s">
        <v>505</v>
      </c>
      <c r="D95">
        <v>64</v>
      </c>
      <c r="E95">
        <v>61</v>
      </c>
      <c r="F95">
        <v>0.01612903225806452</v>
      </c>
    </row>
    <row r="96" spans="1:6">
      <c r="A96" t="s">
        <v>922</v>
      </c>
      <c r="B96" t="s">
        <v>954</v>
      </c>
      <c r="C96" t="s">
        <v>506</v>
      </c>
      <c r="D96">
        <v>86</v>
      </c>
      <c r="E96">
        <v>81</v>
      </c>
      <c r="F96">
        <v>0</v>
      </c>
    </row>
    <row r="97" spans="1:6">
      <c r="A97" t="s">
        <v>647</v>
      </c>
      <c r="B97" t="s">
        <v>955</v>
      </c>
      <c r="C97" t="s">
        <v>502</v>
      </c>
      <c r="D97">
        <v>81</v>
      </c>
      <c r="E97">
        <v>78</v>
      </c>
      <c r="F97">
        <v>0</v>
      </c>
    </row>
    <row r="98" spans="1:6">
      <c r="A98" t="s">
        <v>647</v>
      </c>
      <c r="B98" t="s">
        <v>955</v>
      </c>
      <c r="C98" t="s">
        <v>503</v>
      </c>
      <c r="D98">
        <v>85</v>
      </c>
      <c r="E98">
        <v>79</v>
      </c>
      <c r="F98">
        <v>0</v>
      </c>
    </row>
    <row r="99" spans="1:6">
      <c r="A99" t="s">
        <v>647</v>
      </c>
      <c r="B99" t="s">
        <v>955</v>
      </c>
      <c r="C99" t="s">
        <v>504</v>
      </c>
      <c r="D99">
        <v>76</v>
      </c>
      <c r="E99">
        <v>71</v>
      </c>
      <c r="F99">
        <v>0</v>
      </c>
    </row>
    <row r="100" spans="1:6">
      <c r="A100" t="s">
        <v>647</v>
      </c>
      <c r="B100" t="s">
        <v>955</v>
      </c>
      <c r="C100" t="s">
        <v>505</v>
      </c>
      <c r="D100">
        <v>68</v>
      </c>
      <c r="E100">
        <v>63</v>
      </c>
      <c r="F100">
        <v>0.015625</v>
      </c>
    </row>
    <row r="101" spans="1:6">
      <c r="A101" t="s">
        <v>647</v>
      </c>
      <c r="B101" t="s">
        <v>955</v>
      </c>
      <c r="C101" t="s">
        <v>506</v>
      </c>
      <c r="D101">
        <v>87</v>
      </c>
      <c r="E101">
        <v>85</v>
      </c>
      <c r="F101">
        <v>0.01162790697674419</v>
      </c>
    </row>
    <row r="102" spans="1:6">
      <c r="A102" t="s">
        <v>569</v>
      </c>
      <c r="B102" t="s">
        <v>956</v>
      </c>
      <c r="C102" t="s">
        <v>502</v>
      </c>
      <c r="D102">
        <v>81</v>
      </c>
      <c r="E102">
        <v>81</v>
      </c>
      <c r="F102">
        <v>0</v>
      </c>
    </row>
    <row r="103" spans="1:6">
      <c r="A103" t="s">
        <v>569</v>
      </c>
      <c r="B103" t="s">
        <v>956</v>
      </c>
      <c r="C103" t="s">
        <v>503</v>
      </c>
      <c r="D103">
        <v>89</v>
      </c>
      <c r="E103">
        <v>83</v>
      </c>
      <c r="F103">
        <v>0.02352941176470588</v>
      </c>
    </row>
    <row r="104" spans="1:6">
      <c r="A104" t="s">
        <v>569</v>
      </c>
      <c r="B104" t="s">
        <v>956</v>
      </c>
      <c r="C104" t="s">
        <v>504</v>
      </c>
      <c r="D104">
        <v>82</v>
      </c>
      <c r="E104">
        <v>75</v>
      </c>
      <c r="F104">
        <v>0.0131578947368421</v>
      </c>
    </row>
    <row r="105" spans="1:6">
      <c r="A105" t="s">
        <v>569</v>
      </c>
      <c r="B105" t="s">
        <v>956</v>
      </c>
      <c r="C105" t="s">
        <v>505</v>
      </c>
      <c r="D105">
        <v>73</v>
      </c>
      <c r="E105">
        <v>68</v>
      </c>
      <c r="F105">
        <v>0</v>
      </c>
    </row>
    <row r="106" spans="1:6">
      <c r="A106" t="s">
        <v>569</v>
      </c>
      <c r="B106" t="s">
        <v>956</v>
      </c>
      <c r="C106" t="s">
        <v>506</v>
      </c>
      <c r="D106">
        <v>91</v>
      </c>
      <c r="E106">
        <v>87</v>
      </c>
      <c r="F106">
        <v>0</v>
      </c>
    </row>
    <row r="107" spans="1:6">
      <c r="A107" t="s">
        <v>923</v>
      </c>
      <c r="B107" t="s">
        <v>957</v>
      </c>
      <c r="C107" t="s">
        <v>502</v>
      </c>
      <c r="D107">
        <v>87</v>
      </c>
      <c r="E107">
        <v>81</v>
      </c>
      <c r="F107">
        <v>0</v>
      </c>
    </row>
    <row r="108" spans="1:6">
      <c r="A108" t="s">
        <v>923</v>
      </c>
      <c r="B108" t="s">
        <v>957</v>
      </c>
      <c r="C108" t="s">
        <v>503</v>
      </c>
      <c r="D108">
        <v>97</v>
      </c>
      <c r="E108">
        <v>89</v>
      </c>
      <c r="F108">
        <v>0</v>
      </c>
    </row>
    <row r="109" spans="1:6">
      <c r="A109" t="s">
        <v>923</v>
      </c>
      <c r="B109" t="s">
        <v>957</v>
      </c>
      <c r="C109" t="s">
        <v>504</v>
      </c>
      <c r="D109">
        <v>83</v>
      </c>
      <c r="E109">
        <v>82</v>
      </c>
      <c r="F109">
        <v>0</v>
      </c>
    </row>
    <row r="110" spans="1:6">
      <c r="A110" t="s">
        <v>923</v>
      </c>
      <c r="B110" t="s">
        <v>957</v>
      </c>
      <c r="C110" t="s">
        <v>505</v>
      </c>
      <c r="D110">
        <v>77</v>
      </c>
      <c r="E110">
        <v>72</v>
      </c>
      <c r="F110">
        <v>0.0136986301369863</v>
      </c>
    </row>
    <row r="111" spans="1:6">
      <c r="A111" t="s">
        <v>923</v>
      </c>
      <c r="B111" t="s">
        <v>957</v>
      </c>
      <c r="C111" t="s">
        <v>506</v>
      </c>
      <c r="D111">
        <v>97</v>
      </c>
      <c r="E111">
        <v>90</v>
      </c>
      <c r="F111">
        <v>0.01098901098901099</v>
      </c>
    </row>
    <row r="112" spans="1:6">
      <c r="A112" t="s">
        <v>644</v>
      </c>
      <c r="B112" t="s">
        <v>958</v>
      </c>
      <c r="C112" t="s">
        <v>502</v>
      </c>
      <c r="D112">
        <v>90</v>
      </c>
      <c r="E112">
        <v>87</v>
      </c>
      <c r="F112">
        <v>0</v>
      </c>
    </row>
    <row r="113" spans="1:6">
      <c r="A113" t="s">
        <v>644</v>
      </c>
      <c r="B113" t="s">
        <v>958</v>
      </c>
      <c r="C113" t="s">
        <v>503</v>
      </c>
      <c r="D113">
        <v>99</v>
      </c>
      <c r="E113">
        <v>97</v>
      </c>
      <c r="F113">
        <v>0</v>
      </c>
    </row>
    <row r="114" spans="1:6">
      <c r="A114" t="s">
        <v>644</v>
      </c>
      <c r="B114" t="s">
        <v>958</v>
      </c>
      <c r="C114" t="s">
        <v>504</v>
      </c>
      <c r="D114">
        <v>86</v>
      </c>
      <c r="E114">
        <v>83</v>
      </c>
      <c r="F114">
        <v>0</v>
      </c>
    </row>
    <row r="115" spans="1:6">
      <c r="A115" t="s">
        <v>644</v>
      </c>
      <c r="B115" t="s">
        <v>958</v>
      </c>
      <c r="C115" t="s">
        <v>505</v>
      </c>
      <c r="D115">
        <v>81</v>
      </c>
      <c r="E115">
        <v>76</v>
      </c>
      <c r="F115">
        <v>0.01298701298701299</v>
      </c>
    </row>
    <row r="116" spans="1:6">
      <c r="A116" t="s">
        <v>644</v>
      </c>
      <c r="B116" t="s">
        <v>958</v>
      </c>
      <c r="C116" t="s">
        <v>506</v>
      </c>
      <c r="D116">
        <v>100</v>
      </c>
      <c r="E116">
        <v>95</v>
      </c>
      <c r="F116">
        <v>0.02061855670103093</v>
      </c>
    </row>
    <row r="117" spans="1:6">
      <c r="A117" t="s">
        <v>924</v>
      </c>
      <c r="B117" t="s">
        <v>959</v>
      </c>
      <c r="C117" t="s">
        <v>502</v>
      </c>
      <c r="D117">
        <v>94</v>
      </c>
      <c r="E117">
        <v>90</v>
      </c>
      <c r="F117">
        <v>0</v>
      </c>
    </row>
    <row r="118" spans="1:6">
      <c r="A118" t="s">
        <v>924</v>
      </c>
      <c r="B118" t="s">
        <v>959</v>
      </c>
      <c r="C118" t="s">
        <v>503</v>
      </c>
      <c r="D118">
        <v>104</v>
      </c>
      <c r="E118">
        <v>98</v>
      </c>
      <c r="F118">
        <v>0.0101010101010101</v>
      </c>
    </row>
    <row r="119" spans="1:6">
      <c r="A119" t="s">
        <v>924</v>
      </c>
      <c r="B119" t="s">
        <v>959</v>
      </c>
      <c r="C119" t="s">
        <v>504</v>
      </c>
      <c r="D119">
        <v>90</v>
      </c>
      <c r="E119">
        <v>86</v>
      </c>
      <c r="F119">
        <v>0</v>
      </c>
    </row>
    <row r="120" spans="1:6">
      <c r="A120" t="s">
        <v>924</v>
      </c>
      <c r="B120" t="s">
        <v>959</v>
      </c>
      <c r="C120" t="s">
        <v>505</v>
      </c>
      <c r="D120">
        <v>85</v>
      </c>
      <c r="E120">
        <v>81</v>
      </c>
      <c r="F120">
        <v>0</v>
      </c>
    </row>
    <row r="121" spans="1:6">
      <c r="A121" t="s">
        <v>924</v>
      </c>
      <c r="B121" t="s">
        <v>959</v>
      </c>
      <c r="C121" t="s">
        <v>506</v>
      </c>
      <c r="D121">
        <v>102</v>
      </c>
      <c r="E121">
        <v>100</v>
      </c>
      <c r="F121">
        <v>0</v>
      </c>
    </row>
    <row r="122" spans="1:6">
      <c r="A122" t="s">
        <v>925</v>
      </c>
      <c r="B122" t="s">
        <v>960</v>
      </c>
      <c r="C122" t="s">
        <v>502</v>
      </c>
      <c r="D122">
        <v>94</v>
      </c>
      <c r="E122">
        <v>94</v>
      </c>
      <c r="F122">
        <v>0</v>
      </c>
    </row>
    <row r="123" spans="1:6">
      <c r="A123" t="s">
        <v>925</v>
      </c>
      <c r="B123" t="s">
        <v>960</v>
      </c>
      <c r="C123" t="s">
        <v>503</v>
      </c>
      <c r="D123">
        <v>104</v>
      </c>
      <c r="E123">
        <v>104</v>
      </c>
      <c r="F123">
        <v>0</v>
      </c>
    </row>
    <row r="124" spans="1:6">
      <c r="A124" t="s">
        <v>925</v>
      </c>
      <c r="B124" t="s">
        <v>960</v>
      </c>
      <c r="C124" t="s">
        <v>504</v>
      </c>
      <c r="D124">
        <v>90</v>
      </c>
      <c r="E124">
        <v>90</v>
      </c>
      <c r="F124">
        <v>0</v>
      </c>
    </row>
    <row r="125" spans="1:6">
      <c r="A125" t="s">
        <v>925</v>
      </c>
      <c r="B125" t="s">
        <v>960</v>
      </c>
      <c r="C125" t="s">
        <v>505</v>
      </c>
      <c r="D125">
        <v>84</v>
      </c>
      <c r="E125">
        <v>84</v>
      </c>
      <c r="F125">
        <v>0.01176470588235294</v>
      </c>
    </row>
    <row r="126" spans="1:6">
      <c r="A126" t="s">
        <v>925</v>
      </c>
      <c r="B126" t="s">
        <v>960</v>
      </c>
      <c r="C126" t="s">
        <v>506</v>
      </c>
      <c r="D126">
        <v>102</v>
      </c>
      <c r="E126">
        <v>102</v>
      </c>
      <c r="F126">
        <v>0</v>
      </c>
    </row>
    <row r="127" spans="1:6">
      <c r="A127" t="s">
        <v>926</v>
      </c>
      <c r="B127" t="s">
        <v>961</v>
      </c>
      <c r="C127" t="s">
        <v>502</v>
      </c>
      <c r="D127">
        <v>92</v>
      </c>
      <c r="E127">
        <v>92</v>
      </c>
      <c r="F127">
        <v>0.02127659574468085</v>
      </c>
    </row>
    <row r="128" spans="1:6">
      <c r="A128" t="s">
        <v>926</v>
      </c>
      <c r="B128" t="s">
        <v>961</v>
      </c>
      <c r="C128" t="s">
        <v>503</v>
      </c>
      <c r="D128">
        <v>104</v>
      </c>
      <c r="E128">
        <v>104</v>
      </c>
      <c r="F128">
        <v>0</v>
      </c>
    </row>
    <row r="129" spans="1:6">
      <c r="A129" t="s">
        <v>926</v>
      </c>
      <c r="B129" t="s">
        <v>961</v>
      </c>
      <c r="C129" t="s">
        <v>504</v>
      </c>
      <c r="D129">
        <v>88</v>
      </c>
      <c r="E129">
        <v>88</v>
      </c>
      <c r="F129">
        <v>0.02222222222222222</v>
      </c>
    </row>
    <row r="130" spans="1:6">
      <c r="A130" t="s">
        <v>926</v>
      </c>
      <c r="B130" t="s">
        <v>961</v>
      </c>
      <c r="C130" t="s">
        <v>505</v>
      </c>
      <c r="D130">
        <v>84</v>
      </c>
      <c r="E130">
        <v>84</v>
      </c>
      <c r="F130">
        <v>0</v>
      </c>
    </row>
    <row r="131" spans="1:6">
      <c r="A131" t="s">
        <v>926</v>
      </c>
      <c r="B131" t="s">
        <v>961</v>
      </c>
      <c r="C131" t="s">
        <v>506</v>
      </c>
      <c r="D131">
        <v>101</v>
      </c>
      <c r="E131">
        <v>101</v>
      </c>
      <c r="F131">
        <v>0.009803921568627451</v>
      </c>
    </row>
    <row r="132" spans="1:6">
      <c r="A132" t="s">
        <v>927</v>
      </c>
      <c r="B132" t="s">
        <v>962</v>
      </c>
      <c r="C132" t="s">
        <v>502</v>
      </c>
      <c r="D132">
        <v>92</v>
      </c>
      <c r="E132">
        <v>92</v>
      </c>
      <c r="F132">
        <v>0</v>
      </c>
    </row>
    <row r="133" spans="1:6">
      <c r="A133" t="s">
        <v>927</v>
      </c>
      <c r="B133" t="s">
        <v>962</v>
      </c>
      <c r="C133" t="s">
        <v>503</v>
      </c>
      <c r="D133">
        <v>104</v>
      </c>
      <c r="E133">
        <v>104</v>
      </c>
      <c r="F133">
        <v>0</v>
      </c>
    </row>
    <row r="134" spans="1:6">
      <c r="A134" t="s">
        <v>927</v>
      </c>
      <c r="B134" t="s">
        <v>962</v>
      </c>
      <c r="C134" t="s">
        <v>504</v>
      </c>
      <c r="D134">
        <v>87</v>
      </c>
      <c r="E134">
        <v>87</v>
      </c>
      <c r="F134">
        <v>0.01136363636363636</v>
      </c>
    </row>
    <row r="135" spans="1:6">
      <c r="A135" t="s">
        <v>927</v>
      </c>
      <c r="B135" t="s">
        <v>962</v>
      </c>
      <c r="C135" t="s">
        <v>505</v>
      </c>
      <c r="D135">
        <v>84</v>
      </c>
      <c r="E135">
        <v>84</v>
      </c>
      <c r="F135">
        <v>0</v>
      </c>
    </row>
    <row r="136" spans="1:6">
      <c r="A136" t="s">
        <v>927</v>
      </c>
      <c r="B136" t="s">
        <v>962</v>
      </c>
      <c r="C136" t="s">
        <v>506</v>
      </c>
      <c r="D136">
        <v>101</v>
      </c>
      <c r="E136">
        <v>101</v>
      </c>
      <c r="F136">
        <v>0</v>
      </c>
    </row>
    <row r="137" spans="1:6">
      <c r="A137" t="s">
        <v>928</v>
      </c>
      <c r="B137" t="s">
        <v>963</v>
      </c>
      <c r="C137" t="s">
        <v>502</v>
      </c>
      <c r="D137">
        <v>92</v>
      </c>
      <c r="E137">
        <v>92</v>
      </c>
      <c r="F137">
        <v>0</v>
      </c>
    </row>
    <row r="138" spans="1:6">
      <c r="A138" t="s">
        <v>928</v>
      </c>
      <c r="B138" t="s">
        <v>963</v>
      </c>
      <c r="C138" t="s">
        <v>503</v>
      </c>
      <c r="D138">
        <v>102</v>
      </c>
      <c r="E138">
        <v>102</v>
      </c>
      <c r="F138">
        <v>0.01923076923076923</v>
      </c>
    </row>
    <row r="139" spans="1:6">
      <c r="A139" t="s">
        <v>928</v>
      </c>
      <c r="B139" t="s">
        <v>963</v>
      </c>
      <c r="C139" t="s">
        <v>504</v>
      </c>
      <c r="D139">
        <v>87</v>
      </c>
      <c r="E139">
        <v>87</v>
      </c>
      <c r="F139">
        <v>0</v>
      </c>
    </row>
    <row r="140" spans="1:6">
      <c r="A140" t="s">
        <v>928</v>
      </c>
      <c r="B140" t="s">
        <v>963</v>
      </c>
      <c r="C140" t="s">
        <v>505</v>
      </c>
      <c r="D140">
        <v>83</v>
      </c>
      <c r="E140">
        <v>83</v>
      </c>
      <c r="F140">
        <v>0.0119047619047619</v>
      </c>
    </row>
    <row r="141" spans="1:6">
      <c r="A141" t="s">
        <v>928</v>
      </c>
      <c r="B141" t="s">
        <v>963</v>
      </c>
      <c r="C141" t="s">
        <v>506</v>
      </c>
      <c r="D141">
        <v>101</v>
      </c>
      <c r="E141">
        <v>101</v>
      </c>
      <c r="F141">
        <v>0</v>
      </c>
    </row>
    <row r="142" spans="1:6">
      <c r="A142" t="s">
        <v>929</v>
      </c>
      <c r="B142" t="s">
        <v>964</v>
      </c>
      <c r="C142" t="s">
        <v>502</v>
      </c>
      <c r="D142">
        <v>92</v>
      </c>
      <c r="E142">
        <v>92</v>
      </c>
      <c r="F142">
        <v>0</v>
      </c>
    </row>
    <row r="143" spans="1:6">
      <c r="A143" t="s">
        <v>929</v>
      </c>
      <c r="B143" t="s">
        <v>964</v>
      </c>
      <c r="C143" t="s">
        <v>503</v>
      </c>
      <c r="D143">
        <v>102</v>
      </c>
      <c r="E143">
        <v>102</v>
      </c>
      <c r="F143">
        <v>0</v>
      </c>
    </row>
    <row r="144" spans="1:6">
      <c r="A144" t="s">
        <v>929</v>
      </c>
      <c r="B144" t="s">
        <v>964</v>
      </c>
      <c r="C144" t="s">
        <v>504</v>
      </c>
      <c r="D144">
        <v>85</v>
      </c>
      <c r="E144">
        <v>85</v>
      </c>
      <c r="F144">
        <v>0.02298850574712644</v>
      </c>
    </row>
    <row r="145" spans="1:6">
      <c r="A145" t="s">
        <v>929</v>
      </c>
      <c r="B145" t="s">
        <v>964</v>
      </c>
      <c r="C145" t="s">
        <v>505</v>
      </c>
      <c r="D145">
        <v>83</v>
      </c>
      <c r="E145">
        <v>83</v>
      </c>
      <c r="F145">
        <v>0</v>
      </c>
    </row>
    <row r="146" spans="1:6">
      <c r="A146" t="s">
        <v>929</v>
      </c>
      <c r="B146" t="s">
        <v>964</v>
      </c>
      <c r="C146" t="s">
        <v>506</v>
      </c>
      <c r="D146">
        <v>101</v>
      </c>
      <c r="E146">
        <v>101</v>
      </c>
      <c r="F146">
        <v>0</v>
      </c>
    </row>
    <row r="147" spans="1:6">
      <c r="A147" t="s">
        <v>930</v>
      </c>
      <c r="B147" t="s">
        <v>965</v>
      </c>
      <c r="C147" t="s">
        <v>502</v>
      </c>
      <c r="D147">
        <v>92</v>
      </c>
      <c r="E147">
        <v>92</v>
      </c>
      <c r="F147">
        <v>0</v>
      </c>
    </row>
    <row r="148" spans="1:6">
      <c r="A148" t="s">
        <v>930</v>
      </c>
      <c r="B148" t="s">
        <v>965</v>
      </c>
      <c r="C148" t="s">
        <v>503</v>
      </c>
      <c r="D148">
        <v>102</v>
      </c>
      <c r="E148">
        <v>102</v>
      </c>
      <c r="F148">
        <v>0</v>
      </c>
    </row>
    <row r="149" spans="1:6">
      <c r="A149" t="s">
        <v>930</v>
      </c>
      <c r="B149" t="s">
        <v>965</v>
      </c>
      <c r="C149" t="s">
        <v>504</v>
      </c>
      <c r="D149">
        <v>85</v>
      </c>
      <c r="E149">
        <v>85</v>
      </c>
      <c r="F149">
        <v>0</v>
      </c>
    </row>
    <row r="150" spans="1:6">
      <c r="A150" t="s">
        <v>930</v>
      </c>
      <c r="B150" t="s">
        <v>965</v>
      </c>
      <c r="C150" t="s">
        <v>505</v>
      </c>
      <c r="D150">
        <v>83</v>
      </c>
      <c r="E150">
        <v>83</v>
      </c>
      <c r="F150">
        <v>0</v>
      </c>
    </row>
    <row r="151" spans="1:6">
      <c r="A151" t="s">
        <v>930</v>
      </c>
      <c r="B151" t="s">
        <v>965</v>
      </c>
      <c r="C151" t="s">
        <v>506</v>
      </c>
      <c r="D151">
        <v>100</v>
      </c>
      <c r="E151">
        <v>100</v>
      </c>
      <c r="F151">
        <v>0.009900990099009901</v>
      </c>
    </row>
    <row r="152" spans="1:6">
      <c r="A152" t="s">
        <v>931</v>
      </c>
      <c r="B152" t="s">
        <v>966</v>
      </c>
      <c r="C152" t="s">
        <v>502</v>
      </c>
      <c r="D152">
        <v>90</v>
      </c>
      <c r="E152">
        <v>90</v>
      </c>
      <c r="F152">
        <v>0.02173913043478261</v>
      </c>
    </row>
    <row r="153" spans="1:6">
      <c r="A153" t="s">
        <v>931</v>
      </c>
      <c r="B153" t="s">
        <v>966</v>
      </c>
      <c r="C153" t="s">
        <v>503</v>
      </c>
      <c r="D153">
        <v>101</v>
      </c>
      <c r="E153">
        <v>101</v>
      </c>
      <c r="F153">
        <v>0.009803921568627451</v>
      </c>
    </row>
    <row r="154" spans="1:6">
      <c r="A154" t="s">
        <v>931</v>
      </c>
      <c r="B154" t="s">
        <v>966</v>
      </c>
      <c r="C154" t="s">
        <v>504</v>
      </c>
      <c r="D154">
        <v>85</v>
      </c>
      <c r="E154">
        <v>85</v>
      </c>
      <c r="F154">
        <v>0</v>
      </c>
    </row>
    <row r="155" spans="1:6">
      <c r="A155" t="s">
        <v>931</v>
      </c>
      <c r="B155" t="s">
        <v>966</v>
      </c>
      <c r="C155" t="s">
        <v>505</v>
      </c>
      <c r="D155">
        <v>83</v>
      </c>
      <c r="E155">
        <v>83</v>
      </c>
      <c r="F155">
        <v>0</v>
      </c>
    </row>
    <row r="156" spans="1:6">
      <c r="A156" t="s">
        <v>931</v>
      </c>
      <c r="B156" t="s">
        <v>966</v>
      </c>
      <c r="C156" t="s">
        <v>506</v>
      </c>
      <c r="D156">
        <v>100</v>
      </c>
      <c r="E156">
        <v>100</v>
      </c>
      <c r="F156">
        <v>0</v>
      </c>
    </row>
    <row r="157" spans="1:6">
      <c r="A157" t="s">
        <v>932</v>
      </c>
      <c r="B157" t="s">
        <v>967</v>
      </c>
      <c r="C157" t="s">
        <v>502</v>
      </c>
      <c r="D157">
        <v>90</v>
      </c>
      <c r="E157">
        <v>90</v>
      </c>
      <c r="F157">
        <v>0</v>
      </c>
    </row>
    <row r="158" spans="1:6">
      <c r="A158" t="s">
        <v>932</v>
      </c>
      <c r="B158" t="s">
        <v>967</v>
      </c>
      <c r="C158" t="s">
        <v>503</v>
      </c>
      <c r="D158">
        <v>101</v>
      </c>
      <c r="E158">
        <v>101</v>
      </c>
      <c r="F158">
        <v>0</v>
      </c>
    </row>
    <row r="159" spans="1:6">
      <c r="A159" t="s">
        <v>932</v>
      </c>
      <c r="B159" t="s">
        <v>967</v>
      </c>
      <c r="C159" t="s">
        <v>504</v>
      </c>
      <c r="D159">
        <v>85</v>
      </c>
      <c r="E159">
        <v>85</v>
      </c>
      <c r="F159">
        <v>0</v>
      </c>
    </row>
    <row r="160" spans="1:6">
      <c r="A160" t="s">
        <v>932</v>
      </c>
      <c r="B160" t="s">
        <v>967</v>
      </c>
      <c r="C160" t="s">
        <v>505</v>
      </c>
      <c r="D160">
        <v>83</v>
      </c>
      <c r="E160">
        <v>83</v>
      </c>
      <c r="F160">
        <v>0</v>
      </c>
    </row>
    <row r="161" spans="1:6">
      <c r="A161" t="s">
        <v>932</v>
      </c>
      <c r="B161" t="s">
        <v>967</v>
      </c>
      <c r="C161" t="s">
        <v>506</v>
      </c>
      <c r="D161">
        <v>100</v>
      </c>
      <c r="E161">
        <v>100</v>
      </c>
      <c r="F161">
        <v>0</v>
      </c>
    </row>
    <row r="162" spans="1:6">
      <c r="A162" t="s">
        <v>933</v>
      </c>
      <c r="B162" t="s">
        <v>968</v>
      </c>
      <c r="C162" t="s">
        <v>502</v>
      </c>
      <c r="D162">
        <v>90</v>
      </c>
      <c r="E162">
        <v>90</v>
      </c>
      <c r="F162">
        <v>0</v>
      </c>
    </row>
    <row r="163" spans="1:6">
      <c r="A163" t="s">
        <v>933</v>
      </c>
      <c r="B163" t="s">
        <v>968</v>
      </c>
      <c r="C163" t="s">
        <v>503</v>
      </c>
      <c r="D163">
        <v>99</v>
      </c>
      <c r="E163">
        <v>99</v>
      </c>
      <c r="F163">
        <v>0.0198019801980198</v>
      </c>
    </row>
    <row r="164" spans="1:6">
      <c r="A164" t="s">
        <v>933</v>
      </c>
      <c r="B164" t="s">
        <v>968</v>
      </c>
      <c r="C164" t="s">
        <v>504</v>
      </c>
      <c r="D164">
        <v>85</v>
      </c>
      <c r="E164">
        <v>85</v>
      </c>
      <c r="F164">
        <v>0</v>
      </c>
    </row>
    <row r="165" spans="1:6">
      <c r="A165" t="s">
        <v>933</v>
      </c>
      <c r="B165" t="s">
        <v>968</v>
      </c>
      <c r="C165" t="s">
        <v>505</v>
      </c>
      <c r="D165">
        <v>83</v>
      </c>
      <c r="E165">
        <v>83</v>
      </c>
      <c r="F165">
        <v>0</v>
      </c>
    </row>
    <row r="166" spans="1:6">
      <c r="A166" t="s">
        <v>933</v>
      </c>
      <c r="B166" t="s">
        <v>968</v>
      </c>
      <c r="C166" t="s">
        <v>506</v>
      </c>
      <c r="D166">
        <v>100</v>
      </c>
      <c r="E166">
        <v>100</v>
      </c>
      <c r="F166">
        <v>0</v>
      </c>
    </row>
    <row r="167" spans="1:6">
      <c r="A167" t="s">
        <v>934</v>
      </c>
      <c r="B167" t="s">
        <v>969</v>
      </c>
      <c r="C167" t="s">
        <v>502</v>
      </c>
      <c r="D167">
        <v>90</v>
      </c>
      <c r="E167">
        <v>90</v>
      </c>
      <c r="F167">
        <v>0</v>
      </c>
    </row>
    <row r="168" spans="1:6">
      <c r="A168" t="s">
        <v>934</v>
      </c>
      <c r="B168" t="s">
        <v>969</v>
      </c>
      <c r="C168" t="s">
        <v>503</v>
      </c>
      <c r="D168">
        <v>99</v>
      </c>
      <c r="E168">
        <v>99</v>
      </c>
      <c r="F168">
        <v>0</v>
      </c>
    </row>
    <row r="169" spans="1:6">
      <c r="A169" t="s">
        <v>934</v>
      </c>
      <c r="B169" t="s">
        <v>969</v>
      </c>
      <c r="C169" t="s">
        <v>504</v>
      </c>
      <c r="D169">
        <v>85</v>
      </c>
      <c r="E169">
        <v>85</v>
      </c>
      <c r="F169">
        <v>0</v>
      </c>
    </row>
    <row r="170" spans="1:6">
      <c r="A170" t="s">
        <v>934</v>
      </c>
      <c r="B170" t="s">
        <v>969</v>
      </c>
      <c r="C170" t="s">
        <v>505</v>
      </c>
      <c r="D170">
        <v>83</v>
      </c>
      <c r="E170">
        <v>83</v>
      </c>
      <c r="F170">
        <v>0</v>
      </c>
    </row>
    <row r="171" spans="1:6">
      <c r="A171" t="s">
        <v>934</v>
      </c>
      <c r="B171" t="s">
        <v>969</v>
      </c>
      <c r="C171" t="s">
        <v>506</v>
      </c>
      <c r="D171">
        <v>100</v>
      </c>
      <c r="E171">
        <v>100</v>
      </c>
      <c r="F1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t="s">
        <v>912</v>
      </c>
      <c r="B1" t="s">
        <v>935</v>
      </c>
      <c r="C1" t="s">
        <v>978</v>
      </c>
      <c r="D1" t="s">
        <v>972</v>
      </c>
      <c r="E1" t="s">
        <v>974</v>
      </c>
    </row>
    <row r="2" spans="1:5">
      <c r="A2" t="s">
        <v>823</v>
      </c>
      <c r="B2" t="s">
        <v>936</v>
      </c>
      <c r="C2" t="s">
        <v>900</v>
      </c>
      <c r="D2">
        <v>0</v>
      </c>
    </row>
    <row r="3" spans="1:5">
      <c r="A3" t="s">
        <v>823</v>
      </c>
      <c r="B3" t="s">
        <v>936</v>
      </c>
      <c r="C3" t="s">
        <v>901</v>
      </c>
      <c r="D3">
        <v>0</v>
      </c>
    </row>
    <row r="4" spans="1:5">
      <c r="A4" t="s">
        <v>823</v>
      </c>
      <c r="B4" t="s">
        <v>936</v>
      </c>
      <c r="C4" t="s">
        <v>902</v>
      </c>
      <c r="D4">
        <v>0</v>
      </c>
    </row>
    <row r="5" spans="1:5">
      <c r="A5" t="s">
        <v>913</v>
      </c>
      <c r="B5" t="s">
        <v>937</v>
      </c>
      <c r="C5" t="s">
        <v>900</v>
      </c>
      <c r="D5">
        <v>0</v>
      </c>
      <c r="E5">
        <v>0</v>
      </c>
    </row>
    <row r="6" spans="1:5">
      <c r="A6" t="s">
        <v>913</v>
      </c>
      <c r="B6" t="s">
        <v>937</v>
      </c>
      <c r="C6" t="s">
        <v>901</v>
      </c>
      <c r="D6">
        <v>0</v>
      </c>
      <c r="E6">
        <v>0</v>
      </c>
    </row>
    <row r="7" spans="1:5">
      <c r="A7" t="s">
        <v>913</v>
      </c>
      <c r="B7" t="s">
        <v>937</v>
      </c>
      <c r="C7" t="s">
        <v>902</v>
      </c>
      <c r="D7">
        <v>0</v>
      </c>
      <c r="E7">
        <v>0</v>
      </c>
    </row>
    <row r="8" spans="1:5">
      <c r="A8" t="s">
        <v>914</v>
      </c>
      <c r="B8" t="s">
        <v>938</v>
      </c>
      <c r="C8" t="s">
        <v>900</v>
      </c>
      <c r="D8">
        <v>0</v>
      </c>
      <c r="E8">
        <v>0</v>
      </c>
    </row>
    <row r="9" spans="1:5">
      <c r="A9" t="s">
        <v>914</v>
      </c>
      <c r="B9" t="s">
        <v>938</v>
      </c>
      <c r="C9" t="s">
        <v>901</v>
      </c>
      <c r="D9">
        <v>0</v>
      </c>
      <c r="E9">
        <v>0</v>
      </c>
    </row>
    <row r="10" spans="1:5">
      <c r="A10" t="s">
        <v>914</v>
      </c>
      <c r="B10" t="s">
        <v>938</v>
      </c>
      <c r="C10" t="s">
        <v>902</v>
      </c>
      <c r="D10">
        <v>0</v>
      </c>
      <c r="E10">
        <v>0</v>
      </c>
    </row>
    <row r="11" spans="1:5">
      <c r="A11" t="s">
        <v>614</v>
      </c>
      <c r="B11" t="s">
        <v>939</v>
      </c>
      <c r="C11" t="s">
        <v>900</v>
      </c>
      <c r="D11">
        <v>0</v>
      </c>
      <c r="E11">
        <v>0</v>
      </c>
    </row>
    <row r="12" spans="1:5">
      <c r="A12" t="s">
        <v>614</v>
      </c>
      <c r="B12" t="s">
        <v>939</v>
      </c>
      <c r="C12" t="s">
        <v>901</v>
      </c>
      <c r="D12">
        <v>0</v>
      </c>
      <c r="E12">
        <v>0</v>
      </c>
    </row>
    <row r="13" spans="1:5">
      <c r="A13" t="s">
        <v>614</v>
      </c>
      <c r="B13" t="s">
        <v>939</v>
      </c>
      <c r="C13" t="s">
        <v>902</v>
      </c>
      <c r="D13">
        <v>0</v>
      </c>
      <c r="E13">
        <v>0</v>
      </c>
    </row>
    <row r="14" spans="1:5">
      <c r="A14" t="s">
        <v>808</v>
      </c>
      <c r="B14" t="s">
        <v>940</v>
      </c>
      <c r="C14" t="s">
        <v>900</v>
      </c>
      <c r="D14">
        <v>0</v>
      </c>
      <c r="E14">
        <v>0</v>
      </c>
    </row>
    <row r="15" spans="1:5">
      <c r="A15" t="s">
        <v>808</v>
      </c>
      <c r="B15" t="s">
        <v>940</v>
      </c>
      <c r="C15" t="s">
        <v>901</v>
      </c>
      <c r="D15">
        <v>0</v>
      </c>
      <c r="E15">
        <v>0</v>
      </c>
    </row>
    <row r="16" spans="1:5">
      <c r="A16" t="s">
        <v>808</v>
      </c>
      <c r="B16" t="s">
        <v>940</v>
      </c>
      <c r="C16" t="s">
        <v>902</v>
      </c>
      <c r="D16">
        <v>0</v>
      </c>
      <c r="E16">
        <v>0</v>
      </c>
    </row>
    <row r="17" spans="1:5">
      <c r="A17" t="s">
        <v>554</v>
      </c>
      <c r="B17" t="s">
        <v>941</v>
      </c>
      <c r="C17" t="s">
        <v>900</v>
      </c>
      <c r="D17">
        <v>0</v>
      </c>
      <c r="E17">
        <v>0</v>
      </c>
    </row>
    <row r="18" spans="1:5">
      <c r="A18" t="s">
        <v>554</v>
      </c>
      <c r="B18" t="s">
        <v>941</v>
      </c>
      <c r="C18" t="s">
        <v>901</v>
      </c>
      <c r="D18">
        <v>0</v>
      </c>
      <c r="E18">
        <v>0</v>
      </c>
    </row>
    <row r="19" spans="1:5">
      <c r="A19" t="s">
        <v>554</v>
      </c>
      <c r="B19" t="s">
        <v>941</v>
      </c>
      <c r="C19" t="s">
        <v>902</v>
      </c>
      <c r="D19">
        <v>1</v>
      </c>
      <c r="E19">
        <v>0.02222222222222222</v>
      </c>
    </row>
    <row r="20" spans="1:5">
      <c r="A20" t="s">
        <v>915</v>
      </c>
      <c r="B20" t="s">
        <v>942</v>
      </c>
      <c r="C20" t="s">
        <v>900</v>
      </c>
      <c r="D20">
        <v>0</v>
      </c>
      <c r="E20">
        <v>0</v>
      </c>
    </row>
    <row r="21" spans="1:5">
      <c r="A21" t="s">
        <v>915</v>
      </c>
      <c r="B21" t="s">
        <v>942</v>
      </c>
      <c r="C21" t="s">
        <v>901</v>
      </c>
      <c r="D21">
        <v>0</v>
      </c>
      <c r="E21">
        <v>0</v>
      </c>
    </row>
    <row r="22" spans="1:5">
      <c r="A22" t="s">
        <v>915</v>
      </c>
      <c r="B22" t="s">
        <v>942</v>
      </c>
      <c r="C22" t="s">
        <v>902</v>
      </c>
      <c r="D22">
        <v>0</v>
      </c>
      <c r="E22">
        <v>0</v>
      </c>
    </row>
    <row r="23" spans="1:5">
      <c r="A23" t="s">
        <v>916</v>
      </c>
      <c r="B23" t="s">
        <v>943</v>
      </c>
      <c r="C23" t="s">
        <v>900</v>
      </c>
      <c r="D23">
        <v>0</v>
      </c>
      <c r="E23">
        <v>0</v>
      </c>
    </row>
    <row r="24" spans="1:5">
      <c r="A24" t="s">
        <v>916</v>
      </c>
      <c r="B24" t="s">
        <v>943</v>
      </c>
      <c r="C24" t="s">
        <v>901</v>
      </c>
      <c r="D24">
        <v>0</v>
      </c>
      <c r="E24">
        <v>0</v>
      </c>
    </row>
    <row r="25" spans="1:5">
      <c r="A25" t="s">
        <v>916</v>
      </c>
      <c r="B25" t="s">
        <v>943</v>
      </c>
      <c r="C25" t="s">
        <v>902</v>
      </c>
      <c r="D25">
        <v>0</v>
      </c>
      <c r="E25">
        <v>0</v>
      </c>
    </row>
    <row r="26" spans="1:5">
      <c r="A26" t="s">
        <v>687</v>
      </c>
      <c r="B26" t="s">
        <v>944</v>
      </c>
      <c r="C26" t="s">
        <v>900</v>
      </c>
      <c r="D26">
        <v>0</v>
      </c>
      <c r="E26">
        <v>0</v>
      </c>
    </row>
    <row r="27" spans="1:5">
      <c r="A27" t="s">
        <v>687</v>
      </c>
      <c r="B27" t="s">
        <v>944</v>
      </c>
      <c r="C27" t="s">
        <v>901</v>
      </c>
      <c r="D27">
        <v>0</v>
      </c>
      <c r="E27">
        <v>0</v>
      </c>
    </row>
    <row r="28" spans="1:5">
      <c r="A28" t="s">
        <v>687</v>
      </c>
      <c r="B28" t="s">
        <v>944</v>
      </c>
      <c r="C28" t="s">
        <v>902</v>
      </c>
      <c r="D28">
        <v>0</v>
      </c>
      <c r="E28">
        <v>0</v>
      </c>
    </row>
    <row r="29" spans="1:5">
      <c r="A29" t="s">
        <v>917</v>
      </c>
      <c r="B29" t="s">
        <v>945</v>
      </c>
      <c r="C29" t="s">
        <v>900</v>
      </c>
      <c r="D29">
        <v>0</v>
      </c>
      <c r="E29">
        <v>0</v>
      </c>
    </row>
    <row r="30" spans="1:5">
      <c r="A30" t="s">
        <v>917</v>
      </c>
      <c r="B30" t="s">
        <v>945</v>
      </c>
      <c r="C30" t="s">
        <v>901</v>
      </c>
      <c r="D30">
        <v>1</v>
      </c>
      <c r="E30">
        <v>0.01851851851851852</v>
      </c>
    </row>
    <row r="31" spans="1:5">
      <c r="A31" t="s">
        <v>917</v>
      </c>
      <c r="B31" t="s">
        <v>945</v>
      </c>
      <c r="C31" t="s">
        <v>902</v>
      </c>
      <c r="D31">
        <v>0</v>
      </c>
      <c r="E31">
        <v>0</v>
      </c>
    </row>
    <row r="32" spans="1:5">
      <c r="A32" t="s">
        <v>918</v>
      </c>
      <c r="B32" t="s">
        <v>946</v>
      </c>
      <c r="C32" t="s">
        <v>900</v>
      </c>
      <c r="D32">
        <v>0</v>
      </c>
      <c r="E32">
        <v>0</v>
      </c>
    </row>
    <row r="33" spans="1:5">
      <c r="A33" t="s">
        <v>918</v>
      </c>
      <c r="B33" t="s">
        <v>946</v>
      </c>
      <c r="C33" t="s">
        <v>901</v>
      </c>
      <c r="D33">
        <v>0</v>
      </c>
      <c r="E33">
        <v>0</v>
      </c>
    </row>
    <row r="34" spans="1:5">
      <c r="A34" t="s">
        <v>918</v>
      </c>
      <c r="B34" t="s">
        <v>946</v>
      </c>
      <c r="C34" t="s">
        <v>902</v>
      </c>
      <c r="D34">
        <v>1</v>
      </c>
      <c r="E34">
        <v>0.01639344262295082</v>
      </c>
    </row>
    <row r="35" spans="1:5">
      <c r="A35" t="s">
        <v>919</v>
      </c>
      <c r="B35" t="s">
        <v>947</v>
      </c>
      <c r="C35" t="s">
        <v>900</v>
      </c>
      <c r="D35">
        <v>0</v>
      </c>
      <c r="E35">
        <v>0</v>
      </c>
    </row>
    <row r="36" spans="1:5">
      <c r="A36" t="s">
        <v>919</v>
      </c>
      <c r="B36" t="s">
        <v>947</v>
      </c>
      <c r="C36" t="s">
        <v>901</v>
      </c>
      <c r="D36">
        <v>0</v>
      </c>
      <c r="E36">
        <v>0</v>
      </c>
    </row>
    <row r="37" spans="1:5">
      <c r="A37" t="s">
        <v>919</v>
      </c>
      <c r="B37" t="s">
        <v>947</v>
      </c>
      <c r="C37" t="s">
        <v>902</v>
      </c>
      <c r="D37">
        <v>0</v>
      </c>
      <c r="E37">
        <v>0</v>
      </c>
    </row>
    <row r="38" spans="1:5">
      <c r="A38" t="s">
        <v>920</v>
      </c>
      <c r="B38" t="s">
        <v>948</v>
      </c>
      <c r="C38" t="s">
        <v>900</v>
      </c>
      <c r="D38">
        <v>0</v>
      </c>
      <c r="E38">
        <v>0</v>
      </c>
    </row>
    <row r="39" spans="1:5">
      <c r="A39" t="s">
        <v>920</v>
      </c>
      <c r="B39" t="s">
        <v>948</v>
      </c>
      <c r="C39" t="s">
        <v>901</v>
      </c>
      <c r="D39">
        <v>0</v>
      </c>
      <c r="E39">
        <v>0</v>
      </c>
    </row>
    <row r="40" spans="1:5">
      <c r="A40" t="s">
        <v>920</v>
      </c>
      <c r="B40" t="s">
        <v>948</v>
      </c>
      <c r="C40" t="s">
        <v>902</v>
      </c>
      <c r="D40">
        <v>1</v>
      </c>
      <c r="E40">
        <v>0.01234567901234568</v>
      </c>
    </row>
    <row r="41" spans="1:5">
      <c r="A41" t="s">
        <v>828</v>
      </c>
      <c r="B41" t="s">
        <v>949</v>
      </c>
      <c r="C41" t="s">
        <v>900</v>
      </c>
      <c r="D41">
        <v>0</v>
      </c>
      <c r="E41">
        <v>0</v>
      </c>
    </row>
    <row r="42" spans="1:5">
      <c r="A42" t="s">
        <v>828</v>
      </c>
      <c r="B42" t="s">
        <v>949</v>
      </c>
      <c r="C42" t="s">
        <v>901</v>
      </c>
      <c r="D42">
        <v>1</v>
      </c>
      <c r="E42">
        <v>0.01176470588235294</v>
      </c>
    </row>
    <row r="43" spans="1:5">
      <c r="A43" t="s">
        <v>828</v>
      </c>
      <c r="B43" t="s">
        <v>949</v>
      </c>
      <c r="C43" t="s">
        <v>902</v>
      </c>
      <c r="D43">
        <v>0</v>
      </c>
      <c r="E43">
        <v>0</v>
      </c>
    </row>
    <row r="44" spans="1:5">
      <c r="A44" t="s">
        <v>801</v>
      </c>
      <c r="B44" t="s">
        <v>950</v>
      </c>
      <c r="C44" t="s">
        <v>900</v>
      </c>
      <c r="D44">
        <v>1</v>
      </c>
      <c r="E44">
        <v>0.008333333333333333</v>
      </c>
    </row>
    <row r="45" spans="1:5">
      <c r="A45" t="s">
        <v>801</v>
      </c>
      <c r="B45" t="s">
        <v>950</v>
      </c>
      <c r="C45" t="s">
        <v>901</v>
      </c>
      <c r="D45">
        <v>1</v>
      </c>
      <c r="E45">
        <v>0.01136363636363636</v>
      </c>
    </row>
    <row r="46" spans="1:5">
      <c r="A46" t="s">
        <v>801</v>
      </c>
      <c r="B46" t="s">
        <v>950</v>
      </c>
      <c r="C46" t="s">
        <v>902</v>
      </c>
      <c r="D46">
        <v>0</v>
      </c>
      <c r="E46">
        <v>0</v>
      </c>
    </row>
    <row r="47" spans="1:5">
      <c r="A47" t="s">
        <v>570</v>
      </c>
      <c r="B47" t="s">
        <v>951</v>
      </c>
      <c r="C47" t="s">
        <v>900</v>
      </c>
      <c r="D47">
        <v>0</v>
      </c>
      <c r="E47">
        <v>0</v>
      </c>
    </row>
    <row r="48" spans="1:5">
      <c r="A48" t="s">
        <v>570</v>
      </c>
      <c r="B48" t="s">
        <v>951</v>
      </c>
      <c r="C48" t="s">
        <v>901</v>
      </c>
      <c r="D48">
        <v>2</v>
      </c>
      <c r="E48">
        <v>0.02197802197802198</v>
      </c>
    </row>
    <row r="49" spans="1:5">
      <c r="A49" t="s">
        <v>570</v>
      </c>
      <c r="B49" t="s">
        <v>951</v>
      </c>
      <c r="C49" t="s">
        <v>902</v>
      </c>
      <c r="D49">
        <v>1</v>
      </c>
      <c r="E49">
        <v>0.01111111111111111</v>
      </c>
    </row>
    <row r="50" spans="1:5">
      <c r="A50" t="s">
        <v>921</v>
      </c>
      <c r="B50" t="s">
        <v>952</v>
      </c>
      <c r="C50" t="s">
        <v>900</v>
      </c>
      <c r="D50">
        <v>0</v>
      </c>
      <c r="E50">
        <v>0</v>
      </c>
    </row>
    <row r="51" spans="1:5">
      <c r="A51" t="s">
        <v>921</v>
      </c>
      <c r="B51" t="s">
        <v>952</v>
      </c>
      <c r="C51" t="s">
        <v>901</v>
      </c>
      <c r="D51">
        <v>1</v>
      </c>
      <c r="E51">
        <v>0.01</v>
      </c>
    </row>
    <row r="52" spans="1:5">
      <c r="A52" t="s">
        <v>921</v>
      </c>
      <c r="B52" t="s">
        <v>952</v>
      </c>
      <c r="C52" t="s">
        <v>902</v>
      </c>
      <c r="D52">
        <v>0</v>
      </c>
      <c r="E52">
        <v>0</v>
      </c>
    </row>
    <row r="53" spans="1:5">
      <c r="A53" t="s">
        <v>652</v>
      </c>
      <c r="B53" t="s">
        <v>953</v>
      </c>
      <c r="C53" t="s">
        <v>900</v>
      </c>
      <c r="D53">
        <v>0</v>
      </c>
      <c r="E53">
        <v>0</v>
      </c>
    </row>
    <row r="54" spans="1:5">
      <c r="A54" t="s">
        <v>652</v>
      </c>
      <c r="B54" t="s">
        <v>953</v>
      </c>
      <c r="C54" t="s">
        <v>901</v>
      </c>
      <c r="D54">
        <v>0</v>
      </c>
      <c r="E54">
        <v>0</v>
      </c>
    </row>
    <row r="55" spans="1:5">
      <c r="A55" t="s">
        <v>652</v>
      </c>
      <c r="B55" t="s">
        <v>953</v>
      </c>
      <c r="C55" t="s">
        <v>902</v>
      </c>
      <c r="D55">
        <v>1</v>
      </c>
      <c r="E55">
        <v>0.009803921568627451</v>
      </c>
    </row>
    <row r="56" spans="1:5">
      <c r="A56" t="s">
        <v>922</v>
      </c>
      <c r="B56" t="s">
        <v>954</v>
      </c>
      <c r="C56" t="s">
        <v>900</v>
      </c>
      <c r="D56">
        <v>1</v>
      </c>
      <c r="E56">
        <v>0.007194244604316547</v>
      </c>
    </row>
    <row r="57" spans="1:5">
      <c r="A57" t="s">
        <v>922</v>
      </c>
      <c r="B57" t="s">
        <v>954</v>
      </c>
      <c r="C57" t="s">
        <v>901</v>
      </c>
      <c r="D57">
        <v>1</v>
      </c>
      <c r="E57">
        <v>0.009259259259259259</v>
      </c>
    </row>
    <row r="58" spans="1:5">
      <c r="A58" t="s">
        <v>922</v>
      </c>
      <c r="B58" t="s">
        <v>954</v>
      </c>
      <c r="C58" t="s">
        <v>902</v>
      </c>
      <c r="D58">
        <v>0</v>
      </c>
      <c r="E58">
        <v>0</v>
      </c>
    </row>
    <row r="59" spans="1:5">
      <c r="A59" t="s">
        <v>647</v>
      </c>
      <c r="B59" t="s">
        <v>955</v>
      </c>
      <c r="C59" t="s">
        <v>900</v>
      </c>
      <c r="D59">
        <v>0</v>
      </c>
      <c r="E59">
        <v>0</v>
      </c>
    </row>
    <row r="60" spans="1:5">
      <c r="A60" t="s">
        <v>647</v>
      </c>
      <c r="B60" t="s">
        <v>955</v>
      </c>
      <c r="C60" t="s">
        <v>901</v>
      </c>
      <c r="D60">
        <v>0</v>
      </c>
      <c r="E60">
        <v>0</v>
      </c>
    </row>
    <row r="61" spans="1:5">
      <c r="A61" t="s">
        <v>647</v>
      </c>
      <c r="B61" t="s">
        <v>955</v>
      </c>
      <c r="C61" t="s">
        <v>902</v>
      </c>
      <c r="D61">
        <v>2</v>
      </c>
      <c r="E61">
        <v>0.01652892561983471</v>
      </c>
    </row>
    <row r="62" spans="1:5">
      <c r="A62" t="s">
        <v>569</v>
      </c>
      <c r="B62" t="s">
        <v>956</v>
      </c>
      <c r="C62" t="s">
        <v>900</v>
      </c>
      <c r="D62">
        <v>0</v>
      </c>
      <c r="E62">
        <v>0</v>
      </c>
    </row>
    <row r="63" spans="1:5">
      <c r="A63" t="s">
        <v>569</v>
      </c>
      <c r="B63" t="s">
        <v>956</v>
      </c>
      <c r="C63" t="s">
        <v>901</v>
      </c>
      <c r="D63">
        <v>2</v>
      </c>
      <c r="E63">
        <v>0.01639344262295082</v>
      </c>
    </row>
    <row r="64" spans="1:5">
      <c r="A64" t="s">
        <v>569</v>
      </c>
      <c r="B64" t="s">
        <v>956</v>
      </c>
      <c r="C64" t="s">
        <v>902</v>
      </c>
      <c r="D64">
        <v>1</v>
      </c>
      <c r="E64">
        <v>0.008</v>
      </c>
    </row>
    <row r="65" spans="1:5">
      <c r="A65" t="s">
        <v>923</v>
      </c>
      <c r="B65" t="s">
        <v>957</v>
      </c>
      <c r="C65" t="s">
        <v>900</v>
      </c>
      <c r="D65">
        <v>0</v>
      </c>
      <c r="E65">
        <v>0</v>
      </c>
    </row>
    <row r="66" spans="1:5">
      <c r="A66" t="s">
        <v>923</v>
      </c>
      <c r="B66" t="s">
        <v>957</v>
      </c>
      <c r="C66" t="s">
        <v>901</v>
      </c>
      <c r="D66">
        <v>2</v>
      </c>
      <c r="E66">
        <v>0.01574803149606299</v>
      </c>
    </row>
    <row r="67" spans="1:5">
      <c r="A67" t="s">
        <v>923</v>
      </c>
      <c r="B67" t="s">
        <v>957</v>
      </c>
      <c r="C67" t="s">
        <v>902</v>
      </c>
      <c r="D67">
        <v>0</v>
      </c>
      <c r="E67">
        <v>0</v>
      </c>
    </row>
    <row r="68" spans="1:5">
      <c r="A68" t="s">
        <v>644</v>
      </c>
      <c r="B68" t="s">
        <v>958</v>
      </c>
      <c r="C68" t="s">
        <v>900</v>
      </c>
      <c r="D68">
        <v>0</v>
      </c>
      <c r="E68">
        <v>0</v>
      </c>
    </row>
    <row r="69" spans="1:5">
      <c r="A69" t="s">
        <v>644</v>
      </c>
      <c r="B69" t="s">
        <v>958</v>
      </c>
      <c r="C69" t="s">
        <v>901</v>
      </c>
      <c r="D69">
        <v>1</v>
      </c>
      <c r="E69">
        <v>0.007692307692307693</v>
      </c>
    </row>
    <row r="70" spans="1:5">
      <c r="A70" t="s">
        <v>644</v>
      </c>
      <c r="B70" t="s">
        <v>958</v>
      </c>
      <c r="C70" t="s">
        <v>902</v>
      </c>
      <c r="D70">
        <v>2</v>
      </c>
      <c r="E70">
        <v>0.01428571428571429</v>
      </c>
    </row>
    <row r="71" spans="1:5">
      <c r="A71" t="s">
        <v>924</v>
      </c>
      <c r="B71" t="s">
        <v>959</v>
      </c>
      <c r="C71" t="s">
        <v>900</v>
      </c>
      <c r="D71">
        <v>0</v>
      </c>
      <c r="E71">
        <v>0</v>
      </c>
    </row>
    <row r="72" spans="1:5">
      <c r="A72" t="s">
        <v>924</v>
      </c>
      <c r="B72" t="s">
        <v>959</v>
      </c>
      <c r="C72" t="s">
        <v>901</v>
      </c>
      <c r="D72">
        <v>1</v>
      </c>
      <c r="E72">
        <v>0.007462686567164179</v>
      </c>
    </row>
    <row r="73" spans="1:5">
      <c r="A73" t="s">
        <v>924</v>
      </c>
      <c r="B73" t="s">
        <v>959</v>
      </c>
      <c r="C73" t="s">
        <v>902</v>
      </c>
      <c r="D73">
        <v>0</v>
      </c>
      <c r="E73">
        <v>0</v>
      </c>
    </row>
    <row r="74" spans="1:5">
      <c r="A74" t="s">
        <v>925</v>
      </c>
      <c r="B74" t="s">
        <v>960</v>
      </c>
      <c r="C74" t="s">
        <v>900</v>
      </c>
      <c r="D74">
        <v>0</v>
      </c>
      <c r="E74">
        <v>0</v>
      </c>
    </row>
    <row r="75" spans="1:5">
      <c r="A75" t="s">
        <v>925</v>
      </c>
      <c r="B75" t="s">
        <v>960</v>
      </c>
      <c r="C75" t="s">
        <v>901</v>
      </c>
      <c r="D75">
        <v>1</v>
      </c>
      <c r="E75">
        <v>0.007142857142857143</v>
      </c>
    </row>
    <row r="76" spans="1:5">
      <c r="A76" t="s">
        <v>925</v>
      </c>
      <c r="B76" t="s">
        <v>960</v>
      </c>
      <c r="C76" t="s">
        <v>902</v>
      </c>
      <c r="D76">
        <v>0</v>
      </c>
      <c r="E76">
        <v>0</v>
      </c>
    </row>
    <row r="77" spans="1:5">
      <c r="A77" t="s">
        <v>926</v>
      </c>
      <c r="B77" t="s">
        <v>961</v>
      </c>
      <c r="C77" t="s">
        <v>900</v>
      </c>
      <c r="D77">
        <v>3</v>
      </c>
      <c r="E77">
        <v>0.01595744680851064</v>
      </c>
    </row>
    <row r="78" spans="1:5">
      <c r="A78" t="s">
        <v>926</v>
      </c>
      <c r="B78" t="s">
        <v>961</v>
      </c>
      <c r="C78" t="s">
        <v>901</v>
      </c>
      <c r="D78">
        <v>2</v>
      </c>
      <c r="E78">
        <v>0.01438848920863309</v>
      </c>
    </row>
    <row r="79" spans="1:5">
      <c r="A79" t="s">
        <v>926</v>
      </c>
      <c r="B79" t="s">
        <v>961</v>
      </c>
      <c r="C79" t="s">
        <v>902</v>
      </c>
      <c r="D79">
        <v>0</v>
      </c>
      <c r="E79">
        <v>0</v>
      </c>
    </row>
    <row r="80" spans="1:5">
      <c r="A80" t="s">
        <v>927</v>
      </c>
      <c r="B80" t="s">
        <v>962</v>
      </c>
      <c r="C80" t="s">
        <v>900</v>
      </c>
      <c r="D80">
        <v>0</v>
      </c>
      <c r="E80">
        <v>0</v>
      </c>
    </row>
    <row r="81" spans="1:5">
      <c r="A81" t="s">
        <v>927</v>
      </c>
      <c r="B81" t="s">
        <v>962</v>
      </c>
      <c r="C81" t="s">
        <v>901</v>
      </c>
      <c r="D81">
        <v>1</v>
      </c>
      <c r="E81">
        <v>0.0072992700729927</v>
      </c>
    </row>
    <row r="82" spans="1:5">
      <c r="A82" t="s">
        <v>927</v>
      </c>
      <c r="B82" t="s">
        <v>962</v>
      </c>
      <c r="C82" t="s">
        <v>902</v>
      </c>
      <c r="D82">
        <v>0</v>
      </c>
      <c r="E82">
        <v>0</v>
      </c>
    </row>
    <row r="83" spans="1:5">
      <c r="A83" t="s">
        <v>928</v>
      </c>
      <c r="B83" t="s">
        <v>963</v>
      </c>
      <c r="C83" t="s">
        <v>900</v>
      </c>
      <c r="D83">
        <v>0</v>
      </c>
      <c r="E83">
        <v>0</v>
      </c>
    </row>
    <row r="84" spans="1:5">
      <c r="A84" t="s">
        <v>928</v>
      </c>
      <c r="B84" t="s">
        <v>963</v>
      </c>
      <c r="C84" t="s">
        <v>901</v>
      </c>
      <c r="D84">
        <v>3</v>
      </c>
      <c r="E84">
        <v>0.02205882352941177</v>
      </c>
    </row>
    <row r="85" spans="1:5">
      <c r="A85" t="s">
        <v>928</v>
      </c>
      <c r="B85" t="s">
        <v>963</v>
      </c>
      <c r="C85" t="s">
        <v>902</v>
      </c>
      <c r="D85">
        <v>0</v>
      </c>
      <c r="E85">
        <v>0</v>
      </c>
    </row>
    <row r="86" spans="1:5">
      <c r="A86" t="s">
        <v>929</v>
      </c>
      <c r="B86" t="s">
        <v>964</v>
      </c>
      <c r="C86" t="s">
        <v>900</v>
      </c>
      <c r="D86">
        <v>0</v>
      </c>
      <c r="E86">
        <v>0</v>
      </c>
    </row>
    <row r="87" spans="1:5">
      <c r="A87" t="s">
        <v>929</v>
      </c>
      <c r="B87" t="s">
        <v>964</v>
      </c>
      <c r="C87" t="s">
        <v>901</v>
      </c>
      <c r="D87">
        <v>1</v>
      </c>
      <c r="E87">
        <v>0.007518796992481203</v>
      </c>
    </row>
    <row r="88" spans="1:5">
      <c r="A88" t="s">
        <v>929</v>
      </c>
      <c r="B88" t="s">
        <v>964</v>
      </c>
      <c r="C88" t="s">
        <v>902</v>
      </c>
      <c r="D88">
        <v>1</v>
      </c>
      <c r="E88">
        <v>0.006802721088435374</v>
      </c>
    </row>
    <row r="89" spans="1:5">
      <c r="A89" t="s">
        <v>930</v>
      </c>
      <c r="B89" t="s">
        <v>965</v>
      </c>
      <c r="C89" t="s">
        <v>900</v>
      </c>
      <c r="D89">
        <v>0</v>
      </c>
      <c r="E89">
        <v>0</v>
      </c>
    </row>
    <row r="90" spans="1:5">
      <c r="A90" t="s">
        <v>930</v>
      </c>
      <c r="B90" t="s">
        <v>965</v>
      </c>
      <c r="C90" t="s">
        <v>901</v>
      </c>
      <c r="D90">
        <v>1</v>
      </c>
      <c r="E90">
        <v>0.007575757575757576</v>
      </c>
    </row>
    <row r="91" spans="1:5">
      <c r="A91" t="s">
        <v>930</v>
      </c>
      <c r="B91" t="s">
        <v>965</v>
      </c>
      <c r="C91" t="s">
        <v>902</v>
      </c>
      <c r="D91">
        <v>0</v>
      </c>
      <c r="E91">
        <v>0</v>
      </c>
    </row>
    <row r="92" spans="1:5">
      <c r="A92" t="s">
        <v>931</v>
      </c>
      <c r="B92" t="s">
        <v>966</v>
      </c>
      <c r="C92" t="s">
        <v>900</v>
      </c>
      <c r="D92">
        <v>0</v>
      </c>
      <c r="E92">
        <v>0</v>
      </c>
    </row>
    <row r="93" spans="1:5">
      <c r="A93" t="s">
        <v>931</v>
      </c>
      <c r="B93" t="s">
        <v>966</v>
      </c>
      <c r="C93" t="s">
        <v>901</v>
      </c>
      <c r="D93">
        <v>3</v>
      </c>
      <c r="E93">
        <v>0.02290076335877863</v>
      </c>
    </row>
    <row r="94" spans="1:5">
      <c r="A94" t="s">
        <v>931</v>
      </c>
      <c r="B94" t="s">
        <v>966</v>
      </c>
      <c r="C94" t="s">
        <v>902</v>
      </c>
      <c r="D94">
        <v>0</v>
      </c>
      <c r="E94">
        <v>0</v>
      </c>
    </row>
    <row r="95" spans="1:5">
      <c r="A95" t="s">
        <v>932</v>
      </c>
      <c r="B95" t="s">
        <v>967</v>
      </c>
      <c r="C95" t="s">
        <v>900</v>
      </c>
      <c r="D95">
        <v>0</v>
      </c>
      <c r="E95">
        <v>0</v>
      </c>
    </row>
    <row r="96" spans="1:5">
      <c r="A96" t="s">
        <v>932</v>
      </c>
      <c r="B96" t="s">
        <v>967</v>
      </c>
      <c r="C96" t="s">
        <v>901</v>
      </c>
      <c r="D96">
        <v>0</v>
      </c>
      <c r="E96">
        <v>0</v>
      </c>
    </row>
    <row r="97" spans="1:5">
      <c r="A97" t="s">
        <v>932</v>
      </c>
      <c r="B97" t="s">
        <v>967</v>
      </c>
      <c r="C97" t="s">
        <v>902</v>
      </c>
      <c r="D97">
        <v>0</v>
      </c>
      <c r="E97">
        <v>0</v>
      </c>
    </row>
    <row r="98" spans="1:5">
      <c r="A98" t="s">
        <v>933</v>
      </c>
      <c r="B98" t="s">
        <v>968</v>
      </c>
      <c r="C98" t="s">
        <v>900</v>
      </c>
      <c r="D98">
        <v>0</v>
      </c>
      <c r="E98">
        <v>0</v>
      </c>
    </row>
    <row r="99" spans="1:5">
      <c r="A99" t="s">
        <v>933</v>
      </c>
      <c r="B99" t="s">
        <v>968</v>
      </c>
      <c r="C99" t="s">
        <v>901</v>
      </c>
      <c r="D99">
        <v>1</v>
      </c>
      <c r="E99">
        <v>0.0078125</v>
      </c>
    </row>
    <row r="100" spans="1:5">
      <c r="A100" t="s">
        <v>933</v>
      </c>
      <c r="B100" t="s">
        <v>968</v>
      </c>
      <c r="C100" t="s">
        <v>902</v>
      </c>
      <c r="D100">
        <v>1</v>
      </c>
      <c r="E100">
        <v>0.00684931506849315</v>
      </c>
    </row>
    <row r="101" spans="1:5">
      <c r="A101" t="s">
        <v>934</v>
      </c>
      <c r="B101" t="s">
        <v>969</v>
      </c>
      <c r="C101" t="s">
        <v>900</v>
      </c>
      <c r="D101">
        <v>0</v>
      </c>
      <c r="E101">
        <v>0</v>
      </c>
    </row>
    <row r="102" spans="1:5">
      <c r="A102" t="s">
        <v>934</v>
      </c>
      <c r="B102" t="s">
        <v>969</v>
      </c>
      <c r="C102" t="s">
        <v>901</v>
      </c>
      <c r="D102">
        <v>0</v>
      </c>
      <c r="E102">
        <v>0</v>
      </c>
    </row>
    <row r="103" spans="1:5">
      <c r="A103" t="s">
        <v>934</v>
      </c>
      <c r="B103" t="s">
        <v>969</v>
      </c>
      <c r="C103" t="s">
        <v>902</v>
      </c>
      <c r="D103">
        <v>0</v>
      </c>
      <c r="E10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07"/>
  <sheetViews>
    <sheetView workbookViewId="0"/>
  </sheetViews>
  <sheetFormatPr defaultRowHeight="15"/>
  <sheetData>
    <row r="1" spans="1:5">
      <c r="A1" t="s">
        <v>912</v>
      </c>
      <c r="B1" t="s">
        <v>935</v>
      </c>
      <c r="C1" t="s">
        <v>978</v>
      </c>
      <c r="D1" t="s">
        <v>979</v>
      </c>
      <c r="E1" t="s">
        <v>980</v>
      </c>
    </row>
    <row r="2" spans="1:5">
      <c r="A2" t="s">
        <v>823</v>
      </c>
      <c r="B2" t="s">
        <v>936</v>
      </c>
      <c r="C2" t="s">
        <v>900</v>
      </c>
      <c r="D2" t="s">
        <v>911</v>
      </c>
      <c r="E2">
        <v>1</v>
      </c>
    </row>
    <row r="3" spans="1:5">
      <c r="A3" t="s">
        <v>823</v>
      </c>
      <c r="B3" t="s">
        <v>936</v>
      </c>
      <c r="C3" t="s">
        <v>900</v>
      </c>
      <c r="D3" t="s">
        <v>908</v>
      </c>
      <c r="E3">
        <v>1</v>
      </c>
    </row>
    <row r="4" spans="1:5">
      <c r="A4" t="s">
        <v>823</v>
      </c>
      <c r="B4" t="s">
        <v>936</v>
      </c>
      <c r="C4" t="s">
        <v>900</v>
      </c>
      <c r="D4" t="s">
        <v>909</v>
      </c>
      <c r="E4">
        <v>6</v>
      </c>
    </row>
    <row r="5" spans="1:5">
      <c r="A5" t="s">
        <v>823</v>
      </c>
      <c r="B5" t="s">
        <v>936</v>
      </c>
      <c r="C5" t="s">
        <v>901</v>
      </c>
      <c r="D5" t="s">
        <v>911</v>
      </c>
      <c r="E5">
        <v>3</v>
      </c>
    </row>
    <row r="6" spans="1:5">
      <c r="A6" t="s">
        <v>823</v>
      </c>
      <c r="B6" t="s">
        <v>936</v>
      </c>
      <c r="C6" t="s">
        <v>901</v>
      </c>
      <c r="D6" t="s">
        <v>908</v>
      </c>
      <c r="E6">
        <v>2</v>
      </c>
    </row>
    <row r="7" spans="1:5">
      <c r="A7" t="s">
        <v>823</v>
      </c>
      <c r="B7" t="s">
        <v>936</v>
      </c>
      <c r="C7" t="s">
        <v>901</v>
      </c>
      <c r="D7" t="s">
        <v>909</v>
      </c>
      <c r="E7">
        <v>3</v>
      </c>
    </row>
    <row r="8" spans="1:5">
      <c r="A8" t="s">
        <v>823</v>
      </c>
      <c r="B8" t="s">
        <v>936</v>
      </c>
      <c r="C8" t="s">
        <v>902</v>
      </c>
      <c r="D8" t="s">
        <v>911</v>
      </c>
      <c r="E8">
        <v>0</v>
      </c>
    </row>
    <row r="9" spans="1:5">
      <c r="A9" t="s">
        <v>823</v>
      </c>
      <c r="B9" t="s">
        <v>936</v>
      </c>
      <c r="C9" t="s">
        <v>902</v>
      </c>
      <c r="D9" t="s">
        <v>908</v>
      </c>
      <c r="E9">
        <v>2</v>
      </c>
    </row>
    <row r="10" spans="1:5">
      <c r="A10" t="s">
        <v>823</v>
      </c>
      <c r="B10" t="s">
        <v>936</v>
      </c>
      <c r="C10" t="s">
        <v>902</v>
      </c>
      <c r="D10" t="s">
        <v>909</v>
      </c>
      <c r="E10">
        <v>6</v>
      </c>
    </row>
    <row r="11" spans="1:5">
      <c r="A11" t="s">
        <v>913</v>
      </c>
      <c r="B11" t="s">
        <v>937</v>
      </c>
      <c r="C11" t="s">
        <v>900</v>
      </c>
      <c r="D11" t="s">
        <v>911</v>
      </c>
      <c r="E11">
        <v>1</v>
      </c>
    </row>
    <row r="12" spans="1:5">
      <c r="A12" t="s">
        <v>913</v>
      </c>
      <c r="B12" t="s">
        <v>937</v>
      </c>
      <c r="C12" t="s">
        <v>900</v>
      </c>
      <c r="D12" t="s">
        <v>908</v>
      </c>
      <c r="E12">
        <v>1</v>
      </c>
    </row>
    <row r="13" spans="1:5">
      <c r="A13" t="s">
        <v>913</v>
      </c>
      <c r="B13" t="s">
        <v>937</v>
      </c>
      <c r="C13" t="s">
        <v>900</v>
      </c>
      <c r="D13" t="s">
        <v>909</v>
      </c>
      <c r="E13">
        <v>13</v>
      </c>
    </row>
    <row r="14" spans="1:5">
      <c r="A14" t="s">
        <v>913</v>
      </c>
      <c r="B14" t="s">
        <v>937</v>
      </c>
      <c r="C14" t="s">
        <v>901</v>
      </c>
      <c r="D14" t="s">
        <v>911</v>
      </c>
      <c r="E14">
        <v>4</v>
      </c>
    </row>
    <row r="15" spans="1:5">
      <c r="A15" t="s">
        <v>913</v>
      </c>
      <c r="B15" t="s">
        <v>937</v>
      </c>
      <c r="C15" t="s">
        <v>901</v>
      </c>
      <c r="D15" t="s">
        <v>908</v>
      </c>
      <c r="E15">
        <v>3</v>
      </c>
    </row>
    <row r="16" spans="1:5">
      <c r="A16" t="s">
        <v>913</v>
      </c>
      <c r="B16" t="s">
        <v>937</v>
      </c>
      <c r="C16" t="s">
        <v>901</v>
      </c>
      <c r="D16" t="s">
        <v>909</v>
      </c>
      <c r="E16">
        <v>5</v>
      </c>
    </row>
    <row r="17" spans="1:5">
      <c r="A17" t="s">
        <v>913</v>
      </c>
      <c r="B17" t="s">
        <v>937</v>
      </c>
      <c r="C17" t="s">
        <v>902</v>
      </c>
      <c r="D17" t="s">
        <v>911</v>
      </c>
      <c r="E17">
        <v>2</v>
      </c>
    </row>
    <row r="18" spans="1:5">
      <c r="A18" t="s">
        <v>913</v>
      </c>
      <c r="B18" t="s">
        <v>937</v>
      </c>
      <c r="C18" t="s">
        <v>902</v>
      </c>
      <c r="D18" t="s">
        <v>908</v>
      </c>
      <c r="E18">
        <v>4</v>
      </c>
    </row>
    <row r="19" spans="1:5">
      <c r="A19" t="s">
        <v>913</v>
      </c>
      <c r="B19" t="s">
        <v>937</v>
      </c>
      <c r="C19" t="s">
        <v>902</v>
      </c>
      <c r="D19" t="s">
        <v>909</v>
      </c>
      <c r="E19">
        <v>10</v>
      </c>
    </row>
    <row r="20" spans="1:5">
      <c r="A20" t="s">
        <v>914</v>
      </c>
      <c r="B20" t="s">
        <v>938</v>
      </c>
      <c r="C20" t="s">
        <v>900</v>
      </c>
      <c r="D20" t="s">
        <v>911</v>
      </c>
      <c r="E20">
        <v>3</v>
      </c>
    </row>
    <row r="21" spans="1:5">
      <c r="A21" t="s">
        <v>914</v>
      </c>
      <c r="B21" t="s">
        <v>938</v>
      </c>
      <c r="C21" t="s">
        <v>900</v>
      </c>
      <c r="D21" t="s">
        <v>908</v>
      </c>
      <c r="E21">
        <v>4</v>
      </c>
    </row>
    <row r="22" spans="1:5">
      <c r="A22" t="s">
        <v>914</v>
      </c>
      <c r="B22" t="s">
        <v>938</v>
      </c>
      <c r="C22" t="s">
        <v>900</v>
      </c>
      <c r="D22" t="s">
        <v>909</v>
      </c>
      <c r="E22">
        <v>16</v>
      </c>
    </row>
    <row r="23" spans="1:5">
      <c r="A23" t="s">
        <v>914</v>
      </c>
      <c r="B23" t="s">
        <v>938</v>
      </c>
      <c r="C23" t="s">
        <v>901</v>
      </c>
      <c r="D23" t="s">
        <v>911</v>
      </c>
      <c r="E23">
        <v>7</v>
      </c>
    </row>
    <row r="24" spans="1:5">
      <c r="A24" t="s">
        <v>914</v>
      </c>
      <c r="B24" t="s">
        <v>938</v>
      </c>
      <c r="C24" t="s">
        <v>901</v>
      </c>
      <c r="D24" t="s">
        <v>908</v>
      </c>
      <c r="E24">
        <v>4</v>
      </c>
    </row>
    <row r="25" spans="1:5">
      <c r="A25" t="s">
        <v>914</v>
      </c>
      <c r="B25" t="s">
        <v>938</v>
      </c>
      <c r="C25" t="s">
        <v>901</v>
      </c>
      <c r="D25" t="s">
        <v>909</v>
      </c>
      <c r="E25">
        <v>7</v>
      </c>
    </row>
    <row r="26" spans="1:5">
      <c r="A26" t="s">
        <v>914</v>
      </c>
      <c r="B26" t="s">
        <v>938</v>
      </c>
      <c r="C26" t="s">
        <v>902</v>
      </c>
      <c r="D26" t="s">
        <v>911</v>
      </c>
      <c r="E26">
        <v>4</v>
      </c>
    </row>
    <row r="27" spans="1:5">
      <c r="A27" t="s">
        <v>914</v>
      </c>
      <c r="B27" t="s">
        <v>938</v>
      </c>
      <c r="C27" t="s">
        <v>902</v>
      </c>
      <c r="D27" t="s">
        <v>908</v>
      </c>
      <c r="E27">
        <v>6</v>
      </c>
    </row>
    <row r="28" spans="1:5">
      <c r="A28" t="s">
        <v>914</v>
      </c>
      <c r="B28" t="s">
        <v>938</v>
      </c>
      <c r="C28" t="s">
        <v>902</v>
      </c>
      <c r="D28" t="s">
        <v>909</v>
      </c>
      <c r="E28">
        <v>15</v>
      </c>
    </row>
    <row r="29" spans="1:5">
      <c r="A29" t="s">
        <v>614</v>
      </c>
      <c r="B29" t="s">
        <v>939</v>
      </c>
      <c r="C29" t="s">
        <v>900</v>
      </c>
      <c r="D29" t="s">
        <v>911</v>
      </c>
      <c r="E29">
        <v>6</v>
      </c>
    </row>
    <row r="30" spans="1:5">
      <c r="A30" t="s">
        <v>614</v>
      </c>
      <c r="B30" t="s">
        <v>939</v>
      </c>
      <c r="C30" t="s">
        <v>900</v>
      </c>
      <c r="D30" t="s">
        <v>908</v>
      </c>
      <c r="E30">
        <v>7</v>
      </c>
    </row>
    <row r="31" spans="1:5">
      <c r="A31" t="s">
        <v>614</v>
      </c>
      <c r="B31" t="s">
        <v>939</v>
      </c>
      <c r="C31" t="s">
        <v>900</v>
      </c>
      <c r="D31" t="s">
        <v>909</v>
      </c>
      <c r="E31">
        <v>21</v>
      </c>
    </row>
    <row r="32" spans="1:5">
      <c r="A32" t="s">
        <v>614</v>
      </c>
      <c r="B32" t="s">
        <v>939</v>
      </c>
      <c r="C32" t="s">
        <v>901</v>
      </c>
      <c r="D32" t="s">
        <v>911</v>
      </c>
      <c r="E32">
        <v>8</v>
      </c>
    </row>
    <row r="33" spans="1:5">
      <c r="A33" t="s">
        <v>614</v>
      </c>
      <c r="B33" t="s">
        <v>939</v>
      </c>
      <c r="C33" t="s">
        <v>901</v>
      </c>
      <c r="D33" t="s">
        <v>908</v>
      </c>
      <c r="E33">
        <v>6</v>
      </c>
    </row>
    <row r="34" spans="1:5">
      <c r="A34" t="s">
        <v>614</v>
      </c>
      <c r="B34" t="s">
        <v>939</v>
      </c>
      <c r="C34" t="s">
        <v>901</v>
      </c>
      <c r="D34" t="s">
        <v>909</v>
      </c>
      <c r="E34">
        <v>11</v>
      </c>
    </row>
    <row r="35" spans="1:5">
      <c r="A35" t="s">
        <v>614</v>
      </c>
      <c r="B35" t="s">
        <v>939</v>
      </c>
      <c r="C35" t="s">
        <v>902</v>
      </c>
      <c r="D35" t="s">
        <v>911</v>
      </c>
      <c r="E35">
        <v>5</v>
      </c>
    </row>
    <row r="36" spans="1:5">
      <c r="A36" t="s">
        <v>614</v>
      </c>
      <c r="B36" t="s">
        <v>939</v>
      </c>
      <c r="C36" t="s">
        <v>902</v>
      </c>
      <c r="D36" t="s">
        <v>908</v>
      </c>
      <c r="E36">
        <v>6</v>
      </c>
    </row>
    <row r="37" spans="1:5">
      <c r="A37" t="s">
        <v>614</v>
      </c>
      <c r="B37" t="s">
        <v>939</v>
      </c>
      <c r="C37" t="s">
        <v>902</v>
      </c>
      <c r="D37" t="s">
        <v>909</v>
      </c>
      <c r="E37">
        <v>22</v>
      </c>
    </row>
    <row r="38" spans="1:5">
      <c r="A38" t="s">
        <v>808</v>
      </c>
      <c r="B38" t="s">
        <v>940</v>
      </c>
      <c r="C38" t="s">
        <v>900</v>
      </c>
      <c r="D38" t="s">
        <v>911</v>
      </c>
      <c r="E38">
        <v>7</v>
      </c>
    </row>
    <row r="39" spans="1:5">
      <c r="A39" t="s">
        <v>808</v>
      </c>
      <c r="B39" t="s">
        <v>940</v>
      </c>
      <c r="C39" t="s">
        <v>900</v>
      </c>
      <c r="D39" t="s">
        <v>908</v>
      </c>
      <c r="E39">
        <v>8</v>
      </c>
    </row>
    <row r="40" spans="1:5">
      <c r="A40" t="s">
        <v>808</v>
      </c>
      <c r="B40" t="s">
        <v>940</v>
      </c>
      <c r="C40" t="s">
        <v>900</v>
      </c>
      <c r="D40" t="s">
        <v>909</v>
      </c>
      <c r="E40">
        <v>27</v>
      </c>
    </row>
    <row r="41" spans="1:5">
      <c r="A41" t="s">
        <v>808</v>
      </c>
      <c r="B41" t="s">
        <v>940</v>
      </c>
      <c r="C41" t="s">
        <v>901</v>
      </c>
      <c r="D41" t="s">
        <v>911</v>
      </c>
      <c r="E41">
        <v>8</v>
      </c>
    </row>
    <row r="42" spans="1:5">
      <c r="A42" t="s">
        <v>808</v>
      </c>
      <c r="B42" t="s">
        <v>940</v>
      </c>
      <c r="C42" t="s">
        <v>901</v>
      </c>
      <c r="D42" t="s">
        <v>908</v>
      </c>
      <c r="E42">
        <v>6</v>
      </c>
    </row>
    <row r="43" spans="1:5">
      <c r="A43" t="s">
        <v>808</v>
      </c>
      <c r="B43" t="s">
        <v>940</v>
      </c>
      <c r="C43" t="s">
        <v>901</v>
      </c>
      <c r="D43" t="s">
        <v>909</v>
      </c>
      <c r="E43">
        <v>13</v>
      </c>
    </row>
    <row r="44" spans="1:5">
      <c r="A44" t="s">
        <v>808</v>
      </c>
      <c r="B44" t="s">
        <v>940</v>
      </c>
      <c r="C44" t="s">
        <v>902</v>
      </c>
      <c r="D44" t="s">
        <v>911</v>
      </c>
      <c r="E44">
        <v>7</v>
      </c>
    </row>
    <row r="45" spans="1:5">
      <c r="A45" t="s">
        <v>808</v>
      </c>
      <c r="B45" t="s">
        <v>940</v>
      </c>
      <c r="C45" t="s">
        <v>902</v>
      </c>
      <c r="D45" t="s">
        <v>908</v>
      </c>
      <c r="E45">
        <v>9</v>
      </c>
    </row>
    <row r="46" spans="1:5">
      <c r="A46" t="s">
        <v>808</v>
      </c>
      <c r="B46" t="s">
        <v>940</v>
      </c>
      <c r="C46" t="s">
        <v>902</v>
      </c>
      <c r="D46" t="s">
        <v>909</v>
      </c>
      <c r="E46">
        <v>29</v>
      </c>
    </row>
    <row r="47" spans="1:5">
      <c r="A47" t="s">
        <v>554</v>
      </c>
      <c r="B47" t="s">
        <v>941</v>
      </c>
      <c r="C47" t="s">
        <v>900</v>
      </c>
      <c r="D47" t="s">
        <v>911</v>
      </c>
      <c r="E47">
        <v>8</v>
      </c>
    </row>
    <row r="48" spans="1:5">
      <c r="A48" t="s">
        <v>554</v>
      </c>
      <c r="B48" t="s">
        <v>941</v>
      </c>
      <c r="C48" t="s">
        <v>900</v>
      </c>
      <c r="D48" t="s">
        <v>908</v>
      </c>
      <c r="E48">
        <v>9</v>
      </c>
    </row>
    <row r="49" spans="1:5">
      <c r="A49" t="s">
        <v>554</v>
      </c>
      <c r="B49" t="s">
        <v>941</v>
      </c>
      <c r="C49" t="s">
        <v>900</v>
      </c>
      <c r="D49" t="s">
        <v>909</v>
      </c>
      <c r="E49">
        <v>28</v>
      </c>
    </row>
    <row r="50" spans="1:5">
      <c r="A50" t="s">
        <v>554</v>
      </c>
      <c r="B50" t="s">
        <v>941</v>
      </c>
      <c r="C50" t="s">
        <v>901</v>
      </c>
      <c r="D50" t="s">
        <v>911</v>
      </c>
      <c r="E50">
        <v>9</v>
      </c>
    </row>
    <row r="51" spans="1:5">
      <c r="A51" t="s">
        <v>554</v>
      </c>
      <c r="B51" t="s">
        <v>941</v>
      </c>
      <c r="C51" t="s">
        <v>901</v>
      </c>
      <c r="D51" t="s">
        <v>908</v>
      </c>
      <c r="E51">
        <v>10</v>
      </c>
    </row>
    <row r="52" spans="1:5">
      <c r="A52" t="s">
        <v>554</v>
      </c>
      <c r="B52" t="s">
        <v>941</v>
      </c>
      <c r="C52" t="s">
        <v>901</v>
      </c>
      <c r="D52" t="s">
        <v>909</v>
      </c>
      <c r="E52">
        <v>15</v>
      </c>
    </row>
    <row r="53" spans="1:5">
      <c r="A53" t="s">
        <v>554</v>
      </c>
      <c r="B53" t="s">
        <v>941</v>
      </c>
      <c r="C53" t="s">
        <v>902</v>
      </c>
      <c r="D53" t="s">
        <v>911</v>
      </c>
      <c r="E53">
        <v>7</v>
      </c>
    </row>
    <row r="54" spans="1:5">
      <c r="A54" t="s">
        <v>554</v>
      </c>
      <c r="B54" t="s">
        <v>941</v>
      </c>
      <c r="C54" t="s">
        <v>902</v>
      </c>
      <c r="D54" t="s">
        <v>908</v>
      </c>
      <c r="E54">
        <v>10</v>
      </c>
    </row>
    <row r="55" spans="1:5">
      <c r="A55" t="s">
        <v>554</v>
      </c>
      <c r="B55" t="s">
        <v>941</v>
      </c>
      <c r="C55" t="s">
        <v>902</v>
      </c>
      <c r="D55" t="s">
        <v>909</v>
      </c>
      <c r="E55">
        <v>28</v>
      </c>
    </row>
    <row r="56" spans="1:5">
      <c r="A56" t="s">
        <v>915</v>
      </c>
      <c r="B56" t="s">
        <v>942</v>
      </c>
      <c r="C56" t="s">
        <v>900</v>
      </c>
      <c r="D56" t="s">
        <v>911</v>
      </c>
      <c r="E56">
        <v>9</v>
      </c>
    </row>
    <row r="57" spans="1:5">
      <c r="A57" t="s">
        <v>915</v>
      </c>
      <c r="B57" t="s">
        <v>942</v>
      </c>
      <c r="C57" t="s">
        <v>900</v>
      </c>
      <c r="D57" t="s">
        <v>908</v>
      </c>
      <c r="E57">
        <v>11</v>
      </c>
    </row>
    <row r="58" spans="1:5">
      <c r="A58" t="s">
        <v>915</v>
      </c>
      <c r="B58" t="s">
        <v>942</v>
      </c>
      <c r="C58" t="s">
        <v>900</v>
      </c>
      <c r="D58" t="s">
        <v>909</v>
      </c>
      <c r="E58">
        <v>30</v>
      </c>
    </row>
    <row r="59" spans="1:5">
      <c r="A59" t="s">
        <v>915</v>
      </c>
      <c r="B59" t="s">
        <v>942</v>
      </c>
      <c r="C59" t="s">
        <v>901</v>
      </c>
      <c r="D59" t="s">
        <v>911</v>
      </c>
      <c r="E59">
        <v>11</v>
      </c>
    </row>
    <row r="60" spans="1:5">
      <c r="A60" t="s">
        <v>915</v>
      </c>
      <c r="B60" t="s">
        <v>942</v>
      </c>
      <c r="C60" t="s">
        <v>901</v>
      </c>
      <c r="D60" t="s">
        <v>908</v>
      </c>
      <c r="E60">
        <v>10</v>
      </c>
    </row>
    <row r="61" spans="1:5">
      <c r="A61" t="s">
        <v>915</v>
      </c>
      <c r="B61" t="s">
        <v>942</v>
      </c>
      <c r="C61" t="s">
        <v>901</v>
      </c>
      <c r="D61" t="s">
        <v>909</v>
      </c>
      <c r="E61">
        <v>20</v>
      </c>
    </row>
    <row r="62" spans="1:5">
      <c r="A62" t="s">
        <v>915</v>
      </c>
      <c r="B62" t="s">
        <v>942</v>
      </c>
      <c r="C62" t="s">
        <v>902</v>
      </c>
      <c r="D62" t="s">
        <v>911</v>
      </c>
      <c r="E62">
        <v>7</v>
      </c>
    </row>
    <row r="63" spans="1:5">
      <c r="A63" t="s">
        <v>915</v>
      </c>
      <c r="B63" t="s">
        <v>942</v>
      </c>
      <c r="C63" t="s">
        <v>902</v>
      </c>
      <c r="D63" t="s">
        <v>908</v>
      </c>
      <c r="E63">
        <v>12</v>
      </c>
    </row>
    <row r="64" spans="1:5">
      <c r="A64" t="s">
        <v>915</v>
      </c>
      <c r="B64" t="s">
        <v>942</v>
      </c>
      <c r="C64" t="s">
        <v>902</v>
      </c>
      <c r="D64" t="s">
        <v>909</v>
      </c>
      <c r="E64">
        <v>29</v>
      </c>
    </row>
    <row r="65" spans="1:5">
      <c r="A65" t="s">
        <v>916</v>
      </c>
      <c r="B65" t="s">
        <v>943</v>
      </c>
      <c r="C65" t="s">
        <v>900</v>
      </c>
      <c r="D65" t="s">
        <v>911</v>
      </c>
      <c r="E65">
        <v>12</v>
      </c>
    </row>
    <row r="66" spans="1:5">
      <c r="A66" t="s">
        <v>916</v>
      </c>
      <c r="B66" t="s">
        <v>943</v>
      </c>
      <c r="C66" t="s">
        <v>900</v>
      </c>
      <c r="D66" t="s">
        <v>908</v>
      </c>
      <c r="E66">
        <v>13</v>
      </c>
    </row>
    <row r="67" spans="1:5">
      <c r="A67" t="s">
        <v>916</v>
      </c>
      <c r="B67" t="s">
        <v>943</v>
      </c>
      <c r="C67" t="s">
        <v>900</v>
      </c>
      <c r="D67" t="s">
        <v>909</v>
      </c>
      <c r="E67">
        <v>36</v>
      </c>
    </row>
    <row r="68" spans="1:5">
      <c r="A68" t="s">
        <v>916</v>
      </c>
      <c r="B68" t="s">
        <v>943</v>
      </c>
      <c r="C68" t="s">
        <v>901</v>
      </c>
      <c r="D68" t="s">
        <v>911</v>
      </c>
      <c r="E68">
        <v>12</v>
      </c>
    </row>
    <row r="69" spans="1:5">
      <c r="A69" t="s">
        <v>916</v>
      </c>
      <c r="B69" t="s">
        <v>943</v>
      </c>
      <c r="C69" t="s">
        <v>901</v>
      </c>
      <c r="D69" t="s">
        <v>908</v>
      </c>
      <c r="E69">
        <v>11</v>
      </c>
    </row>
    <row r="70" spans="1:5">
      <c r="A70" t="s">
        <v>916</v>
      </c>
      <c r="B70" t="s">
        <v>943</v>
      </c>
      <c r="C70" t="s">
        <v>901</v>
      </c>
      <c r="D70" t="s">
        <v>909</v>
      </c>
      <c r="E70">
        <v>25</v>
      </c>
    </row>
    <row r="71" spans="1:5">
      <c r="A71" t="s">
        <v>916</v>
      </c>
      <c r="B71" t="s">
        <v>943</v>
      </c>
      <c r="C71" t="s">
        <v>902</v>
      </c>
      <c r="D71" t="s">
        <v>911</v>
      </c>
      <c r="E71">
        <v>8</v>
      </c>
    </row>
    <row r="72" spans="1:5">
      <c r="A72" t="s">
        <v>916</v>
      </c>
      <c r="B72" t="s">
        <v>943</v>
      </c>
      <c r="C72" t="s">
        <v>902</v>
      </c>
      <c r="D72" t="s">
        <v>908</v>
      </c>
      <c r="E72">
        <v>13</v>
      </c>
    </row>
    <row r="73" spans="1:5">
      <c r="A73" t="s">
        <v>916</v>
      </c>
      <c r="B73" t="s">
        <v>943</v>
      </c>
      <c r="C73" t="s">
        <v>902</v>
      </c>
      <c r="D73" t="s">
        <v>909</v>
      </c>
      <c r="E73">
        <v>31</v>
      </c>
    </row>
    <row r="74" spans="1:5">
      <c r="A74" t="s">
        <v>687</v>
      </c>
      <c r="B74" t="s">
        <v>944</v>
      </c>
      <c r="C74" t="s">
        <v>900</v>
      </c>
      <c r="D74" t="s">
        <v>911</v>
      </c>
      <c r="E74">
        <v>16</v>
      </c>
    </row>
    <row r="75" spans="1:5">
      <c r="A75" t="s">
        <v>687</v>
      </c>
      <c r="B75" t="s">
        <v>944</v>
      </c>
      <c r="C75" t="s">
        <v>900</v>
      </c>
      <c r="D75" t="s">
        <v>908</v>
      </c>
      <c r="E75">
        <v>14</v>
      </c>
    </row>
    <row r="76" spans="1:5">
      <c r="A76" t="s">
        <v>687</v>
      </c>
      <c r="B76" t="s">
        <v>944</v>
      </c>
      <c r="C76" t="s">
        <v>900</v>
      </c>
      <c r="D76" t="s">
        <v>909</v>
      </c>
      <c r="E76">
        <v>43</v>
      </c>
    </row>
    <row r="77" spans="1:5">
      <c r="A77" t="s">
        <v>687</v>
      </c>
      <c r="B77" t="s">
        <v>944</v>
      </c>
      <c r="C77" t="s">
        <v>901</v>
      </c>
      <c r="D77" t="s">
        <v>911</v>
      </c>
      <c r="E77">
        <v>14</v>
      </c>
    </row>
    <row r="78" spans="1:5">
      <c r="A78" t="s">
        <v>687</v>
      </c>
      <c r="B78" t="s">
        <v>944</v>
      </c>
      <c r="C78" t="s">
        <v>901</v>
      </c>
      <c r="D78" t="s">
        <v>908</v>
      </c>
      <c r="E78">
        <v>11</v>
      </c>
    </row>
    <row r="79" spans="1:5">
      <c r="A79" t="s">
        <v>687</v>
      </c>
      <c r="B79" t="s">
        <v>944</v>
      </c>
      <c r="C79" t="s">
        <v>901</v>
      </c>
      <c r="D79" t="s">
        <v>909</v>
      </c>
      <c r="E79">
        <v>29</v>
      </c>
    </row>
    <row r="80" spans="1:5">
      <c r="A80" t="s">
        <v>687</v>
      </c>
      <c r="B80" t="s">
        <v>944</v>
      </c>
      <c r="C80" t="s">
        <v>902</v>
      </c>
      <c r="D80" t="s">
        <v>911</v>
      </c>
      <c r="E80">
        <v>10</v>
      </c>
    </row>
    <row r="81" spans="1:5">
      <c r="A81" t="s">
        <v>687</v>
      </c>
      <c r="B81" t="s">
        <v>944</v>
      </c>
      <c r="C81" t="s">
        <v>902</v>
      </c>
      <c r="D81" t="s">
        <v>908</v>
      </c>
      <c r="E81">
        <v>13</v>
      </c>
    </row>
    <row r="82" spans="1:5">
      <c r="A82" t="s">
        <v>687</v>
      </c>
      <c r="B82" t="s">
        <v>944</v>
      </c>
      <c r="C82" t="s">
        <v>902</v>
      </c>
      <c r="D82" t="s">
        <v>909</v>
      </c>
      <c r="E82">
        <v>33</v>
      </c>
    </row>
    <row r="83" spans="1:5">
      <c r="A83" t="s">
        <v>917</v>
      </c>
      <c r="B83" t="s">
        <v>945</v>
      </c>
      <c r="C83" t="s">
        <v>900</v>
      </c>
      <c r="D83" t="s">
        <v>911</v>
      </c>
      <c r="E83">
        <v>18</v>
      </c>
    </row>
    <row r="84" spans="1:5">
      <c r="A84" t="s">
        <v>917</v>
      </c>
      <c r="B84" t="s">
        <v>945</v>
      </c>
      <c r="C84" t="s">
        <v>900</v>
      </c>
      <c r="D84" t="s">
        <v>908</v>
      </c>
      <c r="E84">
        <v>16</v>
      </c>
    </row>
    <row r="85" spans="1:5">
      <c r="A85" t="s">
        <v>917</v>
      </c>
      <c r="B85" t="s">
        <v>945</v>
      </c>
      <c r="C85" t="s">
        <v>900</v>
      </c>
      <c r="D85" t="s">
        <v>909</v>
      </c>
      <c r="E85">
        <v>49</v>
      </c>
    </row>
    <row r="86" spans="1:5">
      <c r="A86" t="s">
        <v>917</v>
      </c>
      <c r="B86" t="s">
        <v>945</v>
      </c>
      <c r="C86" t="s">
        <v>901</v>
      </c>
      <c r="D86" t="s">
        <v>911</v>
      </c>
      <c r="E86">
        <v>13</v>
      </c>
    </row>
    <row r="87" spans="1:5">
      <c r="A87" t="s">
        <v>917</v>
      </c>
      <c r="B87" t="s">
        <v>945</v>
      </c>
      <c r="C87" t="s">
        <v>901</v>
      </c>
      <c r="D87" t="s">
        <v>908</v>
      </c>
      <c r="E87">
        <v>14</v>
      </c>
    </row>
    <row r="88" spans="1:5">
      <c r="A88" t="s">
        <v>917</v>
      </c>
      <c r="B88" t="s">
        <v>945</v>
      </c>
      <c r="C88" t="s">
        <v>901</v>
      </c>
      <c r="D88" t="s">
        <v>909</v>
      </c>
      <c r="E88">
        <v>34</v>
      </c>
    </row>
    <row r="89" spans="1:5">
      <c r="A89" t="s">
        <v>917</v>
      </c>
      <c r="B89" t="s">
        <v>945</v>
      </c>
      <c r="C89" t="s">
        <v>902</v>
      </c>
      <c r="D89" t="s">
        <v>911</v>
      </c>
      <c r="E89">
        <v>10</v>
      </c>
    </row>
    <row r="90" spans="1:5">
      <c r="A90" t="s">
        <v>917</v>
      </c>
      <c r="B90" t="s">
        <v>945</v>
      </c>
      <c r="C90" t="s">
        <v>902</v>
      </c>
      <c r="D90" t="s">
        <v>908</v>
      </c>
      <c r="E90">
        <v>14</v>
      </c>
    </row>
    <row r="91" spans="1:5">
      <c r="A91" t="s">
        <v>917</v>
      </c>
      <c r="B91" t="s">
        <v>945</v>
      </c>
      <c r="C91" t="s">
        <v>902</v>
      </c>
      <c r="D91" t="s">
        <v>909</v>
      </c>
      <c r="E91">
        <v>37</v>
      </c>
    </row>
    <row r="92" spans="1:5">
      <c r="A92" t="s">
        <v>918</v>
      </c>
      <c r="B92" t="s">
        <v>946</v>
      </c>
      <c r="C92" t="s">
        <v>900</v>
      </c>
      <c r="D92" t="s">
        <v>911</v>
      </c>
      <c r="E92">
        <v>22</v>
      </c>
    </row>
    <row r="93" spans="1:5">
      <c r="A93" t="s">
        <v>918</v>
      </c>
      <c r="B93" t="s">
        <v>946</v>
      </c>
      <c r="C93" t="s">
        <v>900</v>
      </c>
      <c r="D93" t="s">
        <v>908</v>
      </c>
      <c r="E93">
        <v>18</v>
      </c>
    </row>
    <row r="94" spans="1:5">
      <c r="A94" t="s">
        <v>918</v>
      </c>
      <c r="B94" t="s">
        <v>946</v>
      </c>
      <c r="C94" t="s">
        <v>900</v>
      </c>
      <c r="D94" t="s">
        <v>909</v>
      </c>
      <c r="E94">
        <v>52</v>
      </c>
    </row>
    <row r="95" spans="1:5">
      <c r="A95" t="s">
        <v>918</v>
      </c>
      <c r="B95" t="s">
        <v>946</v>
      </c>
      <c r="C95" t="s">
        <v>901</v>
      </c>
      <c r="D95" t="s">
        <v>911</v>
      </c>
      <c r="E95">
        <v>15</v>
      </c>
    </row>
    <row r="96" spans="1:5">
      <c r="A96" t="s">
        <v>918</v>
      </c>
      <c r="B96" t="s">
        <v>946</v>
      </c>
      <c r="C96" t="s">
        <v>901</v>
      </c>
      <c r="D96" t="s">
        <v>908</v>
      </c>
      <c r="E96">
        <v>16</v>
      </c>
    </row>
    <row r="97" spans="1:5">
      <c r="A97" t="s">
        <v>918</v>
      </c>
      <c r="B97" t="s">
        <v>946</v>
      </c>
      <c r="C97" t="s">
        <v>901</v>
      </c>
      <c r="D97" t="s">
        <v>909</v>
      </c>
      <c r="E97">
        <v>40</v>
      </c>
    </row>
    <row r="98" spans="1:5">
      <c r="A98" t="s">
        <v>918</v>
      </c>
      <c r="B98" t="s">
        <v>946</v>
      </c>
      <c r="C98" t="s">
        <v>902</v>
      </c>
      <c r="D98" t="s">
        <v>911</v>
      </c>
      <c r="E98">
        <v>11</v>
      </c>
    </row>
    <row r="99" spans="1:5">
      <c r="A99" t="s">
        <v>918</v>
      </c>
      <c r="B99" t="s">
        <v>946</v>
      </c>
      <c r="C99" t="s">
        <v>902</v>
      </c>
      <c r="D99" t="s">
        <v>908</v>
      </c>
      <c r="E99">
        <v>16</v>
      </c>
    </row>
    <row r="100" spans="1:5">
      <c r="A100" t="s">
        <v>918</v>
      </c>
      <c r="B100" t="s">
        <v>946</v>
      </c>
      <c r="C100" t="s">
        <v>902</v>
      </c>
      <c r="D100" t="s">
        <v>909</v>
      </c>
      <c r="E100">
        <v>45</v>
      </c>
    </row>
    <row r="101" spans="1:5">
      <c r="A101" t="s">
        <v>919</v>
      </c>
      <c r="B101" t="s">
        <v>947</v>
      </c>
      <c r="C101" t="s">
        <v>900</v>
      </c>
      <c r="D101" t="s">
        <v>911</v>
      </c>
      <c r="E101">
        <v>22</v>
      </c>
    </row>
    <row r="102" spans="1:5">
      <c r="A102" t="s">
        <v>919</v>
      </c>
      <c r="B102" t="s">
        <v>947</v>
      </c>
      <c r="C102" t="s">
        <v>900</v>
      </c>
      <c r="D102" t="s">
        <v>908</v>
      </c>
      <c r="E102">
        <v>18</v>
      </c>
    </row>
    <row r="103" spans="1:5">
      <c r="A103" t="s">
        <v>919</v>
      </c>
      <c r="B103" t="s">
        <v>947</v>
      </c>
      <c r="C103" t="s">
        <v>900</v>
      </c>
      <c r="D103" t="s">
        <v>909</v>
      </c>
      <c r="E103">
        <v>59</v>
      </c>
    </row>
    <row r="104" spans="1:5">
      <c r="A104" t="s">
        <v>919</v>
      </c>
      <c r="B104" t="s">
        <v>947</v>
      </c>
      <c r="C104" t="s">
        <v>901</v>
      </c>
      <c r="D104" t="s">
        <v>911</v>
      </c>
      <c r="E104">
        <v>15</v>
      </c>
    </row>
    <row r="105" spans="1:5">
      <c r="A105" t="s">
        <v>919</v>
      </c>
      <c r="B105" t="s">
        <v>947</v>
      </c>
      <c r="C105" t="s">
        <v>901</v>
      </c>
      <c r="D105" t="s">
        <v>908</v>
      </c>
      <c r="E105">
        <v>17</v>
      </c>
    </row>
    <row r="106" spans="1:5">
      <c r="A106" t="s">
        <v>919</v>
      </c>
      <c r="B106" t="s">
        <v>947</v>
      </c>
      <c r="C106" t="s">
        <v>901</v>
      </c>
      <c r="D106" t="s">
        <v>909</v>
      </c>
      <c r="E106">
        <v>43</v>
      </c>
    </row>
    <row r="107" spans="1:5">
      <c r="A107" t="s">
        <v>919</v>
      </c>
      <c r="B107" t="s">
        <v>947</v>
      </c>
      <c r="C107" t="s">
        <v>902</v>
      </c>
      <c r="D107" t="s">
        <v>911</v>
      </c>
      <c r="E107">
        <v>12</v>
      </c>
    </row>
    <row r="108" spans="1:5">
      <c r="A108" t="s">
        <v>919</v>
      </c>
      <c r="B108" t="s">
        <v>947</v>
      </c>
      <c r="C108" t="s">
        <v>902</v>
      </c>
      <c r="D108" t="s">
        <v>908</v>
      </c>
      <c r="E108">
        <v>21</v>
      </c>
    </row>
    <row r="109" spans="1:5">
      <c r="A109" t="s">
        <v>919</v>
      </c>
      <c r="B109" t="s">
        <v>947</v>
      </c>
      <c r="C109" t="s">
        <v>902</v>
      </c>
      <c r="D109" t="s">
        <v>909</v>
      </c>
      <c r="E109">
        <v>48</v>
      </c>
    </row>
    <row r="110" spans="1:5">
      <c r="A110" t="s">
        <v>920</v>
      </c>
      <c r="B110" t="s">
        <v>948</v>
      </c>
      <c r="C110" t="s">
        <v>900</v>
      </c>
      <c r="D110" t="s">
        <v>911</v>
      </c>
      <c r="E110">
        <v>23</v>
      </c>
    </row>
    <row r="111" spans="1:5">
      <c r="A111" t="s">
        <v>920</v>
      </c>
      <c r="B111" t="s">
        <v>948</v>
      </c>
      <c r="C111" t="s">
        <v>900</v>
      </c>
      <c r="D111" t="s">
        <v>908</v>
      </c>
      <c r="E111">
        <v>20</v>
      </c>
    </row>
    <row r="112" spans="1:5">
      <c r="A112" t="s">
        <v>920</v>
      </c>
      <c r="B112" t="s">
        <v>948</v>
      </c>
      <c r="C112" t="s">
        <v>900</v>
      </c>
      <c r="D112" t="s">
        <v>909</v>
      </c>
      <c r="E112">
        <v>63</v>
      </c>
    </row>
    <row r="113" spans="1:5">
      <c r="A113" t="s">
        <v>920</v>
      </c>
      <c r="B113" t="s">
        <v>948</v>
      </c>
      <c r="C113" t="s">
        <v>901</v>
      </c>
      <c r="D113" t="s">
        <v>911</v>
      </c>
      <c r="E113">
        <v>15</v>
      </c>
    </row>
    <row r="114" spans="1:5">
      <c r="A114" t="s">
        <v>920</v>
      </c>
      <c r="B114" t="s">
        <v>948</v>
      </c>
      <c r="C114" t="s">
        <v>901</v>
      </c>
      <c r="D114" t="s">
        <v>908</v>
      </c>
      <c r="E114">
        <v>22</v>
      </c>
    </row>
    <row r="115" spans="1:5">
      <c r="A115" t="s">
        <v>920</v>
      </c>
      <c r="B115" t="s">
        <v>948</v>
      </c>
      <c r="C115" t="s">
        <v>901</v>
      </c>
      <c r="D115" t="s">
        <v>909</v>
      </c>
      <c r="E115">
        <v>48</v>
      </c>
    </row>
    <row r="116" spans="1:5">
      <c r="A116" t="s">
        <v>920</v>
      </c>
      <c r="B116" t="s">
        <v>948</v>
      </c>
      <c r="C116" t="s">
        <v>902</v>
      </c>
      <c r="D116" t="s">
        <v>911</v>
      </c>
      <c r="E116">
        <v>14</v>
      </c>
    </row>
    <row r="117" spans="1:5">
      <c r="A117" t="s">
        <v>920</v>
      </c>
      <c r="B117" t="s">
        <v>948</v>
      </c>
      <c r="C117" t="s">
        <v>902</v>
      </c>
      <c r="D117" t="s">
        <v>908</v>
      </c>
      <c r="E117">
        <v>22</v>
      </c>
    </row>
    <row r="118" spans="1:5">
      <c r="A118" t="s">
        <v>920</v>
      </c>
      <c r="B118" t="s">
        <v>948</v>
      </c>
      <c r="C118" t="s">
        <v>902</v>
      </c>
      <c r="D118" t="s">
        <v>909</v>
      </c>
      <c r="E118">
        <v>48</v>
      </c>
    </row>
    <row r="119" spans="1:5">
      <c r="A119" t="s">
        <v>828</v>
      </c>
      <c r="B119" t="s">
        <v>949</v>
      </c>
      <c r="C119" t="s">
        <v>900</v>
      </c>
      <c r="D119" t="s">
        <v>911</v>
      </c>
      <c r="E119">
        <v>25</v>
      </c>
    </row>
    <row r="120" spans="1:5">
      <c r="A120" t="s">
        <v>828</v>
      </c>
      <c r="B120" t="s">
        <v>949</v>
      </c>
      <c r="C120" t="s">
        <v>900</v>
      </c>
      <c r="D120" t="s">
        <v>908</v>
      </c>
      <c r="E120">
        <v>25</v>
      </c>
    </row>
    <row r="121" spans="1:5">
      <c r="A121" t="s">
        <v>828</v>
      </c>
      <c r="B121" t="s">
        <v>949</v>
      </c>
      <c r="C121" t="s">
        <v>900</v>
      </c>
      <c r="D121" t="s">
        <v>909</v>
      </c>
      <c r="E121">
        <v>70</v>
      </c>
    </row>
    <row r="122" spans="1:5">
      <c r="A122" t="s">
        <v>828</v>
      </c>
      <c r="B122" t="s">
        <v>949</v>
      </c>
      <c r="C122" t="s">
        <v>901</v>
      </c>
      <c r="D122" t="s">
        <v>911</v>
      </c>
      <c r="E122">
        <v>15</v>
      </c>
    </row>
    <row r="123" spans="1:5">
      <c r="A123" t="s">
        <v>828</v>
      </c>
      <c r="B123" t="s">
        <v>949</v>
      </c>
      <c r="C123" t="s">
        <v>901</v>
      </c>
      <c r="D123" t="s">
        <v>908</v>
      </c>
      <c r="E123">
        <v>23</v>
      </c>
    </row>
    <row r="124" spans="1:5">
      <c r="A124" t="s">
        <v>828</v>
      </c>
      <c r="B124" t="s">
        <v>949</v>
      </c>
      <c r="C124" t="s">
        <v>901</v>
      </c>
      <c r="D124" t="s">
        <v>909</v>
      </c>
      <c r="E124">
        <v>50</v>
      </c>
    </row>
    <row r="125" spans="1:5">
      <c r="A125" t="s">
        <v>828</v>
      </c>
      <c r="B125" t="s">
        <v>949</v>
      </c>
      <c r="C125" t="s">
        <v>902</v>
      </c>
      <c r="D125" t="s">
        <v>911</v>
      </c>
      <c r="E125">
        <v>14</v>
      </c>
    </row>
    <row r="126" spans="1:5">
      <c r="A126" t="s">
        <v>828</v>
      </c>
      <c r="B126" t="s">
        <v>949</v>
      </c>
      <c r="C126" t="s">
        <v>902</v>
      </c>
      <c r="D126" t="s">
        <v>908</v>
      </c>
      <c r="E126">
        <v>23</v>
      </c>
    </row>
    <row r="127" spans="1:5">
      <c r="A127" t="s">
        <v>828</v>
      </c>
      <c r="B127" t="s">
        <v>949</v>
      </c>
      <c r="C127" t="s">
        <v>902</v>
      </c>
      <c r="D127" t="s">
        <v>909</v>
      </c>
      <c r="E127">
        <v>50</v>
      </c>
    </row>
    <row r="128" spans="1:5">
      <c r="A128" t="s">
        <v>801</v>
      </c>
      <c r="B128" t="s">
        <v>950</v>
      </c>
      <c r="C128" t="s">
        <v>900</v>
      </c>
      <c r="D128" t="s">
        <v>911</v>
      </c>
      <c r="E128">
        <v>27</v>
      </c>
    </row>
    <row r="129" spans="1:5">
      <c r="A129" t="s">
        <v>801</v>
      </c>
      <c r="B129" t="s">
        <v>950</v>
      </c>
      <c r="C129" t="s">
        <v>900</v>
      </c>
      <c r="D129" t="s">
        <v>908</v>
      </c>
      <c r="E129">
        <v>27</v>
      </c>
    </row>
    <row r="130" spans="1:5">
      <c r="A130" t="s">
        <v>801</v>
      </c>
      <c r="B130" t="s">
        <v>950</v>
      </c>
      <c r="C130" t="s">
        <v>900</v>
      </c>
      <c r="D130" t="s">
        <v>909</v>
      </c>
      <c r="E130">
        <v>72</v>
      </c>
    </row>
    <row r="131" spans="1:5">
      <c r="A131" t="s">
        <v>801</v>
      </c>
      <c r="B131" t="s">
        <v>950</v>
      </c>
      <c r="C131" t="s">
        <v>901</v>
      </c>
      <c r="D131" t="s">
        <v>911</v>
      </c>
      <c r="E131">
        <v>15</v>
      </c>
    </row>
    <row r="132" spans="1:5">
      <c r="A132" t="s">
        <v>801</v>
      </c>
      <c r="B132" t="s">
        <v>950</v>
      </c>
      <c r="C132" t="s">
        <v>901</v>
      </c>
      <c r="D132" t="s">
        <v>908</v>
      </c>
      <c r="E132">
        <v>24</v>
      </c>
    </row>
    <row r="133" spans="1:5">
      <c r="A133" t="s">
        <v>801</v>
      </c>
      <c r="B133" t="s">
        <v>950</v>
      </c>
      <c r="C133" t="s">
        <v>901</v>
      </c>
      <c r="D133" t="s">
        <v>909</v>
      </c>
      <c r="E133">
        <v>52</v>
      </c>
    </row>
    <row r="134" spans="1:5">
      <c r="A134" t="s">
        <v>801</v>
      </c>
      <c r="B134" t="s">
        <v>950</v>
      </c>
      <c r="C134" t="s">
        <v>902</v>
      </c>
      <c r="D134" t="s">
        <v>911</v>
      </c>
      <c r="E134">
        <v>14</v>
      </c>
    </row>
    <row r="135" spans="1:5">
      <c r="A135" t="s">
        <v>801</v>
      </c>
      <c r="B135" t="s">
        <v>950</v>
      </c>
      <c r="C135" t="s">
        <v>902</v>
      </c>
      <c r="D135" t="s">
        <v>908</v>
      </c>
      <c r="E135">
        <v>24</v>
      </c>
    </row>
    <row r="136" spans="1:5">
      <c r="A136" t="s">
        <v>801</v>
      </c>
      <c r="B136" t="s">
        <v>950</v>
      </c>
      <c r="C136" t="s">
        <v>902</v>
      </c>
      <c r="D136" t="s">
        <v>909</v>
      </c>
      <c r="E136">
        <v>52</v>
      </c>
    </row>
    <row r="137" spans="1:5">
      <c r="A137" t="s">
        <v>570</v>
      </c>
      <c r="B137" t="s">
        <v>951</v>
      </c>
      <c r="C137" t="s">
        <v>900</v>
      </c>
      <c r="D137" t="s">
        <v>911</v>
      </c>
      <c r="E137">
        <v>28</v>
      </c>
    </row>
    <row r="138" spans="1:5">
      <c r="A138" t="s">
        <v>570</v>
      </c>
      <c r="B138" t="s">
        <v>951</v>
      </c>
      <c r="C138" t="s">
        <v>900</v>
      </c>
      <c r="D138" t="s">
        <v>908</v>
      </c>
      <c r="E138">
        <v>28</v>
      </c>
    </row>
    <row r="139" spans="1:5">
      <c r="A139" t="s">
        <v>570</v>
      </c>
      <c r="B139" t="s">
        <v>951</v>
      </c>
      <c r="C139" t="s">
        <v>900</v>
      </c>
      <c r="D139" t="s">
        <v>909</v>
      </c>
      <c r="E139">
        <v>77</v>
      </c>
    </row>
    <row r="140" spans="1:5">
      <c r="A140" t="s">
        <v>570</v>
      </c>
      <c r="B140" t="s">
        <v>951</v>
      </c>
      <c r="C140" t="s">
        <v>901</v>
      </c>
      <c r="D140" t="s">
        <v>911</v>
      </c>
      <c r="E140">
        <v>16</v>
      </c>
    </row>
    <row r="141" spans="1:5">
      <c r="A141" t="s">
        <v>570</v>
      </c>
      <c r="B141" t="s">
        <v>951</v>
      </c>
      <c r="C141" t="s">
        <v>901</v>
      </c>
      <c r="D141" t="s">
        <v>908</v>
      </c>
      <c r="E141">
        <v>28</v>
      </c>
    </row>
    <row r="142" spans="1:5">
      <c r="A142" t="s">
        <v>570</v>
      </c>
      <c r="B142" t="s">
        <v>951</v>
      </c>
      <c r="C142" t="s">
        <v>901</v>
      </c>
      <c r="D142" t="s">
        <v>909</v>
      </c>
      <c r="E142">
        <v>56</v>
      </c>
    </row>
    <row r="143" spans="1:5">
      <c r="A143" t="s">
        <v>570</v>
      </c>
      <c r="B143" t="s">
        <v>951</v>
      </c>
      <c r="C143" t="s">
        <v>902</v>
      </c>
      <c r="D143" t="s">
        <v>911</v>
      </c>
      <c r="E143">
        <v>14</v>
      </c>
    </row>
    <row r="144" spans="1:5">
      <c r="A144" t="s">
        <v>570</v>
      </c>
      <c r="B144" t="s">
        <v>951</v>
      </c>
      <c r="C144" t="s">
        <v>902</v>
      </c>
      <c r="D144" t="s">
        <v>908</v>
      </c>
      <c r="E144">
        <v>28</v>
      </c>
    </row>
    <row r="145" spans="1:5">
      <c r="A145" t="s">
        <v>570</v>
      </c>
      <c r="B145" t="s">
        <v>951</v>
      </c>
      <c r="C145" t="s">
        <v>902</v>
      </c>
      <c r="D145" t="s">
        <v>909</v>
      </c>
      <c r="E145">
        <v>54</v>
      </c>
    </row>
    <row r="146" spans="1:5">
      <c r="A146" t="s">
        <v>921</v>
      </c>
      <c r="B146" t="s">
        <v>952</v>
      </c>
      <c r="C146" t="s">
        <v>900</v>
      </c>
      <c r="D146" t="s">
        <v>911</v>
      </c>
      <c r="E146">
        <v>28</v>
      </c>
    </row>
    <row r="147" spans="1:5">
      <c r="A147" t="s">
        <v>921</v>
      </c>
      <c r="B147" t="s">
        <v>952</v>
      </c>
      <c r="C147" t="s">
        <v>900</v>
      </c>
      <c r="D147" t="s">
        <v>908</v>
      </c>
      <c r="E147">
        <v>28</v>
      </c>
    </row>
    <row r="148" spans="1:5">
      <c r="A148" t="s">
        <v>921</v>
      </c>
      <c r="B148" t="s">
        <v>952</v>
      </c>
      <c r="C148" t="s">
        <v>900</v>
      </c>
      <c r="D148" t="s">
        <v>909</v>
      </c>
      <c r="E148">
        <v>79</v>
      </c>
    </row>
    <row r="149" spans="1:5">
      <c r="A149" t="s">
        <v>921</v>
      </c>
      <c r="B149" t="s">
        <v>952</v>
      </c>
      <c r="C149" t="s">
        <v>901</v>
      </c>
      <c r="D149" t="s">
        <v>911</v>
      </c>
      <c r="E149">
        <v>18</v>
      </c>
    </row>
    <row r="150" spans="1:5">
      <c r="A150" t="s">
        <v>921</v>
      </c>
      <c r="B150" t="s">
        <v>952</v>
      </c>
      <c r="C150" t="s">
        <v>901</v>
      </c>
      <c r="D150" t="s">
        <v>908</v>
      </c>
      <c r="E150">
        <v>30</v>
      </c>
    </row>
    <row r="151" spans="1:5">
      <c r="A151" t="s">
        <v>921</v>
      </c>
      <c r="B151" t="s">
        <v>952</v>
      </c>
      <c r="C151" t="s">
        <v>901</v>
      </c>
      <c r="D151" t="s">
        <v>909</v>
      </c>
      <c r="E151">
        <v>57</v>
      </c>
    </row>
    <row r="152" spans="1:5">
      <c r="A152" t="s">
        <v>921</v>
      </c>
      <c r="B152" t="s">
        <v>952</v>
      </c>
      <c r="C152" t="s">
        <v>902</v>
      </c>
      <c r="D152" t="s">
        <v>911</v>
      </c>
      <c r="E152">
        <v>15</v>
      </c>
    </row>
    <row r="153" spans="1:5">
      <c r="A153" t="s">
        <v>921</v>
      </c>
      <c r="B153" t="s">
        <v>952</v>
      </c>
      <c r="C153" t="s">
        <v>902</v>
      </c>
      <c r="D153" t="s">
        <v>908</v>
      </c>
      <c r="E153">
        <v>30</v>
      </c>
    </row>
    <row r="154" spans="1:5">
      <c r="A154" t="s">
        <v>921</v>
      </c>
      <c r="B154" t="s">
        <v>952</v>
      </c>
      <c r="C154" t="s">
        <v>902</v>
      </c>
      <c r="D154" t="s">
        <v>909</v>
      </c>
      <c r="E154">
        <v>57</v>
      </c>
    </row>
    <row r="155" spans="1:5">
      <c r="A155" t="s">
        <v>652</v>
      </c>
      <c r="B155" t="s">
        <v>953</v>
      </c>
      <c r="C155" t="s">
        <v>900</v>
      </c>
      <c r="D155" t="s">
        <v>911</v>
      </c>
      <c r="E155">
        <v>28</v>
      </c>
    </row>
    <row r="156" spans="1:5">
      <c r="A156" t="s">
        <v>652</v>
      </c>
      <c r="B156" t="s">
        <v>953</v>
      </c>
      <c r="C156" t="s">
        <v>900</v>
      </c>
      <c r="D156" t="s">
        <v>908</v>
      </c>
      <c r="E156">
        <v>29</v>
      </c>
    </row>
    <row r="157" spans="1:5">
      <c r="A157" t="s">
        <v>652</v>
      </c>
      <c r="B157" t="s">
        <v>953</v>
      </c>
      <c r="C157" t="s">
        <v>900</v>
      </c>
      <c r="D157" t="s">
        <v>909</v>
      </c>
      <c r="E157">
        <v>82</v>
      </c>
    </row>
    <row r="158" spans="1:5">
      <c r="A158" t="s">
        <v>652</v>
      </c>
      <c r="B158" t="s">
        <v>953</v>
      </c>
      <c r="C158" t="s">
        <v>901</v>
      </c>
      <c r="D158" t="s">
        <v>911</v>
      </c>
      <c r="E158">
        <v>19</v>
      </c>
    </row>
    <row r="159" spans="1:5">
      <c r="A159" t="s">
        <v>652</v>
      </c>
      <c r="B159" t="s">
        <v>953</v>
      </c>
      <c r="C159" t="s">
        <v>901</v>
      </c>
      <c r="D159" t="s">
        <v>908</v>
      </c>
      <c r="E159">
        <v>31</v>
      </c>
    </row>
    <row r="160" spans="1:5">
      <c r="A160" t="s">
        <v>652</v>
      </c>
      <c r="B160" t="s">
        <v>953</v>
      </c>
      <c r="C160" t="s">
        <v>901</v>
      </c>
      <c r="D160" t="s">
        <v>909</v>
      </c>
      <c r="E160">
        <v>58</v>
      </c>
    </row>
    <row r="161" spans="1:5">
      <c r="A161" t="s">
        <v>652</v>
      </c>
      <c r="B161" t="s">
        <v>953</v>
      </c>
      <c r="C161" t="s">
        <v>902</v>
      </c>
      <c r="D161" t="s">
        <v>911</v>
      </c>
      <c r="E161">
        <v>18</v>
      </c>
    </row>
    <row r="162" spans="1:5">
      <c r="A162" t="s">
        <v>652</v>
      </c>
      <c r="B162" t="s">
        <v>953</v>
      </c>
      <c r="C162" t="s">
        <v>902</v>
      </c>
      <c r="D162" t="s">
        <v>908</v>
      </c>
      <c r="E162">
        <v>32</v>
      </c>
    </row>
    <row r="163" spans="1:5">
      <c r="A163" t="s">
        <v>652</v>
      </c>
      <c r="B163" t="s">
        <v>953</v>
      </c>
      <c r="C163" t="s">
        <v>902</v>
      </c>
      <c r="D163" t="s">
        <v>909</v>
      </c>
      <c r="E163">
        <v>64</v>
      </c>
    </row>
    <row r="164" spans="1:5">
      <c r="A164" t="s">
        <v>922</v>
      </c>
      <c r="B164" t="s">
        <v>954</v>
      </c>
      <c r="C164" t="s">
        <v>900</v>
      </c>
      <c r="D164" t="s">
        <v>911</v>
      </c>
      <c r="E164">
        <v>28</v>
      </c>
    </row>
    <row r="165" spans="1:5">
      <c r="A165" t="s">
        <v>922</v>
      </c>
      <c r="B165" t="s">
        <v>954</v>
      </c>
      <c r="C165" t="s">
        <v>900</v>
      </c>
      <c r="D165" t="s">
        <v>908</v>
      </c>
      <c r="E165">
        <v>31</v>
      </c>
    </row>
    <row r="166" spans="1:5">
      <c r="A166" t="s">
        <v>922</v>
      </c>
      <c r="B166" t="s">
        <v>954</v>
      </c>
      <c r="C166" t="s">
        <v>900</v>
      </c>
      <c r="D166" t="s">
        <v>909</v>
      </c>
      <c r="E166">
        <v>85</v>
      </c>
    </row>
    <row r="167" spans="1:5">
      <c r="A167" t="s">
        <v>922</v>
      </c>
      <c r="B167" t="s">
        <v>954</v>
      </c>
      <c r="C167" t="s">
        <v>901</v>
      </c>
      <c r="D167" t="s">
        <v>911</v>
      </c>
      <c r="E167">
        <v>19</v>
      </c>
    </row>
    <row r="168" spans="1:5">
      <c r="A168" t="s">
        <v>922</v>
      </c>
      <c r="B168" t="s">
        <v>954</v>
      </c>
      <c r="C168" t="s">
        <v>901</v>
      </c>
      <c r="D168" t="s">
        <v>908</v>
      </c>
      <c r="E168">
        <v>33</v>
      </c>
    </row>
    <row r="169" spans="1:5">
      <c r="A169" t="s">
        <v>922</v>
      </c>
      <c r="B169" t="s">
        <v>954</v>
      </c>
      <c r="C169" t="s">
        <v>901</v>
      </c>
      <c r="D169" t="s">
        <v>909</v>
      </c>
      <c r="E169">
        <v>61</v>
      </c>
    </row>
    <row r="170" spans="1:5">
      <c r="A170" t="s">
        <v>922</v>
      </c>
      <c r="B170" t="s">
        <v>954</v>
      </c>
      <c r="C170" t="s">
        <v>902</v>
      </c>
      <c r="D170" t="s">
        <v>911</v>
      </c>
      <c r="E170">
        <v>21</v>
      </c>
    </row>
    <row r="171" spans="1:5">
      <c r="A171" t="s">
        <v>922</v>
      </c>
      <c r="B171" t="s">
        <v>954</v>
      </c>
      <c r="C171" t="s">
        <v>902</v>
      </c>
      <c r="D171" t="s">
        <v>908</v>
      </c>
      <c r="E171">
        <v>32</v>
      </c>
    </row>
    <row r="172" spans="1:5">
      <c r="A172" t="s">
        <v>922</v>
      </c>
      <c r="B172" t="s">
        <v>954</v>
      </c>
      <c r="C172" t="s">
        <v>902</v>
      </c>
      <c r="D172" t="s">
        <v>909</v>
      </c>
      <c r="E172">
        <v>68</v>
      </c>
    </row>
    <row r="173" spans="1:5">
      <c r="A173" t="s">
        <v>647</v>
      </c>
      <c r="B173" t="s">
        <v>955</v>
      </c>
      <c r="C173" t="s">
        <v>900</v>
      </c>
      <c r="D173" t="s">
        <v>911</v>
      </c>
      <c r="E173">
        <v>30</v>
      </c>
    </row>
    <row r="174" spans="1:5">
      <c r="A174" t="s">
        <v>647</v>
      </c>
      <c r="B174" t="s">
        <v>955</v>
      </c>
      <c r="C174" t="s">
        <v>900</v>
      </c>
      <c r="D174" t="s">
        <v>908</v>
      </c>
      <c r="E174">
        <v>33</v>
      </c>
    </row>
    <row r="175" spans="1:5">
      <c r="A175" t="s">
        <v>647</v>
      </c>
      <c r="B175" t="s">
        <v>955</v>
      </c>
      <c r="C175" t="s">
        <v>900</v>
      </c>
      <c r="D175" t="s">
        <v>909</v>
      </c>
      <c r="E175">
        <v>87</v>
      </c>
    </row>
    <row r="176" spans="1:5">
      <c r="A176" t="s">
        <v>647</v>
      </c>
      <c r="B176" t="s">
        <v>955</v>
      </c>
      <c r="C176" t="s">
        <v>901</v>
      </c>
      <c r="D176" t="s">
        <v>911</v>
      </c>
      <c r="E176">
        <v>21</v>
      </c>
    </row>
    <row r="177" spans="1:5">
      <c r="A177" t="s">
        <v>647</v>
      </c>
      <c r="B177" t="s">
        <v>955</v>
      </c>
      <c r="C177" t="s">
        <v>901</v>
      </c>
      <c r="D177" t="s">
        <v>908</v>
      </c>
      <c r="E177">
        <v>34</v>
      </c>
    </row>
    <row r="178" spans="1:5">
      <c r="A178" t="s">
        <v>647</v>
      </c>
      <c r="B178" t="s">
        <v>955</v>
      </c>
      <c r="C178" t="s">
        <v>901</v>
      </c>
      <c r="D178" t="s">
        <v>909</v>
      </c>
      <c r="E178">
        <v>67</v>
      </c>
    </row>
    <row r="179" spans="1:5">
      <c r="A179" t="s">
        <v>647</v>
      </c>
      <c r="B179" t="s">
        <v>955</v>
      </c>
      <c r="C179" t="s">
        <v>902</v>
      </c>
      <c r="D179" t="s">
        <v>911</v>
      </c>
      <c r="E179">
        <v>21</v>
      </c>
    </row>
    <row r="180" spans="1:5">
      <c r="A180" t="s">
        <v>647</v>
      </c>
      <c r="B180" t="s">
        <v>955</v>
      </c>
      <c r="C180" t="s">
        <v>902</v>
      </c>
      <c r="D180" t="s">
        <v>908</v>
      </c>
      <c r="E180">
        <v>31</v>
      </c>
    </row>
    <row r="181" spans="1:5">
      <c r="A181" t="s">
        <v>647</v>
      </c>
      <c r="B181" t="s">
        <v>955</v>
      </c>
      <c r="C181" t="s">
        <v>902</v>
      </c>
      <c r="D181" t="s">
        <v>909</v>
      </c>
      <c r="E181">
        <v>73</v>
      </c>
    </row>
    <row r="182" spans="1:5">
      <c r="A182" t="s">
        <v>569</v>
      </c>
      <c r="B182" t="s">
        <v>956</v>
      </c>
      <c r="C182" t="s">
        <v>900</v>
      </c>
      <c r="D182" t="s">
        <v>911</v>
      </c>
      <c r="E182">
        <v>32</v>
      </c>
    </row>
    <row r="183" spans="1:5">
      <c r="A183" t="s">
        <v>569</v>
      </c>
      <c r="B183" t="s">
        <v>956</v>
      </c>
      <c r="C183" t="s">
        <v>900</v>
      </c>
      <c r="D183" t="s">
        <v>908</v>
      </c>
      <c r="E183">
        <v>34</v>
      </c>
    </row>
    <row r="184" spans="1:5">
      <c r="A184" t="s">
        <v>569</v>
      </c>
      <c r="B184" t="s">
        <v>956</v>
      </c>
      <c r="C184" t="s">
        <v>900</v>
      </c>
      <c r="D184" t="s">
        <v>909</v>
      </c>
      <c r="E184">
        <v>92</v>
      </c>
    </row>
    <row r="185" spans="1:5">
      <c r="A185" t="s">
        <v>569</v>
      </c>
      <c r="B185" t="s">
        <v>956</v>
      </c>
      <c r="C185" t="s">
        <v>901</v>
      </c>
      <c r="D185" t="s">
        <v>911</v>
      </c>
      <c r="E185">
        <v>21</v>
      </c>
    </row>
    <row r="186" spans="1:5">
      <c r="A186" t="s">
        <v>569</v>
      </c>
      <c r="B186" t="s">
        <v>956</v>
      </c>
      <c r="C186" t="s">
        <v>901</v>
      </c>
      <c r="D186" t="s">
        <v>908</v>
      </c>
      <c r="E186">
        <v>35</v>
      </c>
    </row>
    <row r="187" spans="1:5">
      <c r="A187" t="s">
        <v>569</v>
      </c>
      <c r="B187" t="s">
        <v>956</v>
      </c>
      <c r="C187" t="s">
        <v>901</v>
      </c>
      <c r="D187" t="s">
        <v>909</v>
      </c>
      <c r="E187">
        <v>71</v>
      </c>
    </row>
    <row r="188" spans="1:5">
      <c r="A188" t="s">
        <v>569</v>
      </c>
      <c r="B188" t="s">
        <v>956</v>
      </c>
      <c r="C188" t="s">
        <v>902</v>
      </c>
      <c r="D188" t="s">
        <v>911</v>
      </c>
      <c r="E188">
        <v>23</v>
      </c>
    </row>
    <row r="189" spans="1:5">
      <c r="A189" t="s">
        <v>569</v>
      </c>
      <c r="B189" t="s">
        <v>956</v>
      </c>
      <c r="C189" t="s">
        <v>902</v>
      </c>
      <c r="D189" t="s">
        <v>908</v>
      </c>
      <c r="E189">
        <v>30</v>
      </c>
    </row>
    <row r="190" spans="1:5">
      <c r="A190" t="s">
        <v>569</v>
      </c>
      <c r="B190" t="s">
        <v>956</v>
      </c>
      <c r="C190" t="s">
        <v>902</v>
      </c>
      <c r="D190" t="s">
        <v>909</v>
      </c>
      <c r="E190">
        <v>78</v>
      </c>
    </row>
    <row r="191" spans="1:5">
      <c r="A191" t="s">
        <v>923</v>
      </c>
      <c r="B191" t="s">
        <v>957</v>
      </c>
      <c r="C191" t="s">
        <v>900</v>
      </c>
      <c r="D191" t="s">
        <v>911</v>
      </c>
      <c r="E191">
        <v>34</v>
      </c>
    </row>
    <row r="192" spans="1:5">
      <c r="A192" t="s">
        <v>923</v>
      </c>
      <c r="B192" t="s">
        <v>957</v>
      </c>
      <c r="C192" t="s">
        <v>900</v>
      </c>
      <c r="D192" t="s">
        <v>908</v>
      </c>
      <c r="E192">
        <v>40</v>
      </c>
    </row>
    <row r="193" spans="1:5">
      <c r="A193" t="s">
        <v>923</v>
      </c>
      <c r="B193" t="s">
        <v>957</v>
      </c>
      <c r="C193" t="s">
        <v>900</v>
      </c>
      <c r="D193" t="s">
        <v>909</v>
      </c>
      <c r="E193">
        <v>97</v>
      </c>
    </row>
    <row r="194" spans="1:5">
      <c r="A194" t="s">
        <v>923</v>
      </c>
      <c r="B194" t="s">
        <v>957</v>
      </c>
      <c r="C194" t="s">
        <v>901</v>
      </c>
      <c r="D194" t="s">
        <v>911</v>
      </c>
      <c r="E194">
        <v>21</v>
      </c>
    </row>
    <row r="195" spans="1:5">
      <c r="A195" t="s">
        <v>923</v>
      </c>
      <c r="B195" t="s">
        <v>957</v>
      </c>
      <c r="C195" t="s">
        <v>901</v>
      </c>
      <c r="D195" t="s">
        <v>908</v>
      </c>
      <c r="E195">
        <v>35</v>
      </c>
    </row>
    <row r="196" spans="1:5">
      <c r="A196" t="s">
        <v>923</v>
      </c>
      <c r="B196" t="s">
        <v>957</v>
      </c>
      <c r="C196" t="s">
        <v>901</v>
      </c>
      <c r="D196" t="s">
        <v>909</v>
      </c>
      <c r="E196">
        <v>74</v>
      </c>
    </row>
    <row r="197" spans="1:5">
      <c r="A197" t="s">
        <v>923</v>
      </c>
      <c r="B197" t="s">
        <v>957</v>
      </c>
      <c r="C197" t="s">
        <v>902</v>
      </c>
      <c r="D197" t="s">
        <v>911</v>
      </c>
      <c r="E197">
        <v>26</v>
      </c>
    </row>
    <row r="198" spans="1:5">
      <c r="A198" t="s">
        <v>923</v>
      </c>
      <c r="B198" t="s">
        <v>957</v>
      </c>
      <c r="C198" t="s">
        <v>902</v>
      </c>
      <c r="D198" t="s">
        <v>908</v>
      </c>
      <c r="E198">
        <v>33</v>
      </c>
    </row>
    <row r="199" spans="1:5">
      <c r="A199" t="s">
        <v>923</v>
      </c>
      <c r="B199" t="s">
        <v>957</v>
      </c>
      <c r="C199" t="s">
        <v>902</v>
      </c>
      <c r="D199" t="s">
        <v>909</v>
      </c>
      <c r="E199">
        <v>81</v>
      </c>
    </row>
    <row r="200" spans="1:5">
      <c r="A200" t="s">
        <v>644</v>
      </c>
      <c r="B200" t="s">
        <v>958</v>
      </c>
      <c r="C200" t="s">
        <v>900</v>
      </c>
      <c r="D200" t="s">
        <v>911</v>
      </c>
      <c r="E200">
        <v>36</v>
      </c>
    </row>
    <row r="201" spans="1:5">
      <c r="A201" t="s">
        <v>644</v>
      </c>
      <c r="B201" t="s">
        <v>958</v>
      </c>
      <c r="C201" t="s">
        <v>900</v>
      </c>
      <c r="D201" t="s">
        <v>908</v>
      </c>
      <c r="E201">
        <v>41</v>
      </c>
    </row>
    <row r="202" spans="1:5">
      <c r="A202" t="s">
        <v>644</v>
      </c>
      <c r="B202" t="s">
        <v>958</v>
      </c>
      <c r="C202" t="s">
        <v>900</v>
      </c>
      <c r="D202" t="s">
        <v>909</v>
      </c>
      <c r="E202">
        <v>105</v>
      </c>
    </row>
    <row r="203" spans="1:5">
      <c r="A203" t="s">
        <v>644</v>
      </c>
      <c r="B203" t="s">
        <v>958</v>
      </c>
      <c r="C203" t="s">
        <v>901</v>
      </c>
      <c r="D203" t="s">
        <v>911</v>
      </c>
      <c r="E203">
        <v>21</v>
      </c>
    </row>
    <row r="204" spans="1:5">
      <c r="A204" t="s">
        <v>644</v>
      </c>
      <c r="B204" t="s">
        <v>958</v>
      </c>
      <c r="C204" t="s">
        <v>901</v>
      </c>
      <c r="D204" t="s">
        <v>908</v>
      </c>
      <c r="E204">
        <v>35</v>
      </c>
    </row>
    <row r="205" spans="1:5">
      <c r="A205" t="s">
        <v>644</v>
      </c>
      <c r="B205" t="s">
        <v>958</v>
      </c>
      <c r="C205" t="s">
        <v>901</v>
      </c>
      <c r="D205" t="s">
        <v>909</v>
      </c>
      <c r="E205">
        <v>78</v>
      </c>
    </row>
    <row r="206" spans="1:5">
      <c r="A206" t="s">
        <v>644</v>
      </c>
      <c r="B206" t="s">
        <v>958</v>
      </c>
      <c r="C206" t="s">
        <v>902</v>
      </c>
      <c r="D206" t="s">
        <v>911</v>
      </c>
      <c r="E206">
        <v>26</v>
      </c>
    </row>
    <row r="207" spans="1:5">
      <c r="A207" t="s">
        <v>644</v>
      </c>
      <c r="B207" t="s">
        <v>958</v>
      </c>
      <c r="C207" t="s">
        <v>902</v>
      </c>
      <c r="D207" t="s">
        <v>908</v>
      </c>
      <c r="E207">
        <v>34</v>
      </c>
    </row>
    <row r="208" spans="1:5">
      <c r="A208" t="s">
        <v>644</v>
      </c>
      <c r="B208" t="s">
        <v>958</v>
      </c>
      <c r="C208" t="s">
        <v>902</v>
      </c>
      <c r="D208" t="s">
        <v>909</v>
      </c>
      <c r="E208">
        <v>80</v>
      </c>
    </row>
    <row r="209" spans="1:5">
      <c r="A209" t="s">
        <v>924</v>
      </c>
      <c r="B209" t="s">
        <v>959</v>
      </c>
      <c r="C209" t="s">
        <v>900</v>
      </c>
      <c r="D209" t="s">
        <v>911</v>
      </c>
      <c r="E209">
        <v>36</v>
      </c>
    </row>
    <row r="210" spans="1:5">
      <c r="A210" t="s">
        <v>924</v>
      </c>
      <c r="B210" t="s">
        <v>959</v>
      </c>
      <c r="C210" t="s">
        <v>900</v>
      </c>
      <c r="D210" t="s">
        <v>908</v>
      </c>
      <c r="E210">
        <v>43</v>
      </c>
    </row>
    <row r="211" spans="1:5">
      <c r="A211" t="s">
        <v>924</v>
      </c>
      <c r="B211" t="s">
        <v>959</v>
      </c>
      <c r="C211" t="s">
        <v>900</v>
      </c>
      <c r="D211" t="s">
        <v>909</v>
      </c>
      <c r="E211">
        <v>109</v>
      </c>
    </row>
    <row r="212" spans="1:5">
      <c r="A212" t="s">
        <v>924</v>
      </c>
      <c r="B212" t="s">
        <v>959</v>
      </c>
      <c r="C212" t="s">
        <v>901</v>
      </c>
      <c r="D212" t="s">
        <v>911</v>
      </c>
      <c r="E212">
        <v>21</v>
      </c>
    </row>
    <row r="213" spans="1:5">
      <c r="A213" t="s">
        <v>924</v>
      </c>
      <c r="B213" t="s">
        <v>959</v>
      </c>
      <c r="C213" t="s">
        <v>901</v>
      </c>
      <c r="D213" t="s">
        <v>908</v>
      </c>
      <c r="E213">
        <v>38</v>
      </c>
    </row>
    <row r="214" spans="1:5">
      <c r="A214" t="s">
        <v>924</v>
      </c>
      <c r="B214" t="s">
        <v>959</v>
      </c>
      <c r="C214" t="s">
        <v>901</v>
      </c>
      <c r="D214" t="s">
        <v>909</v>
      </c>
      <c r="E214">
        <v>81</v>
      </c>
    </row>
    <row r="215" spans="1:5">
      <c r="A215" t="s">
        <v>924</v>
      </c>
      <c r="B215" t="s">
        <v>959</v>
      </c>
      <c r="C215" t="s">
        <v>902</v>
      </c>
      <c r="D215" t="s">
        <v>911</v>
      </c>
      <c r="E215">
        <v>28</v>
      </c>
    </row>
    <row r="216" spans="1:5">
      <c r="A216" t="s">
        <v>924</v>
      </c>
      <c r="B216" t="s">
        <v>959</v>
      </c>
      <c r="C216" t="s">
        <v>902</v>
      </c>
      <c r="D216" t="s">
        <v>908</v>
      </c>
      <c r="E216">
        <v>36</v>
      </c>
    </row>
    <row r="217" spans="1:5">
      <c r="A217" t="s">
        <v>924</v>
      </c>
      <c r="B217" t="s">
        <v>959</v>
      </c>
      <c r="C217" t="s">
        <v>902</v>
      </c>
      <c r="D217" t="s">
        <v>909</v>
      </c>
      <c r="E217">
        <v>83</v>
      </c>
    </row>
    <row r="218" spans="1:5">
      <c r="A218" t="s">
        <v>925</v>
      </c>
      <c r="B218" t="s">
        <v>960</v>
      </c>
      <c r="C218" t="s">
        <v>900</v>
      </c>
      <c r="D218" t="s">
        <v>911</v>
      </c>
      <c r="E218">
        <v>36</v>
      </c>
    </row>
    <row r="219" spans="1:5">
      <c r="A219" t="s">
        <v>925</v>
      </c>
      <c r="B219" t="s">
        <v>960</v>
      </c>
      <c r="C219" t="s">
        <v>900</v>
      </c>
      <c r="D219" t="s">
        <v>908</v>
      </c>
      <c r="E219">
        <v>43</v>
      </c>
    </row>
    <row r="220" spans="1:5">
      <c r="A220" t="s">
        <v>925</v>
      </c>
      <c r="B220" t="s">
        <v>960</v>
      </c>
      <c r="C220" t="s">
        <v>900</v>
      </c>
      <c r="D220" t="s">
        <v>909</v>
      </c>
      <c r="E220">
        <v>109</v>
      </c>
    </row>
    <row r="221" spans="1:5">
      <c r="A221" t="s">
        <v>925</v>
      </c>
      <c r="B221" t="s">
        <v>960</v>
      </c>
      <c r="C221" t="s">
        <v>901</v>
      </c>
      <c r="D221" t="s">
        <v>911</v>
      </c>
      <c r="E221">
        <v>21</v>
      </c>
    </row>
    <row r="222" spans="1:5">
      <c r="A222" t="s">
        <v>925</v>
      </c>
      <c r="B222" t="s">
        <v>960</v>
      </c>
      <c r="C222" t="s">
        <v>901</v>
      </c>
      <c r="D222" t="s">
        <v>908</v>
      </c>
      <c r="E222">
        <v>38</v>
      </c>
    </row>
    <row r="223" spans="1:5">
      <c r="A223" t="s">
        <v>925</v>
      </c>
      <c r="B223" t="s">
        <v>960</v>
      </c>
      <c r="C223" t="s">
        <v>901</v>
      </c>
      <c r="D223" t="s">
        <v>909</v>
      </c>
      <c r="E223">
        <v>80</v>
      </c>
    </row>
    <row r="224" spans="1:5">
      <c r="A224" t="s">
        <v>925</v>
      </c>
      <c r="B224" t="s">
        <v>960</v>
      </c>
      <c r="C224" t="s">
        <v>902</v>
      </c>
      <c r="D224" t="s">
        <v>911</v>
      </c>
      <c r="E224">
        <v>28</v>
      </c>
    </row>
    <row r="225" spans="1:5">
      <c r="A225" t="s">
        <v>925</v>
      </c>
      <c r="B225" t="s">
        <v>960</v>
      </c>
      <c r="C225" t="s">
        <v>902</v>
      </c>
      <c r="D225" t="s">
        <v>908</v>
      </c>
      <c r="E225">
        <v>36</v>
      </c>
    </row>
    <row r="226" spans="1:5">
      <c r="A226" t="s">
        <v>925</v>
      </c>
      <c r="B226" t="s">
        <v>960</v>
      </c>
      <c r="C226" t="s">
        <v>902</v>
      </c>
      <c r="D226" t="s">
        <v>909</v>
      </c>
      <c r="E226">
        <v>83</v>
      </c>
    </row>
    <row r="227" spans="1:5">
      <c r="A227" t="s">
        <v>926</v>
      </c>
      <c r="B227" t="s">
        <v>961</v>
      </c>
      <c r="C227" t="s">
        <v>900</v>
      </c>
      <c r="D227" t="s">
        <v>911</v>
      </c>
      <c r="E227">
        <v>35</v>
      </c>
    </row>
    <row r="228" spans="1:5">
      <c r="A228" t="s">
        <v>926</v>
      </c>
      <c r="B228" t="s">
        <v>961</v>
      </c>
      <c r="C228" t="s">
        <v>900</v>
      </c>
      <c r="D228" t="s">
        <v>908</v>
      </c>
      <c r="E228">
        <v>43</v>
      </c>
    </row>
    <row r="229" spans="1:5">
      <c r="A229" t="s">
        <v>926</v>
      </c>
      <c r="B229" t="s">
        <v>961</v>
      </c>
      <c r="C229" t="s">
        <v>900</v>
      </c>
      <c r="D229" t="s">
        <v>909</v>
      </c>
      <c r="E229">
        <v>107</v>
      </c>
    </row>
    <row r="230" spans="1:5">
      <c r="A230" t="s">
        <v>926</v>
      </c>
      <c r="B230" t="s">
        <v>961</v>
      </c>
      <c r="C230" t="s">
        <v>901</v>
      </c>
      <c r="D230" t="s">
        <v>911</v>
      </c>
      <c r="E230">
        <v>21</v>
      </c>
    </row>
    <row r="231" spans="1:5">
      <c r="A231" t="s">
        <v>926</v>
      </c>
      <c r="B231" t="s">
        <v>961</v>
      </c>
      <c r="C231" t="s">
        <v>901</v>
      </c>
      <c r="D231" t="s">
        <v>908</v>
      </c>
      <c r="E231">
        <v>37</v>
      </c>
    </row>
    <row r="232" spans="1:5">
      <c r="A232" t="s">
        <v>926</v>
      </c>
      <c r="B232" t="s">
        <v>961</v>
      </c>
      <c r="C232" t="s">
        <v>901</v>
      </c>
      <c r="D232" t="s">
        <v>909</v>
      </c>
      <c r="E232">
        <v>79</v>
      </c>
    </row>
    <row r="233" spans="1:5">
      <c r="A233" t="s">
        <v>926</v>
      </c>
      <c r="B233" t="s">
        <v>961</v>
      </c>
      <c r="C233" t="s">
        <v>902</v>
      </c>
      <c r="D233" t="s">
        <v>911</v>
      </c>
      <c r="E233">
        <v>28</v>
      </c>
    </row>
    <row r="234" spans="1:5">
      <c r="A234" t="s">
        <v>926</v>
      </c>
      <c r="B234" t="s">
        <v>961</v>
      </c>
      <c r="C234" t="s">
        <v>902</v>
      </c>
      <c r="D234" t="s">
        <v>908</v>
      </c>
      <c r="E234">
        <v>36</v>
      </c>
    </row>
    <row r="235" spans="1:5">
      <c r="A235" t="s">
        <v>926</v>
      </c>
      <c r="B235" t="s">
        <v>961</v>
      </c>
      <c r="C235" t="s">
        <v>902</v>
      </c>
      <c r="D235" t="s">
        <v>909</v>
      </c>
      <c r="E235">
        <v>83</v>
      </c>
    </row>
    <row r="236" spans="1:5">
      <c r="A236" t="s">
        <v>927</v>
      </c>
      <c r="B236" t="s">
        <v>962</v>
      </c>
      <c r="C236" t="s">
        <v>900</v>
      </c>
      <c r="D236" t="s">
        <v>911</v>
      </c>
      <c r="E236">
        <v>35</v>
      </c>
    </row>
    <row r="237" spans="1:5">
      <c r="A237" t="s">
        <v>927</v>
      </c>
      <c r="B237" t="s">
        <v>962</v>
      </c>
      <c r="C237" t="s">
        <v>900</v>
      </c>
      <c r="D237" t="s">
        <v>908</v>
      </c>
      <c r="E237">
        <v>43</v>
      </c>
    </row>
    <row r="238" spans="1:5">
      <c r="A238" t="s">
        <v>927</v>
      </c>
      <c r="B238" t="s">
        <v>962</v>
      </c>
      <c r="C238" t="s">
        <v>900</v>
      </c>
      <c r="D238" t="s">
        <v>909</v>
      </c>
      <c r="E238">
        <v>107</v>
      </c>
    </row>
    <row r="239" spans="1:5">
      <c r="A239" t="s">
        <v>927</v>
      </c>
      <c r="B239" t="s">
        <v>962</v>
      </c>
      <c r="C239" t="s">
        <v>901</v>
      </c>
      <c r="D239" t="s">
        <v>911</v>
      </c>
      <c r="E239">
        <v>21</v>
      </c>
    </row>
    <row r="240" spans="1:5">
      <c r="A240" t="s">
        <v>927</v>
      </c>
      <c r="B240" t="s">
        <v>962</v>
      </c>
      <c r="C240" t="s">
        <v>901</v>
      </c>
      <c r="D240" t="s">
        <v>908</v>
      </c>
      <c r="E240">
        <v>37</v>
      </c>
    </row>
    <row r="241" spans="1:5">
      <c r="A241" t="s">
        <v>927</v>
      </c>
      <c r="B241" t="s">
        <v>962</v>
      </c>
      <c r="C241" t="s">
        <v>901</v>
      </c>
      <c r="D241" t="s">
        <v>909</v>
      </c>
      <c r="E241">
        <v>78</v>
      </c>
    </row>
    <row r="242" spans="1:5">
      <c r="A242" t="s">
        <v>927</v>
      </c>
      <c r="B242" t="s">
        <v>962</v>
      </c>
      <c r="C242" t="s">
        <v>902</v>
      </c>
      <c r="D242" t="s">
        <v>911</v>
      </c>
      <c r="E242">
        <v>28</v>
      </c>
    </row>
    <row r="243" spans="1:5">
      <c r="A243" t="s">
        <v>927</v>
      </c>
      <c r="B243" t="s">
        <v>962</v>
      </c>
      <c r="C243" t="s">
        <v>902</v>
      </c>
      <c r="D243" t="s">
        <v>908</v>
      </c>
      <c r="E243">
        <v>36</v>
      </c>
    </row>
    <row r="244" spans="1:5">
      <c r="A244" t="s">
        <v>927</v>
      </c>
      <c r="B244" t="s">
        <v>962</v>
      </c>
      <c r="C244" t="s">
        <v>902</v>
      </c>
      <c r="D244" t="s">
        <v>909</v>
      </c>
      <c r="E244">
        <v>83</v>
      </c>
    </row>
    <row r="245" spans="1:5">
      <c r="A245" t="s">
        <v>928</v>
      </c>
      <c r="B245" t="s">
        <v>963</v>
      </c>
      <c r="C245" t="s">
        <v>900</v>
      </c>
      <c r="D245" t="s">
        <v>911</v>
      </c>
      <c r="E245">
        <v>35</v>
      </c>
    </row>
    <row r="246" spans="1:5">
      <c r="A246" t="s">
        <v>928</v>
      </c>
      <c r="B246" t="s">
        <v>963</v>
      </c>
      <c r="C246" t="s">
        <v>900</v>
      </c>
      <c r="D246" t="s">
        <v>908</v>
      </c>
      <c r="E246">
        <v>43</v>
      </c>
    </row>
    <row r="247" spans="1:5">
      <c r="A247" t="s">
        <v>928</v>
      </c>
      <c r="B247" t="s">
        <v>963</v>
      </c>
      <c r="C247" t="s">
        <v>900</v>
      </c>
      <c r="D247" t="s">
        <v>909</v>
      </c>
      <c r="E247">
        <v>107</v>
      </c>
    </row>
    <row r="248" spans="1:5">
      <c r="A248" t="s">
        <v>928</v>
      </c>
      <c r="B248" t="s">
        <v>963</v>
      </c>
      <c r="C248" t="s">
        <v>901</v>
      </c>
      <c r="D248" t="s">
        <v>911</v>
      </c>
      <c r="E248">
        <v>19</v>
      </c>
    </row>
    <row r="249" spans="1:5">
      <c r="A249" t="s">
        <v>928</v>
      </c>
      <c r="B249" t="s">
        <v>963</v>
      </c>
      <c r="C249" t="s">
        <v>901</v>
      </c>
      <c r="D249" t="s">
        <v>908</v>
      </c>
      <c r="E249">
        <v>36</v>
      </c>
    </row>
    <row r="250" spans="1:5">
      <c r="A250" t="s">
        <v>928</v>
      </c>
      <c r="B250" t="s">
        <v>963</v>
      </c>
      <c r="C250" t="s">
        <v>901</v>
      </c>
      <c r="D250" t="s">
        <v>909</v>
      </c>
      <c r="E250">
        <v>78</v>
      </c>
    </row>
    <row r="251" spans="1:5">
      <c r="A251" t="s">
        <v>928</v>
      </c>
      <c r="B251" t="s">
        <v>963</v>
      </c>
      <c r="C251" t="s">
        <v>902</v>
      </c>
      <c r="D251" t="s">
        <v>911</v>
      </c>
      <c r="E251">
        <v>28</v>
      </c>
    </row>
    <row r="252" spans="1:5">
      <c r="A252" t="s">
        <v>928</v>
      </c>
      <c r="B252" t="s">
        <v>963</v>
      </c>
      <c r="C252" t="s">
        <v>902</v>
      </c>
      <c r="D252" t="s">
        <v>908</v>
      </c>
      <c r="E252">
        <v>36</v>
      </c>
    </row>
    <row r="253" spans="1:5">
      <c r="A253" t="s">
        <v>928</v>
      </c>
      <c r="B253" t="s">
        <v>963</v>
      </c>
      <c r="C253" t="s">
        <v>902</v>
      </c>
      <c r="D253" t="s">
        <v>909</v>
      </c>
      <c r="E253">
        <v>83</v>
      </c>
    </row>
    <row r="254" spans="1:5">
      <c r="A254" t="s">
        <v>929</v>
      </c>
      <c r="B254" t="s">
        <v>964</v>
      </c>
      <c r="C254" t="s">
        <v>900</v>
      </c>
      <c r="D254" t="s">
        <v>911</v>
      </c>
      <c r="E254">
        <v>35</v>
      </c>
    </row>
    <row r="255" spans="1:5">
      <c r="A255" t="s">
        <v>929</v>
      </c>
      <c r="B255" t="s">
        <v>964</v>
      </c>
      <c r="C255" t="s">
        <v>900</v>
      </c>
      <c r="D255" t="s">
        <v>908</v>
      </c>
      <c r="E255">
        <v>43</v>
      </c>
    </row>
    <row r="256" spans="1:5">
      <c r="A256" t="s">
        <v>929</v>
      </c>
      <c r="B256" t="s">
        <v>964</v>
      </c>
      <c r="C256" t="s">
        <v>900</v>
      </c>
      <c r="D256" t="s">
        <v>909</v>
      </c>
      <c r="E256">
        <v>107</v>
      </c>
    </row>
    <row r="257" spans="1:5">
      <c r="A257" t="s">
        <v>929</v>
      </c>
      <c r="B257" t="s">
        <v>964</v>
      </c>
      <c r="C257" t="s">
        <v>901</v>
      </c>
      <c r="D257" t="s">
        <v>911</v>
      </c>
      <c r="E257">
        <v>19</v>
      </c>
    </row>
    <row r="258" spans="1:5">
      <c r="A258" t="s">
        <v>929</v>
      </c>
      <c r="B258" t="s">
        <v>964</v>
      </c>
      <c r="C258" t="s">
        <v>901</v>
      </c>
      <c r="D258" t="s">
        <v>908</v>
      </c>
      <c r="E258">
        <v>35</v>
      </c>
    </row>
    <row r="259" spans="1:5">
      <c r="A259" t="s">
        <v>929</v>
      </c>
      <c r="B259" t="s">
        <v>964</v>
      </c>
      <c r="C259" t="s">
        <v>901</v>
      </c>
      <c r="D259" t="s">
        <v>909</v>
      </c>
      <c r="E259">
        <v>78</v>
      </c>
    </row>
    <row r="260" spans="1:5">
      <c r="A260" t="s">
        <v>929</v>
      </c>
      <c r="B260" t="s">
        <v>964</v>
      </c>
      <c r="C260" t="s">
        <v>902</v>
      </c>
      <c r="D260" t="s">
        <v>911</v>
      </c>
      <c r="E260">
        <v>27</v>
      </c>
    </row>
    <row r="261" spans="1:5">
      <c r="A261" t="s">
        <v>929</v>
      </c>
      <c r="B261" t="s">
        <v>964</v>
      </c>
      <c r="C261" t="s">
        <v>902</v>
      </c>
      <c r="D261" t="s">
        <v>908</v>
      </c>
      <c r="E261">
        <v>36</v>
      </c>
    </row>
    <row r="262" spans="1:5">
      <c r="A262" t="s">
        <v>929</v>
      </c>
      <c r="B262" t="s">
        <v>964</v>
      </c>
      <c r="C262" t="s">
        <v>902</v>
      </c>
      <c r="D262" t="s">
        <v>909</v>
      </c>
      <c r="E262">
        <v>83</v>
      </c>
    </row>
    <row r="263" spans="1:5">
      <c r="A263" t="s">
        <v>930</v>
      </c>
      <c r="B263" t="s">
        <v>965</v>
      </c>
      <c r="C263" t="s">
        <v>900</v>
      </c>
      <c r="D263" t="s">
        <v>911</v>
      </c>
      <c r="E263">
        <v>35</v>
      </c>
    </row>
    <row r="264" spans="1:5">
      <c r="A264" t="s">
        <v>930</v>
      </c>
      <c r="B264" t="s">
        <v>965</v>
      </c>
      <c r="C264" t="s">
        <v>900</v>
      </c>
      <c r="D264" t="s">
        <v>908</v>
      </c>
      <c r="E264">
        <v>43</v>
      </c>
    </row>
    <row r="265" spans="1:5">
      <c r="A265" t="s">
        <v>930</v>
      </c>
      <c r="B265" t="s">
        <v>965</v>
      </c>
      <c r="C265" t="s">
        <v>900</v>
      </c>
      <c r="D265" t="s">
        <v>909</v>
      </c>
      <c r="E265">
        <v>107</v>
      </c>
    </row>
    <row r="266" spans="1:5">
      <c r="A266" t="s">
        <v>930</v>
      </c>
      <c r="B266" t="s">
        <v>965</v>
      </c>
      <c r="C266" t="s">
        <v>901</v>
      </c>
      <c r="D266" t="s">
        <v>911</v>
      </c>
      <c r="E266">
        <v>19</v>
      </c>
    </row>
    <row r="267" spans="1:5">
      <c r="A267" t="s">
        <v>930</v>
      </c>
      <c r="B267" t="s">
        <v>965</v>
      </c>
      <c r="C267" t="s">
        <v>901</v>
      </c>
      <c r="D267" t="s">
        <v>908</v>
      </c>
      <c r="E267">
        <v>35</v>
      </c>
    </row>
    <row r="268" spans="1:5">
      <c r="A268" t="s">
        <v>930</v>
      </c>
      <c r="B268" t="s">
        <v>965</v>
      </c>
      <c r="C268" t="s">
        <v>901</v>
      </c>
      <c r="D268" t="s">
        <v>909</v>
      </c>
      <c r="E268">
        <v>77</v>
      </c>
    </row>
    <row r="269" spans="1:5">
      <c r="A269" t="s">
        <v>930</v>
      </c>
      <c r="B269" t="s">
        <v>965</v>
      </c>
      <c r="C269" t="s">
        <v>902</v>
      </c>
      <c r="D269" t="s">
        <v>911</v>
      </c>
      <c r="E269">
        <v>27</v>
      </c>
    </row>
    <row r="270" spans="1:5">
      <c r="A270" t="s">
        <v>930</v>
      </c>
      <c r="B270" t="s">
        <v>965</v>
      </c>
      <c r="C270" t="s">
        <v>902</v>
      </c>
      <c r="D270" t="s">
        <v>908</v>
      </c>
      <c r="E270">
        <v>36</v>
      </c>
    </row>
    <row r="271" spans="1:5">
      <c r="A271" t="s">
        <v>930</v>
      </c>
      <c r="B271" t="s">
        <v>965</v>
      </c>
      <c r="C271" t="s">
        <v>902</v>
      </c>
      <c r="D271" t="s">
        <v>909</v>
      </c>
      <c r="E271">
        <v>83</v>
      </c>
    </row>
    <row r="272" spans="1:5">
      <c r="A272" t="s">
        <v>931</v>
      </c>
      <c r="B272" t="s">
        <v>966</v>
      </c>
      <c r="C272" t="s">
        <v>900</v>
      </c>
      <c r="D272" t="s">
        <v>911</v>
      </c>
      <c r="E272">
        <v>35</v>
      </c>
    </row>
    <row r="273" spans="1:5">
      <c r="A273" t="s">
        <v>931</v>
      </c>
      <c r="B273" t="s">
        <v>966</v>
      </c>
      <c r="C273" t="s">
        <v>900</v>
      </c>
      <c r="D273" t="s">
        <v>908</v>
      </c>
      <c r="E273">
        <v>43</v>
      </c>
    </row>
    <row r="274" spans="1:5">
      <c r="A274" t="s">
        <v>931</v>
      </c>
      <c r="B274" t="s">
        <v>966</v>
      </c>
      <c r="C274" t="s">
        <v>900</v>
      </c>
      <c r="D274" t="s">
        <v>909</v>
      </c>
      <c r="E274">
        <v>107</v>
      </c>
    </row>
    <row r="275" spans="1:5">
      <c r="A275" t="s">
        <v>931</v>
      </c>
      <c r="B275" t="s">
        <v>966</v>
      </c>
      <c r="C275" t="s">
        <v>901</v>
      </c>
      <c r="D275" t="s">
        <v>911</v>
      </c>
      <c r="E275">
        <v>18</v>
      </c>
    </row>
    <row r="276" spans="1:5">
      <c r="A276" t="s">
        <v>931</v>
      </c>
      <c r="B276" t="s">
        <v>966</v>
      </c>
      <c r="C276" t="s">
        <v>901</v>
      </c>
      <c r="D276" t="s">
        <v>908</v>
      </c>
      <c r="E276">
        <v>34</v>
      </c>
    </row>
    <row r="277" spans="1:5">
      <c r="A277" t="s">
        <v>931</v>
      </c>
      <c r="B277" t="s">
        <v>966</v>
      </c>
      <c r="C277" t="s">
        <v>901</v>
      </c>
      <c r="D277" t="s">
        <v>909</v>
      </c>
      <c r="E277">
        <v>76</v>
      </c>
    </row>
    <row r="278" spans="1:5">
      <c r="A278" t="s">
        <v>931</v>
      </c>
      <c r="B278" t="s">
        <v>966</v>
      </c>
      <c r="C278" t="s">
        <v>902</v>
      </c>
      <c r="D278" t="s">
        <v>911</v>
      </c>
      <c r="E278">
        <v>27</v>
      </c>
    </row>
    <row r="279" spans="1:5">
      <c r="A279" t="s">
        <v>931</v>
      </c>
      <c r="B279" t="s">
        <v>966</v>
      </c>
      <c r="C279" t="s">
        <v>902</v>
      </c>
      <c r="D279" t="s">
        <v>908</v>
      </c>
      <c r="E279">
        <v>36</v>
      </c>
    </row>
    <row r="280" spans="1:5">
      <c r="A280" t="s">
        <v>931</v>
      </c>
      <c r="B280" t="s">
        <v>966</v>
      </c>
      <c r="C280" t="s">
        <v>902</v>
      </c>
      <c r="D280" t="s">
        <v>909</v>
      </c>
      <c r="E280">
        <v>83</v>
      </c>
    </row>
    <row r="281" spans="1:5">
      <c r="A281" t="s">
        <v>932</v>
      </c>
      <c r="B281" t="s">
        <v>967</v>
      </c>
      <c r="C281" t="s">
        <v>900</v>
      </c>
      <c r="D281" t="s">
        <v>911</v>
      </c>
      <c r="E281">
        <v>35</v>
      </c>
    </row>
    <row r="282" spans="1:5">
      <c r="A282" t="s">
        <v>932</v>
      </c>
      <c r="B282" t="s">
        <v>967</v>
      </c>
      <c r="C282" t="s">
        <v>900</v>
      </c>
      <c r="D282" t="s">
        <v>908</v>
      </c>
      <c r="E282">
        <v>43</v>
      </c>
    </row>
    <row r="283" spans="1:5">
      <c r="A283" t="s">
        <v>932</v>
      </c>
      <c r="B283" t="s">
        <v>967</v>
      </c>
      <c r="C283" t="s">
        <v>900</v>
      </c>
      <c r="D283" t="s">
        <v>909</v>
      </c>
      <c r="E283">
        <v>107</v>
      </c>
    </row>
    <row r="284" spans="1:5">
      <c r="A284" t="s">
        <v>932</v>
      </c>
      <c r="B284" t="s">
        <v>967</v>
      </c>
      <c r="C284" t="s">
        <v>901</v>
      </c>
      <c r="D284" t="s">
        <v>911</v>
      </c>
      <c r="E284">
        <v>18</v>
      </c>
    </row>
    <row r="285" spans="1:5">
      <c r="A285" t="s">
        <v>932</v>
      </c>
      <c r="B285" t="s">
        <v>967</v>
      </c>
      <c r="C285" t="s">
        <v>901</v>
      </c>
      <c r="D285" t="s">
        <v>908</v>
      </c>
      <c r="E285">
        <v>34</v>
      </c>
    </row>
    <row r="286" spans="1:5">
      <c r="A286" t="s">
        <v>932</v>
      </c>
      <c r="B286" t="s">
        <v>967</v>
      </c>
      <c r="C286" t="s">
        <v>901</v>
      </c>
      <c r="D286" t="s">
        <v>909</v>
      </c>
      <c r="E286">
        <v>76</v>
      </c>
    </row>
    <row r="287" spans="1:5">
      <c r="A287" t="s">
        <v>932</v>
      </c>
      <c r="B287" t="s">
        <v>967</v>
      </c>
      <c r="C287" t="s">
        <v>902</v>
      </c>
      <c r="D287" t="s">
        <v>911</v>
      </c>
      <c r="E287">
        <v>27</v>
      </c>
    </row>
    <row r="288" spans="1:5">
      <c r="A288" t="s">
        <v>932</v>
      </c>
      <c r="B288" t="s">
        <v>967</v>
      </c>
      <c r="C288" t="s">
        <v>902</v>
      </c>
      <c r="D288" t="s">
        <v>908</v>
      </c>
      <c r="E288">
        <v>36</v>
      </c>
    </row>
    <row r="289" spans="1:5">
      <c r="A289" t="s">
        <v>932</v>
      </c>
      <c r="B289" t="s">
        <v>967</v>
      </c>
      <c r="C289" t="s">
        <v>902</v>
      </c>
      <c r="D289" t="s">
        <v>909</v>
      </c>
      <c r="E289">
        <v>83</v>
      </c>
    </row>
    <row r="290" spans="1:5">
      <c r="A290" t="s">
        <v>933</v>
      </c>
      <c r="B290" t="s">
        <v>968</v>
      </c>
      <c r="C290" t="s">
        <v>900</v>
      </c>
      <c r="D290" t="s">
        <v>911</v>
      </c>
      <c r="E290">
        <v>35</v>
      </c>
    </row>
    <row r="291" spans="1:5">
      <c r="A291" t="s">
        <v>933</v>
      </c>
      <c r="B291" t="s">
        <v>968</v>
      </c>
      <c r="C291" t="s">
        <v>900</v>
      </c>
      <c r="D291" t="s">
        <v>908</v>
      </c>
      <c r="E291">
        <v>43</v>
      </c>
    </row>
    <row r="292" spans="1:5">
      <c r="A292" t="s">
        <v>933</v>
      </c>
      <c r="B292" t="s">
        <v>968</v>
      </c>
      <c r="C292" t="s">
        <v>900</v>
      </c>
      <c r="D292" t="s">
        <v>909</v>
      </c>
      <c r="E292">
        <v>107</v>
      </c>
    </row>
    <row r="293" spans="1:5">
      <c r="A293" t="s">
        <v>933</v>
      </c>
      <c r="B293" t="s">
        <v>968</v>
      </c>
      <c r="C293" t="s">
        <v>901</v>
      </c>
      <c r="D293" t="s">
        <v>911</v>
      </c>
      <c r="E293">
        <v>18</v>
      </c>
    </row>
    <row r="294" spans="1:5">
      <c r="A294" t="s">
        <v>933</v>
      </c>
      <c r="B294" t="s">
        <v>968</v>
      </c>
      <c r="C294" t="s">
        <v>901</v>
      </c>
      <c r="D294" t="s">
        <v>908</v>
      </c>
      <c r="E294">
        <v>34</v>
      </c>
    </row>
    <row r="295" spans="1:5">
      <c r="A295" t="s">
        <v>933</v>
      </c>
      <c r="B295" t="s">
        <v>968</v>
      </c>
      <c r="C295" t="s">
        <v>901</v>
      </c>
      <c r="D295" t="s">
        <v>909</v>
      </c>
      <c r="E295">
        <v>75</v>
      </c>
    </row>
    <row r="296" spans="1:5">
      <c r="A296" t="s">
        <v>933</v>
      </c>
      <c r="B296" t="s">
        <v>968</v>
      </c>
      <c r="C296" t="s">
        <v>902</v>
      </c>
      <c r="D296" t="s">
        <v>911</v>
      </c>
      <c r="E296">
        <v>27</v>
      </c>
    </row>
    <row r="297" spans="1:5">
      <c r="A297" t="s">
        <v>933</v>
      </c>
      <c r="B297" t="s">
        <v>968</v>
      </c>
      <c r="C297" t="s">
        <v>902</v>
      </c>
      <c r="D297" t="s">
        <v>908</v>
      </c>
      <c r="E297">
        <v>35</v>
      </c>
    </row>
    <row r="298" spans="1:5">
      <c r="A298" t="s">
        <v>933</v>
      </c>
      <c r="B298" t="s">
        <v>968</v>
      </c>
      <c r="C298" t="s">
        <v>902</v>
      </c>
      <c r="D298" t="s">
        <v>909</v>
      </c>
      <c r="E298">
        <v>83</v>
      </c>
    </row>
    <row r="299" spans="1:5">
      <c r="A299" t="s">
        <v>934</v>
      </c>
      <c r="B299" t="s">
        <v>969</v>
      </c>
      <c r="C299" t="s">
        <v>900</v>
      </c>
      <c r="D299" t="s">
        <v>911</v>
      </c>
      <c r="E299">
        <v>35</v>
      </c>
    </row>
    <row r="300" spans="1:5">
      <c r="A300" t="s">
        <v>934</v>
      </c>
      <c r="B300" t="s">
        <v>969</v>
      </c>
      <c r="C300" t="s">
        <v>900</v>
      </c>
      <c r="D300" t="s">
        <v>908</v>
      </c>
      <c r="E300">
        <v>43</v>
      </c>
    </row>
    <row r="301" spans="1:5">
      <c r="A301" t="s">
        <v>934</v>
      </c>
      <c r="B301" t="s">
        <v>969</v>
      </c>
      <c r="C301" t="s">
        <v>900</v>
      </c>
      <c r="D301" t="s">
        <v>909</v>
      </c>
      <c r="E301">
        <v>107</v>
      </c>
    </row>
    <row r="302" spans="1:5">
      <c r="A302" t="s">
        <v>934</v>
      </c>
      <c r="B302" t="s">
        <v>969</v>
      </c>
      <c r="C302" t="s">
        <v>901</v>
      </c>
      <c r="D302" t="s">
        <v>911</v>
      </c>
      <c r="E302">
        <v>18</v>
      </c>
    </row>
    <row r="303" spans="1:5">
      <c r="A303" t="s">
        <v>934</v>
      </c>
      <c r="B303" t="s">
        <v>969</v>
      </c>
      <c r="C303" t="s">
        <v>901</v>
      </c>
      <c r="D303" t="s">
        <v>908</v>
      </c>
      <c r="E303">
        <v>34</v>
      </c>
    </row>
    <row r="304" spans="1:5">
      <c r="A304" t="s">
        <v>934</v>
      </c>
      <c r="B304" t="s">
        <v>969</v>
      </c>
      <c r="C304" t="s">
        <v>901</v>
      </c>
      <c r="D304" t="s">
        <v>909</v>
      </c>
      <c r="E304">
        <v>75</v>
      </c>
    </row>
    <row r="305" spans="1:5">
      <c r="A305" t="s">
        <v>934</v>
      </c>
      <c r="B305" t="s">
        <v>969</v>
      </c>
      <c r="C305" t="s">
        <v>902</v>
      </c>
      <c r="D305" t="s">
        <v>911</v>
      </c>
      <c r="E305">
        <v>27</v>
      </c>
    </row>
    <row r="306" spans="1:5">
      <c r="A306" t="s">
        <v>934</v>
      </c>
      <c r="B306" t="s">
        <v>969</v>
      </c>
      <c r="C306" t="s">
        <v>902</v>
      </c>
      <c r="D306" t="s">
        <v>908</v>
      </c>
      <c r="E306">
        <v>35</v>
      </c>
    </row>
    <row r="307" spans="1:5">
      <c r="A307" t="s">
        <v>934</v>
      </c>
      <c r="B307" t="s">
        <v>969</v>
      </c>
      <c r="C307" t="s">
        <v>902</v>
      </c>
      <c r="D307" t="s">
        <v>909</v>
      </c>
      <c r="E307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01"/>
  <sheetViews>
    <sheetView workbookViewId="0"/>
  </sheetViews>
  <sheetFormatPr defaultRowHeight="15"/>
  <sheetData>
    <row r="1" spans="1:2">
      <c r="A1" t="s">
        <v>904</v>
      </c>
      <c r="B1" t="s">
        <v>981</v>
      </c>
    </row>
    <row r="2" spans="1:2">
      <c r="A2">
        <v>43</v>
      </c>
      <c r="B2">
        <v>1</v>
      </c>
    </row>
    <row r="3" spans="1:2">
      <c r="A3">
        <v>13</v>
      </c>
      <c r="B3">
        <v>1</v>
      </c>
    </row>
    <row r="4" spans="1:2">
      <c r="A4">
        <v>28</v>
      </c>
      <c r="B4">
        <v>1</v>
      </c>
    </row>
    <row r="5" spans="1:2">
      <c r="A5">
        <v>9</v>
      </c>
      <c r="B5">
        <v>1</v>
      </c>
    </row>
    <row r="6" spans="1:2">
      <c r="A6">
        <v>38</v>
      </c>
      <c r="B6">
        <v>1</v>
      </c>
    </row>
    <row r="7" spans="1:2">
      <c r="A7">
        <v>35</v>
      </c>
      <c r="B7">
        <v>1</v>
      </c>
    </row>
    <row r="8" spans="1:2">
      <c r="A8">
        <v>42</v>
      </c>
      <c r="B8">
        <v>1</v>
      </c>
    </row>
    <row r="9" spans="1:2">
      <c r="A9">
        <v>29</v>
      </c>
      <c r="B9">
        <v>1</v>
      </c>
    </row>
    <row r="10" spans="1:2">
      <c r="A10">
        <v>38</v>
      </c>
      <c r="B10">
        <v>1</v>
      </c>
    </row>
    <row r="11" spans="1:2">
      <c r="A11">
        <v>40</v>
      </c>
      <c r="B11">
        <v>0</v>
      </c>
    </row>
    <row r="12" spans="1:2">
      <c r="A12">
        <v>2</v>
      </c>
      <c r="B12">
        <v>1</v>
      </c>
    </row>
    <row r="13" spans="1:2">
      <c r="A13">
        <v>41</v>
      </c>
      <c r="B13">
        <v>1</v>
      </c>
    </row>
    <row r="14" spans="1:2">
      <c r="A14">
        <v>47</v>
      </c>
      <c r="B14">
        <v>0</v>
      </c>
    </row>
    <row r="15" spans="1:2">
      <c r="A15">
        <v>14</v>
      </c>
      <c r="B15">
        <v>1</v>
      </c>
    </row>
    <row r="16" spans="1:2">
      <c r="A16">
        <v>40</v>
      </c>
      <c r="B16">
        <v>1</v>
      </c>
    </row>
    <row r="17" spans="1:2">
      <c r="A17">
        <v>16</v>
      </c>
      <c r="B17">
        <v>1</v>
      </c>
    </row>
    <row r="18" spans="1:2">
      <c r="A18">
        <v>7</v>
      </c>
      <c r="B18">
        <v>1</v>
      </c>
    </row>
    <row r="19" spans="1:2">
      <c r="A19">
        <v>48</v>
      </c>
      <c r="B19">
        <v>0</v>
      </c>
    </row>
    <row r="20" spans="1:2">
      <c r="A20">
        <v>23</v>
      </c>
      <c r="B20">
        <v>1</v>
      </c>
    </row>
    <row r="21" spans="1:2">
      <c r="A21">
        <v>1</v>
      </c>
      <c r="B21">
        <v>1</v>
      </c>
    </row>
    <row r="22" spans="1:2">
      <c r="A22">
        <v>5</v>
      </c>
      <c r="B22">
        <v>0</v>
      </c>
    </row>
    <row r="23" spans="1:2">
      <c r="A23">
        <v>35</v>
      </c>
      <c r="B23">
        <v>1</v>
      </c>
    </row>
    <row r="24" spans="1:2">
      <c r="A24">
        <v>48</v>
      </c>
      <c r="B24">
        <v>1</v>
      </c>
    </row>
    <row r="25" spans="1:2">
      <c r="A25">
        <v>33</v>
      </c>
      <c r="B25">
        <v>1</v>
      </c>
    </row>
    <row r="26" spans="1:2">
      <c r="A26">
        <v>35</v>
      </c>
      <c r="B26">
        <v>1</v>
      </c>
    </row>
    <row r="27" spans="1:2">
      <c r="A27">
        <v>4</v>
      </c>
      <c r="B27">
        <v>1</v>
      </c>
    </row>
    <row r="28" spans="1:2">
      <c r="A28">
        <v>34</v>
      </c>
      <c r="B28">
        <v>1</v>
      </c>
    </row>
    <row r="29" spans="1:2">
      <c r="A29">
        <v>12</v>
      </c>
      <c r="B29">
        <v>1</v>
      </c>
    </row>
    <row r="30" spans="1:2">
      <c r="A30">
        <v>46</v>
      </c>
      <c r="B30">
        <v>1</v>
      </c>
    </row>
    <row r="31" spans="1:2">
      <c r="A31">
        <v>12</v>
      </c>
      <c r="B31">
        <v>1</v>
      </c>
    </row>
    <row r="32" spans="1:2">
      <c r="A32">
        <v>15</v>
      </c>
      <c r="B32">
        <v>1</v>
      </c>
    </row>
    <row r="33" spans="1:2">
      <c r="A33">
        <v>5</v>
      </c>
      <c r="B33">
        <v>0</v>
      </c>
    </row>
    <row r="34" spans="1:2">
      <c r="A34">
        <v>3</v>
      </c>
      <c r="B34">
        <v>1</v>
      </c>
    </row>
    <row r="35" spans="1:2">
      <c r="A35">
        <v>27</v>
      </c>
      <c r="B35">
        <v>1</v>
      </c>
    </row>
    <row r="36" spans="1:2">
      <c r="A36">
        <v>3</v>
      </c>
      <c r="B36">
        <v>0</v>
      </c>
    </row>
    <row r="37" spans="1:2">
      <c r="A37">
        <v>33</v>
      </c>
      <c r="B37">
        <v>1</v>
      </c>
    </row>
    <row r="38" spans="1:2">
      <c r="A38">
        <v>4</v>
      </c>
      <c r="B38">
        <v>1</v>
      </c>
    </row>
    <row r="39" spans="1:2">
      <c r="A39">
        <v>38</v>
      </c>
      <c r="B39">
        <v>1</v>
      </c>
    </row>
    <row r="40" spans="1:2">
      <c r="A40">
        <v>13</v>
      </c>
      <c r="B40">
        <v>1</v>
      </c>
    </row>
    <row r="41" spans="1:2">
      <c r="A41">
        <v>20</v>
      </c>
      <c r="B41">
        <v>1</v>
      </c>
    </row>
    <row r="42" spans="1:2">
      <c r="A42">
        <v>34</v>
      </c>
      <c r="B42">
        <v>1</v>
      </c>
    </row>
    <row r="43" spans="1:2">
      <c r="A43">
        <v>23</v>
      </c>
      <c r="B43">
        <v>1</v>
      </c>
    </row>
    <row r="44" spans="1:2">
      <c r="A44">
        <v>19</v>
      </c>
      <c r="B44">
        <v>1</v>
      </c>
    </row>
    <row r="45" spans="1:2">
      <c r="A45">
        <v>9</v>
      </c>
      <c r="B45">
        <v>1</v>
      </c>
    </row>
    <row r="46" spans="1:2">
      <c r="A46">
        <v>32</v>
      </c>
      <c r="B46">
        <v>1</v>
      </c>
    </row>
    <row r="47" spans="1:2">
      <c r="A47">
        <v>0</v>
      </c>
      <c r="B47">
        <v>1</v>
      </c>
    </row>
    <row r="48" spans="1:2">
      <c r="A48">
        <v>45</v>
      </c>
      <c r="B48">
        <v>0</v>
      </c>
    </row>
    <row r="49" spans="1:2">
      <c r="A49">
        <v>2</v>
      </c>
      <c r="B49">
        <v>1</v>
      </c>
    </row>
    <row r="50" spans="1:2">
      <c r="A50">
        <v>23</v>
      </c>
      <c r="B50">
        <v>1</v>
      </c>
    </row>
    <row r="51" spans="1:2">
      <c r="A51">
        <v>49</v>
      </c>
      <c r="B51">
        <v>1</v>
      </c>
    </row>
    <row r="52" spans="1:2">
      <c r="A52">
        <v>11</v>
      </c>
      <c r="B52">
        <v>1</v>
      </c>
    </row>
    <row r="53" spans="1:2">
      <c r="A53">
        <v>17</v>
      </c>
      <c r="B53">
        <v>1</v>
      </c>
    </row>
    <row r="54" spans="1:2">
      <c r="A54">
        <v>29</v>
      </c>
      <c r="B54">
        <v>1</v>
      </c>
    </row>
    <row r="55" spans="1:2">
      <c r="A55">
        <v>21</v>
      </c>
      <c r="B55">
        <v>0</v>
      </c>
    </row>
    <row r="56" spans="1:2">
      <c r="A56">
        <v>21</v>
      </c>
      <c r="B56">
        <v>1</v>
      </c>
    </row>
    <row r="57" spans="1:2">
      <c r="A57">
        <v>6</v>
      </c>
      <c r="B57">
        <v>1</v>
      </c>
    </row>
    <row r="58" spans="1:2">
      <c r="A58">
        <v>36</v>
      </c>
      <c r="B58">
        <v>1</v>
      </c>
    </row>
    <row r="59" spans="1:2">
      <c r="A59">
        <v>27</v>
      </c>
      <c r="B59">
        <v>1</v>
      </c>
    </row>
    <row r="60" spans="1:2">
      <c r="A60">
        <v>32</v>
      </c>
      <c r="B60">
        <v>1</v>
      </c>
    </row>
    <row r="61" spans="1:2">
      <c r="A61">
        <v>26</v>
      </c>
      <c r="B61">
        <v>1</v>
      </c>
    </row>
    <row r="62" spans="1:2">
      <c r="A62">
        <v>35</v>
      </c>
      <c r="B62">
        <v>1</v>
      </c>
    </row>
    <row r="63" spans="1:2">
      <c r="A63">
        <v>28</v>
      </c>
      <c r="B63">
        <v>1</v>
      </c>
    </row>
    <row r="64" spans="1:2">
      <c r="A64">
        <v>18</v>
      </c>
      <c r="B64">
        <v>1</v>
      </c>
    </row>
    <row r="65" spans="1:2">
      <c r="A65">
        <v>14</v>
      </c>
      <c r="B65">
        <v>1</v>
      </c>
    </row>
    <row r="66" spans="1:2">
      <c r="A66">
        <v>49</v>
      </c>
      <c r="B66">
        <v>1</v>
      </c>
    </row>
    <row r="67" spans="1:2">
      <c r="A67">
        <v>25</v>
      </c>
      <c r="B67">
        <v>1</v>
      </c>
    </row>
    <row r="68" spans="1:2">
      <c r="A68">
        <v>14</v>
      </c>
      <c r="B68">
        <v>0</v>
      </c>
    </row>
    <row r="69" spans="1:2">
      <c r="A69">
        <v>8</v>
      </c>
      <c r="B69">
        <v>1</v>
      </c>
    </row>
    <row r="70" spans="1:2">
      <c r="A70">
        <v>46</v>
      </c>
      <c r="B70">
        <v>1</v>
      </c>
    </row>
    <row r="71" spans="1:2">
      <c r="A71">
        <v>16</v>
      </c>
      <c r="B71">
        <v>1</v>
      </c>
    </row>
    <row r="72" spans="1:2">
      <c r="A72">
        <v>17</v>
      </c>
      <c r="B72">
        <v>1</v>
      </c>
    </row>
    <row r="73" spans="1:2">
      <c r="A73">
        <v>34</v>
      </c>
      <c r="B73">
        <v>1</v>
      </c>
    </row>
    <row r="74" spans="1:2">
      <c r="A74">
        <v>4</v>
      </c>
      <c r="B74">
        <v>1</v>
      </c>
    </row>
    <row r="75" spans="1:2">
      <c r="A75">
        <v>26</v>
      </c>
      <c r="B75">
        <v>1</v>
      </c>
    </row>
    <row r="76" spans="1:2">
      <c r="A76">
        <v>0</v>
      </c>
      <c r="B76">
        <v>1</v>
      </c>
    </row>
    <row r="77" spans="1:2">
      <c r="A77">
        <v>14</v>
      </c>
      <c r="B77">
        <v>1</v>
      </c>
    </row>
    <row r="78" spans="1:2">
      <c r="A78">
        <v>29</v>
      </c>
      <c r="B78">
        <v>1</v>
      </c>
    </row>
    <row r="79" spans="1:2">
      <c r="A79">
        <v>41</v>
      </c>
      <c r="B79">
        <v>1</v>
      </c>
    </row>
    <row r="80" spans="1:2">
      <c r="A80">
        <v>13</v>
      </c>
      <c r="B80">
        <v>0</v>
      </c>
    </row>
    <row r="81" spans="1:2">
      <c r="A81">
        <v>5</v>
      </c>
      <c r="B81">
        <v>1</v>
      </c>
    </row>
    <row r="82" spans="1:2">
      <c r="A82">
        <v>41</v>
      </c>
      <c r="B82">
        <v>0</v>
      </c>
    </row>
    <row r="83" spans="1:2">
      <c r="A83">
        <v>9</v>
      </c>
      <c r="B83">
        <v>1</v>
      </c>
    </row>
    <row r="84" spans="1:2">
      <c r="A84">
        <v>44</v>
      </c>
      <c r="B84">
        <v>1</v>
      </c>
    </row>
    <row r="85" spans="1:2">
      <c r="A85">
        <v>19</v>
      </c>
      <c r="B85">
        <v>1</v>
      </c>
    </row>
    <row r="86" spans="1:2">
      <c r="A86">
        <v>45</v>
      </c>
      <c r="B86">
        <v>1</v>
      </c>
    </row>
    <row r="87" spans="1:2">
      <c r="A87">
        <v>44</v>
      </c>
      <c r="B87">
        <v>1</v>
      </c>
    </row>
    <row r="88" spans="1:2">
      <c r="A88">
        <v>34</v>
      </c>
      <c r="B88">
        <v>1</v>
      </c>
    </row>
    <row r="89" spans="1:2">
      <c r="A89">
        <v>31</v>
      </c>
      <c r="B89">
        <v>1</v>
      </c>
    </row>
    <row r="90" spans="1:2">
      <c r="A90">
        <v>27</v>
      </c>
      <c r="B90">
        <v>1</v>
      </c>
    </row>
    <row r="91" spans="1:2">
      <c r="A91">
        <v>27</v>
      </c>
      <c r="B91">
        <v>1</v>
      </c>
    </row>
    <row r="92" spans="1:2">
      <c r="A92">
        <v>28</v>
      </c>
      <c r="B92">
        <v>1</v>
      </c>
    </row>
    <row r="93" spans="1:2">
      <c r="A93">
        <v>31</v>
      </c>
      <c r="B93">
        <v>1</v>
      </c>
    </row>
    <row r="94" spans="1:2">
      <c r="A94">
        <v>17</v>
      </c>
      <c r="B94">
        <v>1</v>
      </c>
    </row>
    <row r="95" spans="1:2">
      <c r="A95">
        <v>15</v>
      </c>
      <c r="B95">
        <v>1</v>
      </c>
    </row>
    <row r="96" spans="1:2">
      <c r="A96">
        <v>28</v>
      </c>
      <c r="B96">
        <v>1</v>
      </c>
    </row>
    <row r="97" spans="1:2">
      <c r="A97">
        <v>42</v>
      </c>
      <c r="B97">
        <v>1</v>
      </c>
    </row>
    <row r="98" spans="1:2">
      <c r="A98">
        <v>21</v>
      </c>
      <c r="B98">
        <v>1</v>
      </c>
    </row>
    <row r="99" spans="1:2">
      <c r="A99">
        <v>20</v>
      </c>
      <c r="B99">
        <v>1</v>
      </c>
    </row>
    <row r="100" spans="1:2">
      <c r="A100">
        <v>46</v>
      </c>
      <c r="B100">
        <v>0</v>
      </c>
    </row>
    <row r="101" spans="1:2">
      <c r="A101">
        <v>14</v>
      </c>
      <c r="B101">
        <v>1</v>
      </c>
    </row>
    <row r="102" spans="1:2">
      <c r="A102">
        <v>2</v>
      </c>
      <c r="B102">
        <v>1</v>
      </c>
    </row>
    <row r="103" spans="1:2">
      <c r="A103">
        <v>0</v>
      </c>
      <c r="B103">
        <v>1</v>
      </c>
    </row>
    <row r="104" spans="1:2">
      <c r="A104">
        <v>16</v>
      </c>
      <c r="B104">
        <v>1</v>
      </c>
    </row>
    <row r="105" spans="1:2">
      <c r="A105">
        <v>9</v>
      </c>
      <c r="B105">
        <v>1</v>
      </c>
    </row>
    <row r="106" spans="1:2">
      <c r="A106">
        <v>38</v>
      </c>
      <c r="B106">
        <v>1</v>
      </c>
    </row>
    <row r="107" spans="1:2">
      <c r="A107">
        <v>37</v>
      </c>
      <c r="B107">
        <v>1</v>
      </c>
    </row>
    <row r="108" spans="1:2">
      <c r="A108">
        <v>40</v>
      </c>
      <c r="B108">
        <v>0</v>
      </c>
    </row>
    <row r="109" spans="1:2">
      <c r="A109">
        <v>4</v>
      </c>
      <c r="B109">
        <v>0</v>
      </c>
    </row>
    <row r="110" spans="1:2">
      <c r="A110">
        <v>2</v>
      </c>
      <c r="B110">
        <v>1</v>
      </c>
    </row>
    <row r="111" spans="1:2">
      <c r="A111">
        <v>43</v>
      </c>
      <c r="B111">
        <v>1</v>
      </c>
    </row>
    <row r="112" spans="1:2">
      <c r="A112">
        <v>7</v>
      </c>
      <c r="B112">
        <v>1</v>
      </c>
    </row>
    <row r="113" spans="1:2">
      <c r="A113">
        <v>3</v>
      </c>
      <c r="B113">
        <v>1</v>
      </c>
    </row>
    <row r="114" spans="1:2">
      <c r="A114">
        <v>29</v>
      </c>
      <c r="B114">
        <v>1</v>
      </c>
    </row>
    <row r="115" spans="1:2">
      <c r="A115">
        <v>5</v>
      </c>
      <c r="B115">
        <v>1</v>
      </c>
    </row>
    <row r="116" spans="1:2">
      <c r="A116">
        <v>14</v>
      </c>
      <c r="B116">
        <v>1</v>
      </c>
    </row>
    <row r="117" spans="1:2">
      <c r="A117">
        <v>2</v>
      </c>
      <c r="B117">
        <v>1</v>
      </c>
    </row>
    <row r="118" spans="1:2">
      <c r="A118">
        <v>37</v>
      </c>
      <c r="B118">
        <v>1</v>
      </c>
    </row>
    <row r="119" spans="1:2">
      <c r="A119">
        <v>42</v>
      </c>
      <c r="B119">
        <v>1</v>
      </c>
    </row>
    <row r="120" spans="1:2">
      <c r="A120">
        <v>48</v>
      </c>
      <c r="B120">
        <v>1</v>
      </c>
    </row>
    <row r="121" spans="1:2">
      <c r="A121">
        <v>49</v>
      </c>
      <c r="B121">
        <v>1</v>
      </c>
    </row>
    <row r="122" spans="1:2">
      <c r="A122">
        <v>3</v>
      </c>
      <c r="B122">
        <v>1</v>
      </c>
    </row>
    <row r="123" spans="1:2">
      <c r="A123">
        <v>13</v>
      </c>
      <c r="B123">
        <v>1</v>
      </c>
    </row>
    <row r="124" spans="1:2">
      <c r="A124">
        <v>1</v>
      </c>
      <c r="B124">
        <v>1</v>
      </c>
    </row>
    <row r="125" spans="1:2">
      <c r="A125">
        <v>26</v>
      </c>
      <c r="B125">
        <v>1</v>
      </c>
    </row>
    <row r="126" spans="1:2">
      <c r="A126">
        <v>45</v>
      </c>
      <c r="B126">
        <v>1</v>
      </c>
    </row>
    <row r="127" spans="1:2">
      <c r="A127">
        <v>15</v>
      </c>
      <c r="B127">
        <v>1</v>
      </c>
    </row>
    <row r="128" spans="1:2">
      <c r="A128">
        <v>17</v>
      </c>
      <c r="B128">
        <v>1</v>
      </c>
    </row>
    <row r="129" spans="1:2">
      <c r="A129">
        <v>46</v>
      </c>
      <c r="B129">
        <v>1</v>
      </c>
    </row>
    <row r="130" spans="1:2">
      <c r="A130">
        <v>34</v>
      </c>
      <c r="B130">
        <v>1</v>
      </c>
    </row>
    <row r="131" spans="1:2">
      <c r="A131">
        <v>20</v>
      </c>
      <c r="B131">
        <v>1</v>
      </c>
    </row>
    <row r="132" spans="1:2">
      <c r="A132">
        <v>20</v>
      </c>
      <c r="B132">
        <v>1</v>
      </c>
    </row>
    <row r="133" spans="1:2">
      <c r="A133">
        <v>2</v>
      </c>
      <c r="B133">
        <v>1</v>
      </c>
    </row>
    <row r="134" spans="1:2">
      <c r="A134">
        <v>33</v>
      </c>
      <c r="B134">
        <v>1</v>
      </c>
    </row>
    <row r="135" spans="1:2">
      <c r="A135">
        <v>30</v>
      </c>
      <c r="B135">
        <v>1</v>
      </c>
    </row>
    <row r="136" spans="1:2">
      <c r="A136">
        <v>43</v>
      </c>
      <c r="B136">
        <v>1</v>
      </c>
    </row>
    <row r="137" spans="1:2">
      <c r="A137">
        <v>2</v>
      </c>
      <c r="B137">
        <v>1</v>
      </c>
    </row>
    <row r="138" spans="1:2">
      <c r="A138">
        <v>47</v>
      </c>
      <c r="B138">
        <v>1</v>
      </c>
    </row>
    <row r="139" spans="1:2">
      <c r="A139">
        <v>10</v>
      </c>
      <c r="B139">
        <v>1</v>
      </c>
    </row>
    <row r="140" spans="1:2">
      <c r="A140">
        <v>22</v>
      </c>
      <c r="B140">
        <v>1</v>
      </c>
    </row>
    <row r="141" spans="1:2">
      <c r="A141">
        <v>11</v>
      </c>
      <c r="B141">
        <v>1</v>
      </c>
    </row>
    <row r="142" spans="1:2">
      <c r="A142">
        <v>9</v>
      </c>
      <c r="B142">
        <v>1</v>
      </c>
    </row>
    <row r="143" spans="1:2">
      <c r="A143">
        <v>18</v>
      </c>
      <c r="B143">
        <v>1</v>
      </c>
    </row>
    <row r="144" spans="1:2">
      <c r="A144">
        <v>19</v>
      </c>
      <c r="B144">
        <v>1</v>
      </c>
    </row>
    <row r="145" spans="1:2">
      <c r="A145">
        <v>24</v>
      </c>
      <c r="B145">
        <v>1</v>
      </c>
    </row>
    <row r="146" spans="1:2">
      <c r="A146">
        <v>1</v>
      </c>
      <c r="B146">
        <v>1</v>
      </c>
    </row>
    <row r="147" spans="1:2">
      <c r="A147">
        <v>47</v>
      </c>
      <c r="B147">
        <v>1</v>
      </c>
    </row>
    <row r="148" spans="1:2">
      <c r="A148">
        <v>39</v>
      </c>
      <c r="B148">
        <v>1</v>
      </c>
    </row>
    <row r="149" spans="1:2">
      <c r="A149">
        <v>50</v>
      </c>
      <c r="B149">
        <v>1</v>
      </c>
    </row>
    <row r="150" spans="1:2">
      <c r="A150">
        <v>20</v>
      </c>
      <c r="B150">
        <v>1</v>
      </c>
    </row>
    <row r="151" spans="1:2">
      <c r="A151">
        <v>32</v>
      </c>
      <c r="B151">
        <v>1</v>
      </c>
    </row>
    <row r="152" spans="1:2">
      <c r="A152">
        <v>7</v>
      </c>
      <c r="B152">
        <v>1</v>
      </c>
    </row>
    <row r="153" spans="1:2">
      <c r="A153">
        <v>23</v>
      </c>
      <c r="B153">
        <v>1</v>
      </c>
    </row>
    <row r="154" spans="1:2">
      <c r="A154">
        <v>43</v>
      </c>
      <c r="B154">
        <v>1</v>
      </c>
    </row>
    <row r="155" spans="1:2">
      <c r="A155">
        <v>43</v>
      </c>
      <c r="B155">
        <v>1</v>
      </c>
    </row>
    <row r="156" spans="1:2">
      <c r="A156">
        <v>14</v>
      </c>
      <c r="B156">
        <v>1</v>
      </c>
    </row>
    <row r="157" spans="1:2">
      <c r="A157">
        <v>7</v>
      </c>
      <c r="B157">
        <v>1</v>
      </c>
    </row>
    <row r="158" spans="1:2">
      <c r="A158">
        <v>15</v>
      </c>
      <c r="B158">
        <v>1</v>
      </c>
    </row>
    <row r="159" spans="1:2">
      <c r="A159">
        <v>47</v>
      </c>
      <c r="B159">
        <v>1</v>
      </c>
    </row>
    <row r="160" spans="1:2">
      <c r="A160">
        <v>26</v>
      </c>
      <c r="B160">
        <v>0</v>
      </c>
    </row>
    <row r="161" spans="1:2">
      <c r="A161">
        <v>23</v>
      </c>
      <c r="B161">
        <v>1</v>
      </c>
    </row>
    <row r="162" spans="1:2">
      <c r="A162">
        <v>12</v>
      </c>
      <c r="B162">
        <v>1</v>
      </c>
    </row>
    <row r="163" spans="1:2">
      <c r="A163">
        <v>50</v>
      </c>
      <c r="B163">
        <v>1</v>
      </c>
    </row>
    <row r="164" spans="1:2">
      <c r="A164">
        <v>13</v>
      </c>
      <c r="B164">
        <v>1</v>
      </c>
    </row>
    <row r="165" spans="1:2">
      <c r="A165">
        <v>34</v>
      </c>
      <c r="B165">
        <v>0</v>
      </c>
    </row>
    <row r="166" spans="1:2">
      <c r="A166">
        <v>22</v>
      </c>
      <c r="B166">
        <v>1</v>
      </c>
    </row>
    <row r="167" spans="1:2">
      <c r="A167">
        <v>47</v>
      </c>
      <c r="B167">
        <v>1</v>
      </c>
    </row>
    <row r="168" spans="1:2">
      <c r="A168">
        <v>37</v>
      </c>
      <c r="B168">
        <v>1</v>
      </c>
    </row>
    <row r="169" spans="1:2">
      <c r="A169">
        <v>19</v>
      </c>
      <c r="B169">
        <v>1</v>
      </c>
    </row>
    <row r="170" spans="1:2">
      <c r="A170">
        <v>31</v>
      </c>
      <c r="B170">
        <v>1</v>
      </c>
    </row>
    <row r="171" spans="1:2">
      <c r="A171">
        <v>8</v>
      </c>
      <c r="B171">
        <v>1</v>
      </c>
    </row>
    <row r="172" spans="1:2">
      <c r="A172">
        <v>38</v>
      </c>
      <c r="B172">
        <v>1</v>
      </c>
    </row>
    <row r="173" spans="1:2">
      <c r="A173">
        <v>41</v>
      </c>
      <c r="B173">
        <v>1</v>
      </c>
    </row>
    <row r="174" spans="1:2">
      <c r="A174">
        <v>21</v>
      </c>
      <c r="B174">
        <v>1</v>
      </c>
    </row>
    <row r="175" spans="1:2">
      <c r="A175">
        <v>23</v>
      </c>
      <c r="B175">
        <v>1</v>
      </c>
    </row>
    <row r="176" spans="1:2">
      <c r="A176">
        <v>6</v>
      </c>
      <c r="B176">
        <v>1</v>
      </c>
    </row>
    <row r="177" spans="1:2">
      <c r="A177">
        <v>26</v>
      </c>
      <c r="B177">
        <v>1</v>
      </c>
    </row>
    <row r="178" spans="1:2">
      <c r="A178">
        <v>6</v>
      </c>
      <c r="B178">
        <v>1</v>
      </c>
    </row>
    <row r="179" spans="1:2">
      <c r="A179">
        <v>22</v>
      </c>
      <c r="B179">
        <v>1</v>
      </c>
    </row>
    <row r="180" spans="1:2">
      <c r="A180">
        <v>49</v>
      </c>
      <c r="B180">
        <v>1</v>
      </c>
    </row>
    <row r="181" spans="1:2">
      <c r="A181">
        <v>11</v>
      </c>
      <c r="B181">
        <v>1</v>
      </c>
    </row>
    <row r="182" spans="1:2">
      <c r="A182">
        <v>42</v>
      </c>
      <c r="B182">
        <v>0</v>
      </c>
    </row>
    <row r="183" spans="1:2">
      <c r="A183">
        <v>13</v>
      </c>
      <c r="B183">
        <v>1</v>
      </c>
    </row>
    <row r="184" spans="1:2">
      <c r="A184">
        <v>49</v>
      </c>
      <c r="B184">
        <v>1</v>
      </c>
    </row>
    <row r="185" spans="1:2">
      <c r="A185">
        <v>17</v>
      </c>
      <c r="B185">
        <v>1</v>
      </c>
    </row>
    <row r="186" spans="1:2">
      <c r="A186">
        <v>48</v>
      </c>
      <c r="B186">
        <v>1</v>
      </c>
    </row>
    <row r="187" spans="1:2">
      <c r="A187">
        <v>42</v>
      </c>
      <c r="B187">
        <v>1</v>
      </c>
    </row>
    <row r="188" spans="1:2">
      <c r="A188">
        <v>13</v>
      </c>
      <c r="B188">
        <v>1</v>
      </c>
    </row>
    <row r="189" spans="1:2">
      <c r="A189">
        <v>31</v>
      </c>
      <c r="B189">
        <v>1</v>
      </c>
    </row>
    <row r="190" spans="1:2">
      <c r="A190">
        <v>35</v>
      </c>
      <c r="B190">
        <v>1</v>
      </c>
    </row>
    <row r="191" spans="1:2">
      <c r="A191">
        <v>1</v>
      </c>
      <c r="B191">
        <v>1</v>
      </c>
    </row>
    <row r="192" spans="1:2">
      <c r="A192">
        <v>18</v>
      </c>
      <c r="B192">
        <v>1</v>
      </c>
    </row>
    <row r="193" spans="1:2">
      <c r="A193">
        <v>5</v>
      </c>
      <c r="B193">
        <v>1</v>
      </c>
    </row>
    <row r="194" spans="1:2">
      <c r="A194">
        <v>19</v>
      </c>
      <c r="B194">
        <v>1</v>
      </c>
    </row>
    <row r="195" spans="1:2">
      <c r="A195">
        <v>40</v>
      </c>
      <c r="B195">
        <v>1</v>
      </c>
    </row>
    <row r="196" spans="1:2">
      <c r="A196">
        <v>46</v>
      </c>
      <c r="B196">
        <v>1</v>
      </c>
    </row>
    <row r="197" spans="1:2">
      <c r="A197">
        <v>38</v>
      </c>
      <c r="B197">
        <v>1</v>
      </c>
    </row>
    <row r="198" spans="1:2">
      <c r="A198">
        <v>41</v>
      </c>
      <c r="B198">
        <v>1</v>
      </c>
    </row>
    <row r="199" spans="1:2">
      <c r="A199">
        <v>30</v>
      </c>
      <c r="B199">
        <v>1</v>
      </c>
    </row>
    <row r="200" spans="1:2">
      <c r="A200">
        <v>19</v>
      </c>
      <c r="B200">
        <v>0</v>
      </c>
    </row>
    <row r="201" spans="1:2">
      <c r="A201">
        <v>41</v>
      </c>
      <c r="B201">
        <v>1</v>
      </c>
    </row>
    <row r="202" spans="1:2">
      <c r="A202">
        <v>36</v>
      </c>
      <c r="B202">
        <v>1</v>
      </c>
    </row>
    <row r="203" spans="1:2">
      <c r="A203">
        <v>28</v>
      </c>
      <c r="B203">
        <v>1</v>
      </c>
    </row>
    <row r="204" spans="1:2">
      <c r="A204">
        <v>15</v>
      </c>
      <c r="B204">
        <v>1</v>
      </c>
    </row>
    <row r="205" spans="1:2">
      <c r="A205">
        <v>23</v>
      </c>
      <c r="B205">
        <v>1</v>
      </c>
    </row>
    <row r="206" spans="1:2">
      <c r="A206">
        <v>4</v>
      </c>
      <c r="B206">
        <v>1</v>
      </c>
    </row>
    <row r="207" spans="1:2">
      <c r="A207">
        <v>9</v>
      </c>
      <c r="B207">
        <v>1</v>
      </c>
    </row>
    <row r="208" spans="1:2">
      <c r="A208">
        <v>41</v>
      </c>
      <c r="B208">
        <v>0</v>
      </c>
    </row>
    <row r="209" spans="1:2">
      <c r="A209">
        <v>35</v>
      </c>
      <c r="B209">
        <v>1</v>
      </c>
    </row>
    <row r="210" spans="1:2">
      <c r="A210">
        <v>32</v>
      </c>
      <c r="B210">
        <v>1</v>
      </c>
    </row>
    <row r="211" spans="1:2">
      <c r="A211">
        <v>49</v>
      </c>
      <c r="B211">
        <v>1</v>
      </c>
    </row>
    <row r="212" spans="1:2">
      <c r="A212">
        <v>32</v>
      </c>
      <c r="B212">
        <v>1</v>
      </c>
    </row>
    <row r="213" spans="1:2">
      <c r="A213">
        <v>8</v>
      </c>
      <c r="B213">
        <v>0</v>
      </c>
    </row>
    <row r="214" spans="1:2">
      <c r="A214">
        <v>2</v>
      </c>
      <c r="B214">
        <v>1</v>
      </c>
    </row>
    <row r="215" spans="1:2">
      <c r="A215">
        <v>14</v>
      </c>
      <c r="B215">
        <v>1</v>
      </c>
    </row>
    <row r="216" spans="1:2">
      <c r="A216">
        <v>43</v>
      </c>
      <c r="B216">
        <v>1</v>
      </c>
    </row>
    <row r="217" spans="1:2">
      <c r="A217">
        <v>12</v>
      </c>
      <c r="B217">
        <v>1</v>
      </c>
    </row>
    <row r="218" spans="1:2">
      <c r="A218">
        <v>6</v>
      </c>
      <c r="B218">
        <v>1</v>
      </c>
    </row>
    <row r="219" spans="1:2">
      <c r="A219">
        <v>28</v>
      </c>
      <c r="B219">
        <v>1</v>
      </c>
    </row>
    <row r="220" spans="1:2">
      <c r="A220">
        <v>22</v>
      </c>
      <c r="B220">
        <v>1</v>
      </c>
    </row>
    <row r="221" spans="1:2">
      <c r="A221">
        <v>5</v>
      </c>
      <c r="B221">
        <v>1</v>
      </c>
    </row>
    <row r="222" spans="1:2">
      <c r="A222">
        <v>8</v>
      </c>
      <c r="B222">
        <v>1</v>
      </c>
    </row>
    <row r="223" spans="1:2">
      <c r="A223">
        <v>39</v>
      </c>
      <c r="B223">
        <v>1</v>
      </c>
    </row>
    <row r="224" spans="1:2">
      <c r="A224">
        <v>46</v>
      </c>
      <c r="B224">
        <v>1</v>
      </c>
    </row>
    <row r="225" spans="1:2">
      <c r="A225">
        <v>7</v>
      </c>
      <c r="B225">
        <v>1</v>
      </c>
    </row>
    <row r="226" spans="1:2">
      <c r="A226">
        <v>7</v>
      </c>
      <c r="B226">
        <v>1</v>
      </c>
    </row>
    <row r="227" spans="1:2">
      <c r="A227">
        <v>18</v>
      </c>
      <c r="B227">
        <v>1</v>
      </c>
    </row>
    <row r="228" spans="1:2">
      <c r="A228">
        <v>42</v>
      </c>
      <c r="B228">
        <v>1</v>
      </c>
    </row>
    <row r="229" spans="1:2">
      <c r="A229">
        <v>32</v>
      </c>
      <c r="B229">
        <v>0</v>
      </c>
    </row>
    <row r="230" spans="1:2">
      <c r="A230">
        <v>23</v>
      </c>
      <c r="B230">
        <v>1</v>
      </c>
    </row>
    <row r="231" spans="1:2">
      <c r="A231">
        <v>47</v>
      </c>
      <c r="B231">
        <v>1</v>
      </c>
    </row>
    <row r="232" spans="1:2">
      <c r="A232">
        <v>49</v>
      </c>
      <c r="B232">
        <v>1</v>
      </c>
    </row>
    <row r="233" spans="1:2">
      <c r="A233">
        <v>45</v>
      </c>
      <c r="B233">
        <v>1</v>
      </c>
    </row>
    <row r="234" spans="1:2">
      <c r="A234">
        <v>20</v>
      </c>
      <c r="B234">
        <v>1</v>
      </c>
    </row>
    <row r="235" spans="1:2">
      <c r="A235">
        <v>18</v>
      </c>
      <c r="B235">
        <v>1</v>
      </c>
    </row>
    <row r="236" spans="1:2">
      <c r="A236">
        <v>25</v>
      </c>
      <c r="B236">
        <v>1</v>
      </c>
    </row>
    <row r="237" spans="1:2">
      <c r="A237">
        <v>23</v>
      </c>
      <c r="B237">
        <v>1</v>
      </c>
    </row>
    <row r="238" spans="1:2">
      <c r="A238">
        <v>18</v>
      </c>
      <c r="B238">
        <v>1</v>
      </c>
    </row>
    <row r="239" spans="1:2">
      <c r="A239">
        <v>38</v>
      </c>
      <c r="B239">
        <v>1</v>
      </c>
    </row>
    <row r="240" spans="1:2">
      <c r="A240">
        <v>46</v>
      </c>
      <c r="B240">
        <v>1</v>
      </c>
    </row>
    <row r="241" spans="1:2">
      <c r="A241">
        <v>42</v>
      </c>
      <c r="B241">
        <v>1</v>
      </c>
    </row>
    <row r="242" spans="1:2">
      <c r="A242">
        <v>9</v>
      </c>
      <c r="B242">
        <v>1</v>
      </c>
    </row>
    <row r="243" spans="1:2">
      <c r="A243">
        <v>24</v>
      </c>
      <c r="B243">
        <v>1</v>
      </c>
    </row>
    <row r="244" spans="1:2">
      <c r="A244">
        <v>28</v>
      </c>
      <c r="B244">
        <v>1</v>
      </c>
    </row>
    <row r="245" spans="1:2">
      <c r="A245">
        <v>41</v>
      </c>
      <c r="B245">
        <v>1</v>
      </c>
    </row>
    <row r="246" spans="1:2">
      <c r="A246">
        <v>24</v>
      </c>
      <c r="B246">
        <v>1</v>
      </c>
    </row>
    <row r="247" spans="1:2">
      <c r="A247">
        <v>18</v>
      </c>
      <c r="B247">
        <v>1</v>
      </c>
    </row>
    <row r="248" spans="1:2">
      <c r="A248">
        <v>11</v>
      </c>
      <c r="B248">
        <v>1</v>
      </c>
    </row>
    <row r="249" spans="1:2">
      <c r="A249">
        <v>45</v>
      </c>
      <c r="B249">
        <v>1</v>
      </c>
    </row>
    <row r="250" spans="1:2">
      <c r="A250">
        <v>50</v>
      </c>
      <c r="B250">
        <v>1</v>
      </c>
    </row>
    <row r="251" spans="1:2">
      <c r="A251">
        <v>50</v>
      </c>
      <c r="B251">
        <v>1</v>
      </c>
    </row>
    <row r="252" spans="1:2">
      <c r="A252">
        <v>8</v>
      </c>
      <c r="B252">
        <v>1</v>
      </c>
    </row>
    <row r="253" spans="1:2">
      <c r="A253">
        <v>26</v>
      </c>
      <c r="B253">
        <v>1</v>
      </c>
    </row>
    <row r="254" spans="1:2">
      <c r="A254">
        <v>28</v>
      </c>
      <c r="B254">
        <v>0</v>
      </c>
    </row>
    <row r="255" spans="1:2">
      <c r="A255">
        <v>27</v>
      </c>
      <c r="B255">
        <v>1</v>
      </c>
    </row>
    <row r="256" spans="1:2">
      <c r="A256">
        <v>20</v>
      </c>
      <c r="B256">
        <v>1</v>
      </c>
    </row>
    <row r="257" spans="1:2">
      <c r="A257">
        <v>12</v>
      </c>
      <c r="B257">
        <v>1</v>
      </c>
    </row>
    <row r="258" spans="1:2">
      <c r="A258">
        <v>41</v>
      </c>
      <c r="B258">
        <v>1</v>
      </c>
    </row>
    <row r="259" spans="1:2">
      <c r="A259">
        <v>21</v>
      </c>
      <c r="B259">
        <v>0</v>
      </c>
    </row>
    <row r="260" spans="1:2">
      <c r="A260">
        <v>16</v>
      </c>
      <c r="B260">
        <v>0</v>
      </c>
    </row>
    <row r="261" spans="1:2">
      <c r="A261">
        <v>40</v>
      </c>
      <c r="B261">
        <v>1</v>
      </c>
    </row>
    <row r="262" spans="1:2">
      <c r="A262">
        <v>29</v>
      </c>
      <c r="B262">
        <v>1</v>
      </c>
    </row>
    <row r="263" spans="1:2">
      <c r="A263">
        <v>21</v>
      </c>
      <c r="B263">
        <v>1</v>
      </c>
    </row>
    <row r="264" spans="1:2">
      <c r="A264">
        <v>8</v>
      </c>
      <c r="B264">
        <v>1</v>
      </c>
    </row>
    <row r="265" spans="1:2">
      <c r="A265">
        <v>7</v>
      </c>
      <c r="B265">
        <v>0</v>
      </c>
    </row>
    <row r="266" spans="1:2">
      <c r="A266">
        <v>39</v>
      </c>
      <c r="B266">
        <v>1</v>
      </c>
    </row>
    <row r="267" spans="1:2">
      <c r="A267">
        <v>48</v>
      </c>
      <c r="B267">
        <v>1</v>
      </c>
    </row>
    <row r="268" spans="1:2">
      <c r="A268">
        <v>1</v>
      </c>
      <c r="B268">
        <v>1</v>
      </c>
    </row>
    <row r="269" spans="1:2">
      <c r="A269">
        <v>22</v>
      </c>
      <c r="B269">
        <v>1</v>
      </c>
    </row>
    <row r="270" spans="1:2">
      <c r="A270">
        <v>34</v>
      </c>
      <c r="B270">
        <v>1</v>
      </c>
    </row>
    <row r="271" spans="1:2">
      <c r="A271">
        <v>23</v>
      </c>
      <c r="B271">
        <v>1</v>
      </c>
    </row>
    <row r="272" spans="1:2">
      <c r="A272">
        <v>18</v>
      </c>
      <c r="B272">
        <v>1</v>
      </c>
    </row>
    <row r="273" spans="1:2">
      <c r="A273">
        <v>43</v>
      </c>
      <c r="B273">
        <v>1</v>
      </c>
    </row>
    <row r="274" spans="1:2">
      <c r="A274">
        <v>23</v>
      </c>
      <c r="B274">
        <v>1</v>
      </c>
    </row>
    <row r="275" spans="1:2">
      <c r="A275">
        <v>2</v>
      </c>
      <c r="B275">
        <v>1</v>
      </c>
    </row>
    <row r="276" spans="1:2">
      <c r="A276">
        <v>39</v>
      </c>
      <c r="B276">
        <v>1</v>
      </c>
    </row>
    <row r="277" spans="1:2">
      <c r="A277">
        <v>21</v>
      </c>
      <c r="B277">
        <v>1</v>
      </c>
    </row>
    <row r="278" spans="1:2">
      <c r="A278">
        <v>1</v>
      </c>
      <c r="B278">
        <v>1</v>
      </c>
    </row>
    <row r="279" spans="1:2">
      <c r="A279">
        <v>38</v>
      </c>
      <c r="B279">
        <v>1</v>
      </c>
    </row>
    <row r="280" spans="1:2">
      <c r="A280">
        <v>30</v>
      </c>
      <c r="B280">
        <v>1</v>
      </c>
    </row>
    <row r="281" spans="1:2">
      <c r="A281">
        <v>43</v>
      </c>
      <c r="B281">
        <v>1</v>
      </c>
    </row>
    <row r="282" spans="1:2">
      <c r="A282">
        <v>20</v>
      </c>
      <c r="B282">
        <v>0</v>
      </c>
    </row>
    <row r="283" spans="1:2">
      <c r="A283">
        <v>45</v>
      </c>
      <c r="B283">
        <v>1</v>
      </c>
    </row>
    <row r="284" spans="1:2">
      <c r="A284">
        <v>24</v>
      </c>
      <c r="B284">
        <v>1</v>
      </c>
    </row>
    <row r="285" spans="1:2">
      <c r="A285">
        <v>39</v>
      </c>
      <c r="B285">
        <v>1</v>
      </c>
    </row>
    <row r="286" spans="1:2">
      <c r="A286">
        <v>49</v>
      </c>
      <c r="B286">
        <v>1</v>
      </c>
    </row>
    <row r="287" spans="1:2">
      <c r="A287">
        <v>35</v>
      </c>
      <c r="B287">
        <v>1</v>
      </c>
    </row>
    <row r="288" spans="1:2">
      <c r="A288">
        <v>22</v>
      </c>
      <c r="B288">
        <v>1</v>
      </c>
    </row>
    <row r="289" spans="1:2">
      <c r="A289">
        <v>28</v>
      </c>
      <c r="B289">
        <v>1</v>
      </c>
    </row>
    <row r="290" spans="1:2">
      <c r="A290">
        <v>44</v>
      </c>
      <c r="B290">
        <v>1</v>
      </c>
    </row>
    <row r="291" spans="1:2">
      <c r="A291">
        <v>3</v>
      </c>
      <c r="B291">
        <v>1</v>
      </c>
    </row>
    <row r="292" spans="1:2">
      <c r="A292">
        <v>21</v>
      </c>
      <c r="B292">
        <v>1</v>
      </c>
    </row>
    <row r="293" spans="1:2">
      <c r="A293">
        <v>10</v>
      </c>
      <c r="B293">
        <v>1</v>
      </c>
    </row>
    <row r="294" spans="1:2">
      <c r="A294">
        <v>18</v>
      </c>
      <c r="B294">
        <v>1</v>
      </c>
    </row>
    <row r="295" spans="1:2">
      <c r="A295">
        <v>26</v>
      </c>
      <c r="B295">
        <v>1</v>
      </c>
    </row>
    <row r="296" spans="1:2">
      <c r="A296">
        <v>0</v>
      </c>
      <c r="B296">
        <v>1</v>
      </c>
    </row>
    <row r="297" spans="1:2">
      <c r="A297">
        <v>29</v>
      </c>
      <c r="B297">
        <v>1</v>
      </c>
    </row>
    <row r="298" spans="1:2">
      <c r="A298">
        <v>29</v>
      </c>
      <c r="B298">
        <v>1</v>
      </c>
    </row>
    <row r="299" spans="1:2">
      <c r="A299">
        <v>45</v>
      </c>
      <c r="B299">
        <v>1</v>
      </c>
    </row>
    <row r="300" spans="1:2">
      <c r="A300">
        <v>39</v>
      </c>
      <c r="B300">
        <v>1</v>
      </c>
    </row>
    <row r="301" spans="1:2">
      <c r="A301">
        <v>11</v>
      </c>
      <c r="B301">
        <v>1</v>
      </c>
    </row>
    <row r="302" spans="1:2">
      <c r="A302">
        <v>28</v>
      </c>
      <c r="B302">
        <v>0</v>
      </c>
    </row>
    <row r="303" spans="1:2">
      <c r="A303">
        <v>41</v>
      </c>
      <c r="B303">
        <v>1</v>
      </c>
    </row>
    <row r="304" spans="1:2">
      <c r="A304">
        <v>25</v>
      </c>
      <c r="B304">
        <v>1</v>
      </c>
    </row>
    <row r="305" spans="1:2">
      <c r="A305">
        <v>39</v>
      </c>
      <c r="B305">
        <v>1</v>
      </c>
    </row>
    <row r="306" spans="1:2">
      <c r="A306">
        <v>44</v>
      </c>
      <c r="B306">
        <v>1</v>
      </c>
    </row>
    <row r="307" spans="1:2">
      <c r="A307">
        <v>50</v>
      </c>
      <c r="B307">
        <v>1</v>
      </c>
    </row>
    <row r="308" spans="1:2">
      <c r="A308">
        <v>7</v>
      </c>
      <c r="B308">
        <v>1</v>
      </c>
    </row>
    <row r="309" spans="1:2">
      <c r="A309">
        <v>20</v>
      </c>
      <c r="B309">
        <v>1</v>
      </c>
    </row>
    <row r="310" spans="1:2">
      <c r="A310">
        <v>32</v>
      </c>
      <c r="B310">
        <v>1</v>
      </c>
    </row>
    <row r="311" spans="1:2">
      <c r="A311">
        <v>3</v>
      </c>
      <c r="B311">
        <v>1</v>
      </c>
    </row>
    <row r="312" spans="1:2">
      <c r="A312">
        <v>0</v>
      </c>
      <c r="B312">
        <v>1</v>
      </c>
    </row>
    <row r="313" spans="1:2">
      <c r="A313">
        <v>34</v>
      </c>
      <c r="B313">
        <v>0</v>
      </c>
    </row>
    <row r="314" spans="1:2">
      <c r="A314">
        <v>49</v>
      </c>
      <c r="B314">
        <v>1</v>
      </c>
    </row>
    <row r="315" spans="1:2">
      <c r="A315">
        <v>5</v>
      </c>
      <c r="B315">
        <v>1</v>
      </c>
    </row>
    <row r="316" spans="1:2">
      <c r="A316">
        <v>34</v>
      </c>
      <c r="B316">
        <v>1</v>
      </c>
    </row>
    <row r="317" spans="1:2">
      <c r="A317">
        <v>29</v>
      </c>
      <c r="B317">
        <v>1</v>
      </c>
    </row>
    <row r="318" spans="1:2">
      <c r="A318">
        <v>29</v>
      </c>
      <c r="B318">
        <v>1</v>
      </c>
    </row>
    <row r="319" spans="1:2">
      <c r="A319">
        <v>42</v>
      </c>
      <c r="B319">
        <v>1</v>
      </c>
    </row>
    <row r="320" spans="1:2">
      <c r="A320">
        <v>2</v>
      </c>
      <c r="B320">
        <v>1</v>
      </c>
    </row>
    <row r="321" spans="1:2">
      <c r="A321">
        <v>25</v>
      </c>
      <c r="B321">
        <v>1</v>
      </c>
    </row>
    <row r="322" spans="1:2">
      <c r="A322">
        <v>32</v>
      </c>
      <c r="B322">
        <v>1</v>
      </c>
    </row>
    <row r="323" spans="1:2">
      <c r="A323">
        <v>19</v>
      </c>
      <c r="B323">
        <v>1</v>
      </c>
    </row>
    <row r="324" spans="1:2">
      <c r="A324">
        <v>37</v>
      </c>
      <c r="B324">
        <v>1</v>
      </c>
    </row>
    <row r="325" spans="1:2">
      <c r="A325">
        <v>22</v>
      </c>
      <c r="B325">
        <v>1</v>
      </c>
    </row>
    <row r="326" spans="1:2">
      <c r="A326">
        <v>19</v>
      </c>
      <c r="B326">
        <v>1</v>
      </c>
    </row>
    <row r="327" spans="1:2">
      <c r="A327">
        <v>45</v>
      </c>
      <c r="B327">
        <v>1</v>
      </c>
    </row>
    <row r="328" spans="1:2">
      <c r="A328">
        <v>33</v>
      </c>
      <c r="B328">
        <v>1</v>
      </c>
    </row>
    <row r="329" spans="1:2">
      <c r="A329">
        <v>23</v>
      </c>
      <c r="B329">
        <v>1</v>
      </c>
    </row>
    <row r="330" spans="1:2">
      <c r="A330">
        <v>38</v>
      </c>
      <c r="B330">
        <v>0</v>
      </c>
    </row>
    <row r="331" spans="1:2">
      <c r="A331">
        <v>13</v>
      </c>
      <c r="B331">
        <v>1</v>
      </c>
    </row>
    <row r="332" spans="1:2">
      <c r="A332">
        <v>15</v>
      </c>
      <c r="B332">
        <v>1</v>
      </c>
    </row>
    <row r="333" spans="1:2">
      <c r="A333">
        <v>20</v>
      </c>
      <c r="B333">
        <v>1</v>
      </c>
    </row>
    <row r="334" spans="1:2">
      <c r="A334">
        <v>16</v>
      </c>
      <c r="B334">
        <v>1</v>
      </c>
    </row>
    <row r="335" spans="1:2">
      <c r="A335">
        <v>13</v>
      </c>
      <c r="B335">
        <v>0</v>
      </c>
    </row>
    <row r="336" spans="1:2">
      <c r="A336">
        <v>1</v>
      </c>
      <c r="B336">
        <v>1</v>
      </c>
    </row>
    <row r="337" spans="1:2">
      <c r="A337">
        <v>12</v>
      </c>
      <c r="B337">
        <v>1</v>
      </c>
    </row>
    <row r="338" spans="1:2">
      <c r="A338">
        <v>41</v>
      </c>
      <c r="B338">
        <v>1</v>
      </c>
    </row>
    <row r="339" spans="1:2">
      <c r="A339">
        <v>10</v>
      </c>
      <c r="B339">
        <v>1</v>
      </c>
    </row>
    <row r="340" spans="1:2">
      <c r="A340">
        <v>34</v>
      </c>
      <c r="B340">
        <v>1</v>
      </c>
    </row>
    <row r="341" spans="1:2">
      <c r="A341">
        <v>48</v>
      </c>
      <c r="B341">
        <v>1</v>
      </c>
    </row>
    <row r="342" spans="1:2">
      <c r="A342">
        <v>13</v>
      </c>
      <c r="B342">
        <v>1</v>
      </c>
    </row>
    <row r="343" spans="1:2">
      <c r="A343">
        <v>1</v>
      </c>
      <c r="B343">
        <v>1</v>
      </c>
    </row>
    <row r="344" spans="1:2">
      <c r="A344">
        <v>34</v>
      </c>
      <c r="B344">
        <v>0</v>
      </c>
    </row>
    <row r="345" spans="1:2">
      <c r="A345">
        <v>6</v>
      </c>
      <c r="B345">
        <v>1</v>
      </c>
    </row>
    <row r="346" spans="1:2">
      <c r="A346">
        <v>17</v>
      </c>
      <c r="B346">
        <v>1</v>
      </c>
    </row>
    <row r="347" spans="1:2">
      <c r="A347">
        <v>19</v>
      </c>
      <c r="B347">
        <v>1</v>
      </c>
    </row>
    <row r="348" spans="1:2">
      <c r="A348">
        <v>24</v>
      </c>
      <c r="B348">
        <v>1</v>
      </c>
    </row>
    <row r="349" spans="1:2">
      <c r="A349">
        <v>31</v>
      </c>
      <c r="B349">
        <v>1</v>
      </c>
    </row>
    <row r="350" spans="1:2">
      <c r="A350">
        <v>13</v>
      </c>
      <c r="B350">
        <v>1</v>
      </c>
    </row>
    <row r="351" spans="1:2">
      <c r="A351">
        <v>34</v>
      </c>
      <c r="B351">
        <v>0</v>
      </c>
    </row>
    <row r="352" spans="1:2">
      <c r="A352">
        <v>9</v>
      </c>
      <c r="B352">
        <v>0</v>
      </c>
    </row>
    <row r="353" spans="1:2">
      <c r="A353">
        <v>24</v>
      </c>
      <c r="B353">
        <v>1</v>
      </c>
    </row>
    <row r="354" spans="1:2">
      <c r="A354">
        <v>32</v>
      </c>
      <c r="B354">
        <v>1</v>
      </c>
    </row>
    <row r="355" spans="1:2">
      <c r="A355">
        <v>38</v>
      </c>
      <c r="B355">
        <v>1</v>
      </c>
    </row>
    <row r="356" spans="1:2">
      <c r="A356">
        <v>40</v>
      </c>
      <c r="B356">
        <v>1</v>
      </c>
    </row>
    <row r="357" spans="1:2">
      <c r="A357">
        <v>11</v>
      </c>
      <c r="B357">
        <v>1</v>
      </c>
    </row>
    <row r="358" spans="1:2">
      <c r="A358">
        <v>15</v>
      </c>
      <c r="B358">
        <v>0</v>
      </c>
    </row>
    <row r="359" spans="1:2">
      <c r="A359">
        <v>20</v>
      </c>
      <c r="B359">
        <v>1</v>
      </c>
    </row>
    <row r="360" spans="1:2">
      <c r="A360">
        <v>48</v>
      </c>
      <c r="B360">
        <v>1</v>
      </c>
    </row>
    <row r="361" spans="1:2">
      <c r="A361">
        <v>35</v>
      </c>
      <c r="B361">
        <v>1</v>
      </c>
    </row>
    <row r="362" spans="1:2">
      <c r="A362">
        <v>38</v>
      </c>
      <c r="B362">
        <v>1</v>
      </c>
    </row>
    <row r="363" spans="1:2">
      <c r="A363">
        <v>15</v>
      </c>
      <c r="B363">
        <v>1</v>
      </c>
    </row>
    <row r="364" spans="1:2">
      <c r="A364">
        <v>19</v>
      </c>
      <c r="B364">
        <v>1</v>
      </c>
    </row>
    <row r="365" spans="1:2">
      <c r="A365">
        <v>19</v>
      </c>
      <c r="B365">
        <v>1</v>
      </c>
    </row>
    <row r="366" spans="1:2">
      <c r="A366">
        <v>39</v>
      </c>
      <c r="B366">
        <v>1</v>
      </c>
    </row>
    <row r="367" spans="1:2">
      <c r="A367">
        <v>39</v>
      </c>
      <c r="B367">
        <v>1</v>
      </c>
    </row>
    <row r="368" spans="1:2">
      <c r="A368">
        <v>20</v>
      </c>
      <c r="B368">
        <v>1</v>
      </c>
    </row>
    <row r="369" spans="1:2">
      <c r="A369">
        <v>18</v>
      </c>
      <c r="B369">
        <v>1</v>
      </c>
    </row>
    <row r="370" spans="1:2">
      <c r="A370">
        <v>23</v>
      </c>
      <c r="B370">
        <v>1</v>
      </c>
    </row>
    <row r="371" spans="1:2">
      <c r="A371">
        <v>1</v>
      </c>
      <c r="B371">
        <v>1</v>
      </c>
    </row>
    <row r="372" spans="1:2">
      <c r="A372">
        <v>50</v>
      </c>
      <c r="B372">
        <v>1</v>
      </c>
    </row>
    <row r="373" spans="1:2">
      <c r="A373">
        <v>45</v>
      </c>
      <c r="B373">
        <v>1</v>
      </c>
    </row>
    <row r="374" spans="1:2">
      <c r="A374">
        <v>25</v>
      </c>
      <c r="B374">
        <v>1</v>
      </c>
    </row>
    <row r="375" spans="1:2">
      <c r="A375">
        <v>38</v>
      </c>
      <c r="B375">
        <v>1</v>
      </c>
    </row>
    <row r="376" spans="1:2">
      <c r="A376">
        <v>41</v>
      </c>
      <c r="B376">
        <v>1</v>
      </c>
    </row>
    <row r="377" spans="1:2">
      <c r="A377">
        <v>50</v>
      </c>
      <c r="B377">
        <v>1</v>
      </c>
    </row>
    <row r="378" spans="1:2">
      <c r="A378">
        <v>23</v>
      </c>
      <c r="B378">
        <v>1</v>
      </c>
    </row>
    <row r="379" spans="1:2">
      <c r="A379">
        <v>1</v>
      </c>
      <c r="B379">
        <v>1</v>
      </c>
    </row>
    <row r="380" spans="1:2">
      <c r="A380">
        <v>46</v>
      </c>
      <c r="B380">
        <v>1</v>
      </c>
    </row>
    <row r="381" spans="1:2">
      <c r="A381">
        <v>30</v>
      </c>
      <c r="B381">
        <v>1</v>
      </c>
    </row>
    <row r="382" spans="1:2">
      <c r="A382">
        <v>4</v>
      </c>
      <c r="B382">
        <v>1</v>
      </c>
    </row>
    <row r="383" spans="1:2">
      <c r="A383">
        <v>43</v>
      </c>
      <c r="B383">
        <v>0</v>
      </c>
    </row>
    <row r="384" spans="1:2">
      <c r="A384">
        <v>27</v>
      </c>
      <c r="B384">
        <v>1</v>
      </c>
    </row>
    <row r="385" spans="1:2">
      <c r="A385">
        <v>1</v>
      </c>
      <c r="B385">
        <v>1</v>
      </c>
    </row>
    <row r="386" spans="1:2">
      <c r="A386">
        <v>45</v>
      </c>
      <c r="B386">
        <v>1</v>
      </c>
    </row>
    <row r="387" spans="1:2">
      <c r="A387">
        <v>6</v>
      </c>
      <c r="B387">
        <v>1</v>
      </c>
    </row>
    <row r="388" spans="1:2">
      <c r="A388">
        <v>42</v>
      </c>
      <c r="B388">
        <v>1</v>
      </c>
    </row>
    <row r="389" spans="1:2">
      <c r="A389">
        <v>7</v>
      </c>
      <c r="B389">
        <v>1</v>
      </c>
    </row>
    <row r="390" spans="1:2">
      <c r="A390">
        <v>37</v>
      </c>
      <c r="B390">
        <v>1</v>
      </c>
    </row>
    <row r="391" spans="1:2">
      <c r="A391">
        <v>23</v>
      </c>
      <c r="B391">
        <v>1</v>
      </c>
    </row>
    <row r="392" spans="1:2">
      <c r="A392">
        <v>24</v>
      </c>
      <c r="B392">
        <v>1</v>
      </c>
    </row>
    <row r="393" spans="1:2">
      <c r="A393">
        <v>10</v>
      </c>
      <c r="B393">
        <v>1</v>
      </c>
    </row>
    <row r="394" spans="1:2">
      <c r="A394">
        <v>3</v>
      </c>
      <c r="B394">
        <v>1</v>
      </c>
    </row>
    <row r="395" spans="1:2">
      <c r="A395">
        <v>32</v>
      </c>
      <c r="B395">
        <v>1</v>
      </c>
    </row>
    <row r="396" spans="1:2">
      <c r="A396">
        <v>10</v>
      </c>
      <c r="B396">
        <v>1</v>
      </c>
    </row>
    <row r="397" spans="1:2">
      <c r="A397">
        <v>34</v>
      </c>
      <c r="B397">
        <v>1</v>
      </c>
    </row>
    <row r="398" spans="1:2">
      <c r="A398">
        <v>32</v>
      </c>
      <c r="B398">
        <v>1</v>
      </c>
    </row>
    <row r="399" spans="1:2">
      <c r="A399">
        <v>48</v>
      </c>
      <c r="B399">
        <v>1</v>
      </c>
    </row>
    <row r="400" spans="1:2">
      <c r="A400">
        <v>19</v>
      </c>
      <c r="B400">
        <v>1</v>
      </c>
    </row>
    <row r="401" spans="1:2">
      <c r="A401">
        <v>7</v>
      </c>
      <c r="B401">
        <v>1</v>
      </c>
    </row>
    <row r="402" spans="1:2">
      <c r="A402">
        <v>39</v>
      </c>
      <c r="B402">
        <v>1</v>
      </c>
    </row>
    <row r="403" spans="1:2">
      <c r="A403">
        <v>34</v>
      </c>
      <c r="B403">
        <v>1</v>
      </c>
    </row>
    <row r="404" spans="1:2">
      <c r="A404">
        <v>43</v>
      </c>
      <c r="B404">
        <v>1</v>
      </c>
    </row>
    <row r="405" spans="1:2">
      <c r="A405">
        <v>15</v>
      </c>
      <c r="B405">
        <v>1</v>
      </c>
    </row>
    <row r="406" spans="1:2">
      <c r="A406">
        <v>40</v>
      </c>
      <c r="B406">
        <v>1</v>
      </c>
    </row>
    <row r="407" spans="1:2">
      <c r="A407">
        <v>32</v>
      </c>
      <c r="B407">
        <v>0</v>
      </c>
    </row>
    <row r="408" spans="1:2">
      <c r="A408">
        <v>37</v>
      </c>
      <c r="B408">
        <v>1</v>
      </c>
    </row>
    <row r="409" spans="1:2">
      <c r="A409">
        <v>50</v>
      </c>
      <c r="B409">
        <v>1</v>
      </c>
    </row>
    <row r="410" spans="1:2">
      <c r="A410">
        <v>20</v>
      </c>
      <c r="B410">
        <v>1</v>
      </c>
    </row>
    <row r="411" spans="1:2">
      <c r="A411">
        <v>43</v>
      </c>
      <c r="B411">
        <v>0</v>
      </c>
    </row>
    <row r="412" spans="1:2">
      <c r="A412">
        <v>7</v>
      </c>
      <c r="B412">
        <v>1</v>
      </c>
    </row>
    <row r="413" spans="1:2">
      <c r="A413">
        <v>44</v>
      </c>
      <c r="B413">
        <v>1</v>
      </c>
    </row>
    <row r="414" spans="1:2">
      <c r="A414">
        <v>5</v>
      </c>
      <c r="B414">
        <v>1</v>
      </c>
    </row>
    <row r="415" spans="1:2">
      <c r="A415">
        <v>41</v>
      </c>
      <c r="B415">
        <v>1</v>
      </c>
    </row>
    <row r="416" spans="1:2">
      <c r="A416">
        <v>14</v>
      </c>
      <c r="B416">
        <v>1</v>
      </c>
    </row>
    <row r="417" spans="1:2">
      <c r="A417">
        <v>44</v>
      </c>
      <c r="B417">
        <v>1</v>
      </c>
    </row>
    <row r="418" spans="1:2">
      <c r="A418">
        <v>20</v>
      </c>
      <c r="B418">
        <v>1</v>
      </c>
    </row>
    <row r="419" spans="1:2">
      <c r="A419">
        <v>4</v>
      </c>
      <c r="B419">
        <v>1</v>
      </c>
    </row>
    <row r="420" spans="1:2">
      <c r="A420">
        <v>46</v>
      </c>
      <c r="B420">
        <v>1</v>
      </c>
    </row>
    <row r="421" spans="1:2">
      <c r="A421">
        <v>6</v>
      </c>
      <c r="B421">
        <v>1</v>
      </c>
    </row>
    <row r="422" spans="1:2">
      <c r="A422">
        <v>50</v>
      </c>
      <c r="B422">
        <v>1</v>
      </c>
    </row>
    <row r="423" spans="1:2">
      <c r="A423">
        <v>38</v>
      </c>
      <c r="B423">
        <v>0</v>
      </c>
    </row>
    <row r="424" spans="1:2">
      <c r="A424">
        <v>13</v>
      </c>
      <c r="B424">
        <v>0</v>
      </c>
    </row>
    <row r="425" spans="1:2">
      <c r="A425">
        <v>50</v>
      </c>
      <c r="B425">
        <v>1</v>
      </c>
    </row>
    <row r="426" spans="1:2">
      <c r="A426">
        <v>0</v>
      </c>
      <c r="B426">
        <v>1</v>
      </c>
    </row>
    <row r="427" spans="1:2">
      <c r="A427">
        <v>34</v>
      </c>
      <c r="B427">
        <v>1</v>
      </c>
    </row>
    <row r="428" spans="1:2">
      <c r="A428">
        <v>16</v>
      </c>
      <c r="B428">
        <v>0</v>
      </c>
    </row>
    <row r="429" spans="1:2">
      <c r="A429">
        <v>44</v>
      </c>
      <c r="B429">
        <v>1</v>
      </c>
    </row>
    <row r="430" spans="1:2">
      <c r="A430">
        <v>5</v>
      </c>
      <c r="B430">
        <v>1</v>
      </c>
    </row>
    <row r="431" spans="1:2">
      <c r="A431">
        <v>20</v>
      </c>
      <c r="B431">
        <v>1</v>
      </c>
    </row>
    <row r="432" spans="1:2">
      <c r="A432">
        <v>44</v>
      </c>
      <c r="B432">
        <v>1</v>
      </c>
    </row>
    <row r="433" spans="1:2">
      <c r="A433">
        <v>29</v>
      </c>
      <c r="B433">
        <v>1</v>
      </c>
    </row>
    <row r="434" spans="1:2">
      <c r="A434">
        <v>0</v>
      </c>
      <c r="B434">
        <v>1</v>
      </c>
    </row>
    <row r="435" spans="1:2">
      <c r="A435">
        <v>33</v>
      </c>
      <c r="B435">
        <v>0</v>
      </c>
    </row>
    <row r="436" spans="1:2">
      <c r="A436">
        <v>49</v>
      </c>
      <c r="B436">
        <v>1</v>
      </c>
    </row>
    <row r="437" spans="1:2">
      <c r="A437">
        <v>40</v>
      </c>
      <c r="B437">
        <v>1</v>
      </c>
    </row>
    <row r="438" spans="1:2">
      <c r="A438">
        <v>10</v>
      </c>
      <c r="B438">
        <v>1</v>
      </c>
    </row>
    <row r="439" spans="1:2">
      <c r="A439">
        <v>47</v>
      </c>
      <c r="B439">
        <v>1</v>
      </c>
    </row>
    <row r="440" spans="1:2">
      <c r="A440">
        <v>24</v>
      </c>
      <c r="B440">
        <v>1</v>
      </c>
    </row>
    <row r="441" spans="1:2">
      <c r="A441">
        <v>20</v>
      </c>
      <c r="B441">
        <v>1</v>
      </c>
    </row>
    <row r="442" spans="1:2">
      <c r="A442">
        <v>23</v>
      </c>
      <c r="B442">
        <v>1</v>
      </c>
    </row>
    <row r="443" spans="1:2">
      <c r="A443">
        <v>25</v>
      </c>
      <c r="B443">
        <v>0</v>
      </c>
    </row>
    <row r="444" spans="1:2">
      <c r="A444">
        <v>23</v>
      </c>
      <c r="B444">
        <v>1</v>
      </c>
    </row>
    <row r="445" spans="1:2">
      <c r="A445">
        <v>23</v>
      </c>
      <c r="B445">
        <v>1</v>
      </c>
    </row>
    <row r="446" spans="1:2">
      <c r="A446">
        <v>0</v>
      </c>
      <c r="B446">
        <v>1</v>
      </c>
    </row>
    <row r="447" spans="1:2">
      <c r="A447">
        <v>0</v>
      </c>
      <c r="B447">
        <v>1</v>
      </c>
    </row>
    <row r="448" spans="1:2">
      <c r="A448">
        <v>26</v>
      </c>
      <c r="B448">
        <v>0</v>
      </c>
    </row>
    <row r="449" spans="1:2">
      <c r="A449">
        <v>33</v>
      </c>
      <c r="B449">
        <v>1</v>
      </c>
    </row>
    <row r="450" spans="1:2">
      <c r="A450">
        <v>4</v>
      </c>
      <c r="B450">
        <v>1</v>
      </c>
    </row>
    <row r="451" spans="1:2">
      <c r="A451">
        <v>18</v>
      </c>
      <c r="B451">
        <v>1</v>
      </c>
    </row>
    <row r="452" spans="1:2">
      <c r="A452">
        <v>28</v>
      </c>
      <c r="B452">
        <v>1</v>
      </c>
    </row>
    <row r="453" spans="1:2">
      <c r="A453">
        <v>6</v>
      </c>
      <c r="B453">
        <v>1</v>
      </c>
    </row>
    <row r="454" spans="1:2">
      <c r="A454">
        <v>28</v>
      </c>
      <c r="B454">
        <v>1</v>
      </c>
    </row>
    <row r="455" spans="1:2">
      <c r="A455">
        <v>2</v>
      </c>
      <c r="B455">
        <v>0</v>
      </c>
    </row>
    <row r="456" spans="1:2">
      <c r="A456">
        <v>32</v>
      </c>
      <c r="B456">
        <v>1</v>
      </c>
    </row>
    <row r="457" spans="1:2">
      <c r="A457">
        <v>35</v>
      </c>
      <c r="B457">
        <v>0</v>
      </c>
    </row>
    <row r="458" spans="1:2">
      <c r="A458">
        <v>0</v>
      </c>
      <c r="B458">
        <v>1</v>
      </c>
    </row>
    <row r="459" spans="1:2">
      <c r="A459">
        <v>37</v>
      </c>
      <c r="B459">
        <v>1</v>
      </c>
    </row>
    <row r="460" spans="1:2">
      <c r="A460">
        <v>8</v>
      </c>
      <c r="B460">
        <v>1</v>
      </c>
    </row>
    <row r="461" spans="1:2">
      <c r="A461">
        <v>36</v>
      </c>
      <c r="B461">
        <v>1</v>
      </c>
    </row>
    <row r="462" spans="1:2">
      <c r="A462">
        <v>22</v>
      </c>
      <c r="B462">
        <v>1</v>
      </c>
    </row>
    <row r="463" spans="1:2">
      <c r="A463">
        <v>39</v>
      </c>
      <c r="B463">
        <v>1</v>
      </c>
    </row>
    <row r="464" spans="1:2">
      <c r="A464">
        <v>30</v>
      </c>
      <c r="B464">
        <v>1</v>
      </c>
    </row>
    <row r="465" spans="1:2">
      <c r="A465">
        <v>15</v>
      </c>
      <c r="B465">
        <v>1</v>
      </c>
    </row>
    <row r="466" spans="1:2">
      <c r="A466">
        <v>34</v>
      </c>
      <c r="B466">
        <v>1</v>
      </c>
    </row>
    <row r="467" spans="1:2">
      <c r="A467">
        <v>1</v>
      </c>
      <c r="B467">
        <v>1</v>
      </c>
    </row>
    <row r="468" spans="1:2">
      <c r="A468">
        <v>30</v>
      </c>
      <c r="B468">
        <v>1</v>
      </c>
    </row>
    <row r="469" spans="1:2">
      <c r="A469">
        <v>42</v>
      </c>
      <c r="B469">
        <v>1</v>
      </c>
    </row>
    <row r="470" spans="1:2">
      <c r="A470">
        <v>24</v>
      </c>
      <c r="B470">
        <v>1</v>
      </c>
    </row>
    <row r="471" spans="1:2">
      <c r="A471">
        <v>1</v>
      </c>
      <c r="B471">
        <v>1</v>
      </c>
    </row>
    <row r="472" spans="1:2">
      <c r="A472">
        <v>34</v>
      </c>
      <c r="B472">
        <v>0</v>
      </c>
    </row>
    <row r="473" spans="1:2">
      <c r="A473">
        <v>14</v>
      </c>
      <c r="B473">
        <v>0</v>
      </c>
    </row>
    <row r="474" spans="1:2">
      <c r="A474">
        <v>21</v>
      </c>
      <c r="B474">
        <v>1</v>
      </c>
    </row>
    <row r="475" spans="1:2">
      <c r="A475">
        <v>49</v>
      </c>
      <c r="B475">
        <v>0</v>
      </c>
    </row>
    <row r="476" spans="1:2">
      <c r="A476">
        <v>6</v>
      </c>
      <c r="B476">
        <v>1</v>
      </c>
    </row>
    <row r="477" spans="1:2">
      <c r="A477">
        <v>41</v>
      </c>
      <c r="B477">
        <v>1</v>
      </c>
    </row>
    <row r="478" spans="1:2">
      <c r="A478">
        <v>42</v>
      </c>
      <c r="B478">
        <v>1</v>
      </c>
    </row>
    <row r="479" spans="1:2">
      <c r="A479">
        <v>11</v>
      </c>
      <c r="B479">
        <v>1</v>
      </c>
    </row>
    <row r="480" spans="1:2">
      <c r="A480">
        <v>38</v>
      </c>
      <c r="B480">
        <v>1</v>
      </c>
    </row>
    <row r="481" spans="1:2">
      <c r="A481">
        <v>21</v>
      </c>
      <c r="B481">
        <v>1</v>
      </c>
    </row>
    <row r="482" spans="1:2">
      <c r="A482">
        <v>45</v>
      </c>
      <c r="B482">
        <v>1</v>
      </c>
    </row>
    <row r="483" spans="1:2">
      <c r="A483">
        <v>22</v>
      </c>
      <c r="B483">
        <v>1</v>
      </c>
    </row>
    <row r="484" spans="1:2">
      <c r="A484">
        <v>10</v>
      </c>
      <c r="B484">
        <v>0</v>
      </c>
    </row>
    <row r="485" spans="1:2">
      <c r="A485">
        <v>50</v>
      </c>
      <c r="B485">
        <v>1</v>
      </c>
    </row>
    <row r="486" spans="1:2">
      <c r="A486">
        <v>1</v>
      </c>
      <c r="B486">
        <v>1</v>
      </c>
    </row>
    <row r="487" spans="1:2">
      <c r="A487">
        <v>46</v>
      </c>
      <c r="B487">
        <v>1</v>
      </c>
    </row>
    <row r="488" spans="1:2">
      <c r="A488">
        <v>27</v>
      </c>
      <c r="B488">
        <v>1</v>
      </c>
    </row>
    <row r="489" spans="1:2">
      <c r="A489">
        <v>13</v>
      </c>
      <c r="B489">
        <v>0</v>
      </c>
    </row>
    <row r="490" spans="1:2">
      <c r="A490">
        <v>19</v>
      </c>
      <c r="B490">
        <v>1</v>
      </c>
    </row>
    <row r="491" spans="1:2">
      <c r="A491">
        <v>3</v>
      </c>
      <c r="B491">
        <v>1</v>
      </c>
    </row>
    <row r="492" spans="1:2">
      <c r="A492">
        <v>6</v>
      </c>
      <c r="B492">
        <v>1</v>
      </c>
    </row>
    <row r="493" spans="1:2">
      <c r="A493">
        <v>7</v>
      </c>
      <c r="B493">
        <v>1</v>
      </c>
    </row>
    <row r="494" spans="1:2">
      <c r="A494">
        <v>41</v>
      </c>
      <c r="B494">
        <v>1</v>
      </c>
    </row>
    <row r="495" spans="1:2">
      <c r="A495">
        <v>28</v>
      </c>
      <c r="B495">
        <v>1</v>
      </c>
    </row>
    <row r="496" spans="1:2">
      <c r="A496">
        <v>3</v>
      </c>
      <c r="B496">
        <v>1</v>
      </c>
    </row>
    <row r="497" spans="1:2">
      <c r="A497">
        <v>14</v>
      </c>
      <c r="B497">
        <v>1</v>
      </c>
    </row>
    <row r="498" spans="1:2">
      <c r="A498">
        <v>15</v>
      </c>
      <c r="B498">
        <v>1</v>
      </c>
    </row>
    <row r="499" spans="1:2">
      <c r="A499">
        <v>36</v>
      </c>
      <c r="B499">
        <v>1</v>
      </c>
    </row>
    <row r="500" spans="1:2">
      <c r="A500">
        <v>10</v>
      </c>
      <c r="B500">
        <v>0</v>
      </c>
    </row>
    <row r="501" spans="1:2">
      <c r="A501">
        <v>40</v>
      </c>
      <c r="B50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01"/>
  <sheetViews>
    <sheetView workbookViewId="0"/>
  </sheetViews>
  <sheetFormatPr defaultRowHeight="15"/>
  <sheetData>
    <row r="1" spans="1:2">
      <c r="A1" t="s">
        <v>903</v>
      </c>
      <c r="B1" t="s">
        <v>982</v>
      </c>
    </row>
    <row r="2" spans="1:2">
      <c r="A2">
        <v>5000</v>
      </c>
      <c r="B2" t="s">
        <v>907</v>
      </c>
    </row>
    <row r="3" spans="1:2">
      <c r="A3">
        <v>5000</v>
      </c>
      <c r="B3" t="s">
        <v>907</v>
      </c>
    </row>
    <row r="4" spans="1:2">
      <c r="A4">
        <v>10000</v>
      </c>
      <c r="B4" t="s">
        <v>907</v>
      </c>
    </row>
    <row r="5" spans="1:2">
      <c r="A5">
        <v>20000</v>
      </c>
      <c r="B5" t="s">
        <v>907</v>
      </c>
    </row>
    <row r="6" spans="1:2">
      <c r="A6">
        <v>20000</v>
      </c>
      <c r="B6" t="s">
        <v>907</v>
      </c>
    </row>
    <row r="7" spans="1:2">
      <c r="A7">
        <v>5000</v>
      </c>
      <c r="B7" t="s">
        <v>907</v>
      </c>
    </row>
    <row r="8" spans="1:2">
      <c r="A8">
        <v>5000</v>
      </c>
      <c r="B8" t="s">
        <v>907</v>
      </c>
    </row>
    <row r="9" spans="1:2">
      <c r="A9">
        <v>20000</v>
      </c>
      <c r="B9" t="s">
        <v>907</v>
      </c>
    </row>
    <row r="10" spans="1:2">
      <c r="A10">
        <v>5000</v>
      </c>
      <c r="B10" t="s">
        <v>907</v>
      </c>
    </row>
    <row r="11" spans="1:2">
      <c r="A11">
        <v>20000</v>
      </c>
      <c r="B11" t="s">
        <v>909</v>
      </c>
    </row>
    <row r="12" spans="1:2">
      <c r="A12">
        <v>10000</v>
      </c>
      <c r="B12" t="s">
        <v>907</v>
      </c>
    </row>
    <row r="13" spans="1:2">
      <c r="A13">
        <v>10000</v>
      </c>
      <c r="B13" t="s">
        <v>907</v>
      </c>
    </row>
    <row r="14" spans="1:2">
      <c r="A14">
        <v>10000</v>
      </c>
      <c r="B14" t="s">
        <v>909</v>
      </c>
    </row>
    <row r="15" spans="1:2">
      <c r="A15">
        <v>20000</v>
      </c>
      <c r="B15" t="s">
        <v>907</v>
      </c>
    </row>
    <row r="16" spans="1:2">
      <c r="A16">
        <v>10000</v>
      </c>
      <c r="B16" t="s">
        <v>907</v>
      </c>
    </row>
    <row r="17" spans="1:2">
      <c r="A17">
        <v>100000</v>
      </c>
      <c r="B17" t="s">
        <v>907</v>
      </c>
    </row>
    <row r="18" spans="1:2">
      <c r="A18">
        <v>20000</v>
      </c>
      <c r="B18" t="s">
        <v>907</v>
      </c>
    </row>
    <row r="19" spans="1:2">
      <c r="A19">
        <v>100000</v>
      </c>
      <c r="B19" t="s">
        <v>909</v>
      </c>
    </row>
    <row r="20" spans="1:2">
      <c r="A20">
        <v>10000</v>
      </c>
      <c r="B20" t="s">
        <v>907</v>
      </c>
    </row>
    <row r="21" spans="1:2">
      <c r="A21">
        <v>50000</v>
      </c>
      <c r="B21" t="s">
        <v>907</v>
      </c>
    </row>
    <row r="22" spans="1:2">
      <c r="A22">
        <v>5000</v>
      </c>
      <c r="B22" t="s">
        <v>909</v>
      </c>
    </row>
    <row r="23" spans="1:2">
      <c r="A23">
        <v>50000</v>
      </c>
      <c r="B23" t="s">
        <v>907</v>
      </c>
    </row>
    <row r="24" spans="1:2">
      <c r="A24">
        <v>100000</v>
      </c>
      <c r="B24" t="s">
        <v>907</v>
      </c>
    </row>
    <row r="25" spans="1:2">
      <c r="A25">
        <v>50000</v>
      </c>
      <c r="B25" t="s">
        <v>907</v>
      </c>
    </row>
    <row r="26" spans="1:2">
      <c r="A26">
        <v>100000</v>
      </c>
      <c r="B26" t="s">
        <v>907</v>
      </c>
    </row>
    <row r="27" spans="1:2">
      <c r="A27">
        <v>10000</v>
      </c>
      <c r="B27" t="s">
        <v>907</v>
      </c>
    </row>
    <row r="28" spans="1:2">
      <c r="A28">
        <v>10000</v>
      </c>
      <c r="B28" t="s">
        <v>907</v>
      </c>
    </row>
    <row r="29" spans="1:2">
      <c r="A29">
        <v>50000</v>
      </c>
      <c r="B29" t="s">
        <v>907</v>
      </c>
    </row>
    <row r="30" spans="1:2">
      <c r="A30">
        <v>50000</v>
      </c>
      <c r="B30" t="s">
        <v>907</v>
      </c>
    </row>
    <row r="31" spans="1:2">
      <c r="A31">
        <v>10000</v>
      </c>
      <c r="B31" t="s">
        <v>907</v>
      </c>
    </row>
    <row r="32" spans="1:2">
      <c r="A32">
        <v>50000</v>
      </c>
      <c r="B32" t="s">
        <v>907</v>
      </c>
    </row>
    <row r="33" spans="1:2">
      <c r="A33">
        <v>5000</v>
      </c>
      <c r="B33" t="s">
        <v>909</v>
      </c>
    </row>
    <row r="34" spans="1:2">
      <c r="A34">
        <v>50000</v>
      </c>
      <c r="B34" t="s">
        <v>907</v>
      </c>
    </row>
    <row r="35" spans="1:2">
      <c r="A35">
        <v>20000</v>
      </c>
      <c r="B35" t="s">
        <v>907</v>
      </c>
    </row>
    <row r="36" spans="1:2">
      <c r="A36">
        <v>10000</v>
      </c>
      <c r="B36" t="s">
        <v>909</v>
      </c>
    </row>
    <row r="37" spans="1:2">
      <c r="A37">
        <v>100000</v>
      </c>
      <c r="B37" t="s">
        <v>907</v>
      </c>
    </row>
    <row r="38" spans="1:2">
      <c r="A38">
        <v>100000</v>
      </c>
      <c r="B38" t="s">
        <v>907</v>
      </c>
    </row>
    <row r="39" spans="1:2">
      <c r="A39">
        <v>100000</v>
      </c>
      <c r="B39" t="s">
        <v>907</v>
      </c>
    </row>
    <row r="40" spans="1:2">
      <c r="A40">
        <v>20000</v>
      </c>
      <c r="B40" t="s">
        <v>907</v>
      </c>
    </row>
    <row r="41" spans="1:2">
      <c r="A41">
        <v>50000</v>
      </c>
      <c r="B41" t="s">
        <v>907</v>
      </c>
    </row>
    <row r="42" spans="1:2">
      <c r="A42">
        <v>5000</v>
      </c>
      <c r="B42" t="s">
        <v>907</v>
      </c>
    </row>
    <row r="43" spans="1:2">
      <c r="A43">
        <v>10000</v>
      </c>
      <c r="B43" t="s">
        <v>907</v>
      </c>
    </row>
    <row r="44" spans="1:2">
      <c r="A44">
        <v>100000</v>
      </c>
      <c r="B44" t="s">
        <v>907</v>
      </c>
    </row>
    <row r="45" spans="1:2">
      <c r="A45">
        <v>100000</v>
      </c>
      <c r="B45" t="s">
        <v>907</v>
      </c>
    </row>
    <row r="46" spans="1:2">
      <c r="A46">
        <v>20000</v>
      </c>
      <c r="B46" t="s">
        <v>907</v>
      </c>
    </row>
    <row r="47" spans="1:2">
      <c r="A47">
        <v>5000</v>
      </c>
      <c r="B47" t="s">
        <v>907</v>
      </c>
    </row>
    <row r="48" spans="1:2">
      <c r="A48">
        <v>100000</v>
      </c>
      <c r="B48" t="s">
        <v>909</v>
      </c>
    </row>
    <row r="49" spans="1:2">
      <c r="A49">
        <v>100000</v>
      </c>
      <c r="B49" t="s">
        <v>907</v>
      </c>
    </row>
    <row r="50" spans="1:2">
      <c r="A50">
        <v>20000</v>
      </c>
      <c r="B50" t="s">
        <v>907</v>
      </c>
    </row>
    <row r="51" spans="1:2">
      <c r="A51">
        <v>20000</v>
      </c>
      <c r="B51" t="s">
        <v>907</v>
      </c>
    </row>
    <row r="52" spans="1:2">
      <c r="A52">
        <v>10000</v>
      </c>
      <c r="B52" t="s">
        <v>907</v>
      </c>
    </row>
    <row r="53" spans="1:2">
      <c r="A53">
        <v>10000</v>
      </c>
      <c r="B53" t="s">
        <v>907</v>
      </c>
    </row>
    <row r="54" spans="1:2">
      <c r="A54">
        <v>10000</v>
      </c>
      <c r="B54" t="s">
        <v>907</v>
      </c>
    </row>
    <row r="55" spans="1:2">
      <c r="A55">
        <v>50000</v>
      </c>
      <c r="B55" t="s">
        <v>909</v>
      </c>
    </row>
    <row r="56" spans="1:2">
      <c r="A56">
        <v>100000</v>
      </c>
      <c r="B56" t="s">
        <v>907</v>
      </c>
    </row>
    <row r="57" spans="1:2">
      <c r="A57">
        <v>5000</v>
      </c>
      <c r="B57" t="s">
        <v>907</v>
      </c>
    </row>
    <row r="58" spans="1:2">
      <c r="A58">
        <v>50000</v>
      </c>
      <c r="B58" t="s">
        <v>907</v>
      </c>
    </row>
    <row r="59" spans="1:2">
      <c r="A59">
        <v>20000</v>
      </c>
      <c r="B59" t="s">
        <v>907</v>
      </c>
    </row>
    <row r="60" spans="1:2">
      <c r="A60">
        <v>20000</v>
      </c>
      <c r="B60" t="s">
        <v>907</v>
      </c>
    </row>
    <row r="61" spans="1:2">
      <c r="A61">
        <v>10000</v>
      </c>
      <c r="B61" t="s">
        <v>907</v>
      </c>
    </row>
    <row r="62" spans="1:2">
      <c r="A62">
        <v>50000</v>
      </c>
      <c r="B62" t="s">
        <v>907</v>
      </c>
    </row>
    <row r="63" spans="1:2">
      <c r="A63">
        <v>50000</v>
      </c>
      <c r="B63" t="s">
        <v>907</v>
      </c>
    </row>
    <row r="64" spans="1:2">
      <c r="A64">
        <v>5000</v>
      </c>
      <c r="B64" t="s">
        <v>907</v>
      </c>
    </row>
    <row r="65" spans="1:2">
      <c r="A65">
        <v>20000</v>
      </c>
      <c r="B65" t="s">
        <v>907</v>
      </c>
    </row>
    <row r="66" spans="1:2">
      <c r="A66">
        <v>100000</v>
      </c>
      <c r="B66" t="s">
        <v>907</v>
      </c>
    </row>
    <row r="67" spans="1:2">
      <c r="A67">
        <v>50000</v>
      </c>
      <c r="B67" t="s">
        <v>907</v>
      </c>
    </row>
    <row r="68" spans="1:2">
      <c r="A68">
        <v>50000</v>
      </c>
      <c r="B68" t="s">
        <v>909</v>
      </c>
    </row>
    <row r="69" spans="1:2">
      <c r="A69">
        <v>50000</v>
      </c>
      <c r="B69" t="s">
        <v>907</v>
      </c>
    </row>
    <row r="70" spans="1:2">
      <c r="A70">
        <v>100000</v>
      </c>
      <c r="B70" t="s">
        <v>907</v>
      </c>
    </row>
    <row r="71" spans="1:2">
      <c r="A71">
        <v>50000</v>
      </c>
      <c r="B71" t="s">
        <v>907</v>
      </c>
    </row>
    <row r="72" spans="1:2">
      <c r="A72">
        <v>10000</v>
      </c>
      <c r="B72" t="s">
        <v>907</v>
      </c>
    </row>
    <row r="73" spans="1:2">
      <c r="A73">
        <v>20000</v>
      </c>
      <c r="B73" t="s">
        <v>907</v>
      </c>
    </row>
    <row r="74" spans="1:2">
      <c r="A74">
        <v>10000</v>
      </c>
      <c r="B74" t="s">
        <v>907</v>
      </c>
    </row>
    <row r="75" spans="1:2">
      <c r="A75">
        <v>10000</v>
      </c>
      <c r="B75" t="s">
        <v>907</v>
      </c>
    </row>
    <row r="76" spans="1:2">
      <c r="A76">
        <v>50000</v>
      </c>
      <c r="B76" t="s">
        <v>907</v>
      </c>
    </row>
    <row r="77" spans="1:2">
      <c r="A77">
        <v>50000</v>
      </c>
      <c r="B77" t="s">
        <v>907</v>
      </c>
    </row>
    <row r="78" spans="1:2">
      <c r="A78">
        <v>10000</v>
      </c>
      <c r="B78" t="s">
        <v>907</v>
      </c>
    </row>
    <row r="79" spans="1:2">
      <c r="A79">
        <v>5000</v>
      </c>
      <c r="B79" t="s">
        <v>907</v>
      </c>
    </row>
    <row r="80" spans="1:2">
      <c r="A80">
        <v>20000</v>
      </c>
      <c r="B80" t="s">
        <v>909</v>
      </c>
    </row>
    <row r="81" spans="1:2">
      <c r="A81">
        <v>20000</v>
      </c>
      <c r="B81" t="s">
        <v>907</v>
      </c>
    </row>
    <row r="82" spans="1:2">
      <c r="A82">
        <v>10000</v>
      </c>
      <c r="B82" t="s">
        <v>909</v>
      </c>
    </row>
    <row r="83" spans="1:2">
      <c r="A83">
        <v>100000</v>
      </c>
      <c r="B83" t="s">
        <v>907</v>
      </c>
    </row>
    <row r="84" spans="1:2">
      <c r="A84">
        <v>50000</v>
      </c>
      <c r="B84" t="s">
        <v>907</v>
      </c>
    </row>
    <row r="85" spans="1:2">
      <c r="A85">
        <v>10000</v>
      </c>
      <c r="B85" t="s">
        <v>907</v>
      </c>
    </row>
    <row r="86" spans="1:2">
      <c r="A86">
        <v>50000</v>
      </c>
      <c r="B86" t="s">
        <v>907</v>
      </c>
    </row>
    <row r="87" spans="1:2">
      <c r="A87">
        <v>5000</v>
      </c>
      <c r="B87" t="s">
        <v>907</v>
      </c>
    </row>
    <row r="88" spans="1:2">
      <c r="A88">
        <v>20000</v>
      </c>
      <c r="B88" t="s">
        <v>907</v>
      </c>
    </row>
    <row r="89" spans="1:2">
      <c r="A89">
        <v>50000</v>
      </c>
      <c r="B89" t="s">
        <v>907</v>
      </c>
    </row>
    <row r="90" spans="1:2">
      <c r="A90">
        <v>10000</v>
      </c>
      <c r="B90" t="s">
        <v>907</v>
      </c>
    </row>
    <row r="91" spans="1:2">
      <c r="A91">
        <v>50000</v>
      </c>
      <c r="B91" t="s">
        <v>907</v>
      </c>
    </row>
    <row r="92" spans="1:2">
      <c r="A92">
        <v>20000</v>
      </c>
      <c r="B92" t="s">
        <v>907</v>
      </c>
    </row>
    <row r="93" spans="1:2">
      <c r="A93">
        <v>5000</v>
      </c>
      <c r="B93" t="s">
        <v>907</v>
      </c>
    </row>
    <row r="94" spans="1:2">
      <c r="A94">
        <v>20000</v>
      </c>
      <c r="B94" t="s">
        <v>907</v>
      </c>
    </row>
    <row r="95" spans="1:2">
      <c r="A95">
        <v>5000</v>
      </c>
      <c r="B95" t="s">
        <v>907</v>
      </c>
    </row>
    <row r="96" spans="1:2">
      <c r="A96">
        <v>50000</v>
      </c>
      <c r="B96" t="s">
        <v>907</v>
      </c>
    </row>
    <row r="97" spans="1:2">
      <c r="A97">
        <v>20000</v>
      </c>
      <c r="B97" t="s">
        <v>907</v>
      </c>
    </row>
    <row r="98" spans="1:2">
      <c r="A98">
        <v>100000</v>
      </c>
      <c r="B98" t="s">
        <v>907</v>
      </c>
    </row>
    <row r="99" spans="1:2">
      <c r="A99">
        <v>10000</v>
      </c>
      <c r="B99" t="s">
        <v>907</v>
      </c>
    </row>
    <row r="100" spans="1:2">
      <c r="A100">
        <v>20000</v>
      </c>
      <c r="B100" t="s">
        <v>909</v>
      </c>
    </row>
    <row r="101" spans="1:2">
      <c r="A101">
        <v>20000</v>
      </c>
      <c r="B101" t="s">
        <v>907</v>
      </c>
    </row>
    <row r="102" spans="1:2">
      <c r="A102">
        <v>20000</v>
      </c>
      <c r="B102" t="s">
        <v>907</v>
      </c>
    </row>
    <row r="103" spans="1:2">
      <c r="A103">
        <v>5000</v>
      </c>
      <c r="B103" t="s">
        <v>907</v>
      </c>
    </row>
    <row r="104" spans="1:2">
      <c r="A104">
        <v>5000</v>
      </c>
      <c r="B104" t="s">
        <v>907</v>
      </c>
    </row>
    <row r="105" spans="1:2">
      <c r="A105">
        <v>10000</v>
      </c>
      <c r="B105" t="s">
        <v>907</v>
      </c>
    </row>
    <row r="106" spans="1:2">
      <c r="A106">
        <v>100000</v>
      </c>
      <c r="B106" t="s">
        <v>907</v>
      </c>
    </row>
    <row r="107" spans="1:2">
      <c r="A107">
        <v>20000</v>
      </c>
      <c r="B107" t="s">
        <v>907</v>
      </c>
    </row>
    <row r="108" spans="1:2">
      <c r="A108">
        <v>10000</v>
      </c>
      <c r="B108" t="s">
        <v>909</v>
      </c>
    </row>
    <row r="109" spans="1:2">
      <c r="A109">
        <v>100000</v>
      </c>
      <c r="B109" t="s">
        <v>909</v>
      </c>
    </row>
    <row r="110" spans="1:2">
      <c r="A110">
        <v>20000</v>
      </c>
      <c r="B110" t="s">
        <v>907</v>
      </c>
    </row>
    <row r="111" spans="1:2">
      <c r="A111">
        <v>5000</v>
      </c>
      <c r="B111" t="s">
        <v>907</v>
      </c>
    </row>
    <row r="112" spans="1:2">
      <c r="A112">
        <v>50000</v>
      </c>
      <c r="B112" t="s">
        <v>907</v>
      </c>
    </row>
    <row r="113" spans="1:2">
      <c r="A113">
        <v>5000</v>
      </c>
      <c r="B113" t="s">
        <v>907</v>
      </c>
    </row>
    <row r="114" spans="1:2">
      <c r="A114">
        <v>5000</v>
      </c>
      <c r="B114" t="s">
        <v>907</v>
      </c>
    </row>
    <row r="115" spans="1:2">
      <c r="A115">
        <v>50000</v>
      </c>
      <c r="B115" t="s">
        <v>907</v>
      </c>
    </row>
    <row r="116" spans="1:2">
      <c r="A116">
        <v>5000</v>
      </c>
      <c r="B116" t="s">
        <v>907</v>
      </c>
    </row>
    <row r="117" spans="1:2">
      <c r="A117">
        <v>100000</v>
      </c>
      <c r="B117" t="s">
        <v>907</v>
      </c>
    </row>
    <row r="118" spans="1:2">
      <c r="A118">
        <v>10000</v>
      </c>
      <c r="B118" t="s">
        <v>907</v>
      </c>
    </row>
    <row r="119" spans="1:2">
      <c r="A119">
        <v>20000</v>
      </c>
      <c r="B119" t="s">
        <v>907</v>
      </c>
    </row>
    <row r="120" spans="1:2">
      <c r="A120">
        <v>50000</v>
      </c>
      <c r="B120" t="s">
        <v>907</v>
      </c>
    </row>
    <row r="121" spans="1:2">
      <c r="A121">
        <v>5000</v>
      </c>
      <c r="B121" t="s">
        <v>907</v>
      </c>
    </row>
    <row r="122" spans="1:2">
      <c r="A122">
        <v>50000</v>
      </c>
      <c r="B122" t="s">
        <v>907</v>
      </c>
    </row>
    <row r="123" spans="1:2">
      <c r="A123">
        <v>5000</v>
      </c>
      <c r="B123" t="s">
        <v>907</v>
      </c>
    </row>
    <row r="124" spans="1:2">
      <c r="A124">
        <v>5000</v>
      </c>
      <c r="B124" t="s">
        <v>907</v>
      </c>
    </row>
    <row r="125" spans="1:2">
      <c r="A125">
        <v>100000</v>
      </c>
      <c r="B125" t="s">
        <v>907</v>
      </c>
    </row>
    <row r="126" spans="1:2">
      <c r="A126">
        <v>50000</v>
      </c>
      <c r="B126" t="s">
        <v>907</v>
      </c>
    </row>
    <row r="127" spans="1:2">
      <c r="A127">
        <v>50000</v>
      </c>
      <c r="B127" t="s">
        <v>907</v>
      </c>
    </row>
    <row r="128" spans="1:2">
      <c r="A128">
        <v>5000</v>
      </c>
      <c r="B128" t="s">
        <v>907</v>
      </c>
    </row>
    <row r="129" spans="1:2">
      <c r="A129">
        <v>20000</v>
      </c>
      <c r="B129" t="s">
        <v>907</v>
      </c>
    </row>
    <row r="130" spans="1:2">
      <c r="A130">
        <v>50000</v>
      </c>
      <c r="B130" t="s">
        <v>907</v>
      </c>
    </row>
    <row r="131" spans="1:2">
      <c r="A131">
        <v>50000</v>
      </c>
      <c r="B131" t="s">
        <v>907</v>
      </c>
    </row>
    <row r="132" spans="1:2">
      <c r="A132">
        <v>5000</v>
      </c>
      <c r="B132" t="s">
        <v>907</v>
      </c>
    </row>
    <row r="133" spans="1:2">
      <c r="A133">
        <v>50000</v>
      </c>
      <c r="B133" t="s">
        <v>907</v>
      </c>
    </row>
    <row r="134" spans="1:2">
      <c r="A134">
        <v>5000</v>
      </c>
      <c r="B134" t="s">
        <v>907</v>
      </c>
    </row>
    <row r="135" spans="1:2">
      <c r="A135">
        <v>5000</v>
      </c>
      <c r="B135" t="s">
        <v>907</v>
      </c>
    </row>
    <row r="136" spans="1:2">
      <c r="A136">
        <v>20000</v>
      </c>
      <c r="B136" t="s">
        <v>907</v>
      </c>
    </row>
    <row r="137" spans="1:2">
      <c r="A137">
        <v>100000</v>
      </c>
      <c r="B137" t="s">
        <v>907</v>
      </c>
    </row>
    <row r="138" spans="1:2">
      <c r="A138">
        <v>10000</v>
      </c>
      <c r="B138" t="s">
        <v>907</v>
      </c>
    </row>
    <row r="139" spans="1:2">
      <c r="A139">
        <v>50000</v>
      </c>
      <c r="B139" t="s">
        <v>907</v>
      </c>
    </row>
    <row r="140" spans="1:2">
      <c r="A140">
        <v>20000</v>
      </c>
      <c r="B140" t="s">
        <v>907</v>
      </c>
    </row>
    <row r="141" spans="1:2">
      <c r="A141">
        <v>10000</v>
      </c>
      <c r="B141" t="s">
        <v>907</v>
      </c>
    </row>
    <row r="142" spans="1:2">
      <c r="A142">
        <v>100000</v>
      </c>
      <c r="B142" t="s">
        <v>907</v>
      </c>
    </row>
    <row r="143" spans="1:2">
      <c r="A143">
        <v>50000</v>
      </c>
      <c r="B143" t="s">
        <v>907</v>
      </c>
    </row>
    <row r="144" spans="1:2">
      <c r="A144">
        <v>100000</v>
      </c>
      <c r="B144" t="s">
        <v>907</v>
      </c>
    </row>
    <row r="145" spans="1:2">
      <c r="A145">
        <v>10000</v>
      </c>
      <c r="B145" t="s">
        <v>907</v>
      </c>
    </row>
    <row r="146" spans="1:2">
      <c r="A146">
        <v>20000</v>
      </c>
      <c r="B146" t="s">
        <v>907</v>
      </c>
    </row>
    <row r="147" spans="1:2">
      <c r="A147">
        <v>100000</v>
      </c>
      <c r="B147" t="s">
        <v>907</v>
      </c>
    </row>
    <row r="148" spans="1:2">
      <c r="A148">
        <v>10000</v>
      </c>
      <c r="B148" t="s">
        <v>907</v>
      </c>
    </row>
    <row r="149" spans="1:2">
      <c r="A149">
        <v>20000</v>
      </c>
      <c r="B149" t="s">
        <v>907</v>
      </c>
    </row>
    <row r="150" spans="1:2">
      <c r="A150">
        <v>20000</v>
      </c>
      <c r="B150" t="s">
        <v>907</v>
      </c>
    </row>
    <row r="151" spans="1:2">
      <c r="A151">
        <v>100000</v>
      </c>
      <c r="B151" t="s">
        <v>907</v>
      </c>
    </row>
    <row r="152" spans="1:2">
      <c r="A152">
        <v>20000</v>
      </c>
      <c r="B152" t="s">
        <v>907</v>
      </c>
    </row>
    <row r="153" spans="1:2">
      <c r="A153">
        <v>100000</v>
      </c>
      <c r="B153" t="s">
        <v>907</v>
      </c>
    </row>
    <row r="154" spans="1:2">
      <c r="A154">
        <v>20000</v>
      </c>
      <c r="B154" t="s">
        <v>907</v>
      </c>
    </row>
    <row r="155" spans="1:2">
      <c r="A155">
        <v>5000</v>
      </c>
      <c r="B155" t="s">
        <v>907</v>
      </c>
    </row>
    <row r="156" spans="1:2">
      <c r="A156">
        <v>100000</v>
      </c>
      <c r="B156" t="s">
        <v>907</v>
      </c>
    </row>
    <row r="157" spans="1:2">
      <c r="A157">
        <v>50000</v>
      </c>
      <c r="B157" t="s">
        <v>907</v>
      </c>
    </row>
    <row r="158" spans="1:2">
      <c r="A158">
        <v>5000</v>
      </c>
      <c r="B158" t="s">
        <v>907</v>
      </c>
    </row>
    <row r="159" spans="1:2">
      <c r="A159">
        <v>100000</v>
      </c>
      <c r="B159" t="s">
        <v>907</v>
      </c>
    </row>
    <row r="160" spans="1:2">
      <c r="A160">
        <v>100000</v>
      </c>
      <c r="B160" t="s">
        <v>909</v>
      </c>
    </row>
    <row r="161" spans="1:2">
      <c r="A161">
        <v>10000</v>
      </c>
      <c r="B161" t="s">
        <v>907</v>
      </c>
    </row>
    <row r="162" spans="1:2">
      <c r="A162">
        <v>20000</v>
      </c>
      <c r="B162" t="s">
        <v>907</v>
      </c>
    </row>
    <row r="163" spans="1:2">
      <c r="A163">
        <v>5000</v>
      </c>
      <c r="B163" t="s">
        <v>907</v>
      </c>
    </row>
    <row r="164" spans="1:2">
      <c r="A164">
        <v>100000</v>
      </c>
      <c r="B164" t="s">
        <v>907</v>
      </c>
    </row>
    <row r="165" spans="1:2">
      <c r="A165">
        <v>10000</v>
      </c>
      <c r="B165" t="s">
        <v>909</v>
      </c>
    </row>
    <row r="166" spans="1:2">
      <c r="A166">
        <v>5000</v>
      </c>
      <c r="B166" t="s">
        <v>907</v>
      </c>
    </row>
    <row r="167" spans="1:2">
      <c r="A167">
        <v>10000</v>
      </c>
      <c r="B167" t="s">
        <v>907</v>
      </c>
    </row>
    <row r="168" spans="1:2">
      <c r="A168">
        <v>100000</v>
      </c>
      <c r="B168" t="s">
        <v>907</v>
      </c>
    </row>
    <row r="169" spans="1:2">
      <c r="A169">
        <v>100000</v>
      </c>
      <c r="B169" t="s">
        <v>907</v>
      </c>
    </row>
    <row r="170" spans="1:2">
      <c r="A170">
        <v>5000</v>
      </c>
      <c r="B170" t="s">
        <v>907</v>
      </c>
    </row>
    <row r="171" spans="1:2">
      <c r="A171">
        <v>5000</v>
      </c>
      <c r="B171" t="s">
        <v>907</v>
      </c>
    </row>
    <row r="172" spans="1:2">
      <c r="A172">
        <v>50000</v>
      </c>
      <c r="B172" t="s">
        <v>907</v>
      </c>
    </row>
    <row r="173" spans="1:2">
      <c r="A173">
        <v>5000</v>
      </c>
      <c r="B173" t="s">
        <v>907</v>
      </c>
    </row>
    <row r="174" spans="1:2">
      <c r="A174">
        <v>50000</v>
      </c>
      <c r="B174" t="s">
        <v>907</v>
      </c>
    </row>
    <row r="175" spans="1:2">
      <c r="A175">
        <v>20000</v>
      </c>
      <c r="B175" t="s">
        <v>907</v>
      </c>
    </row>
    <row r="176" spans="1:2">
      <c r="A176">
        <v>50000</v>
      </c>
      <c r="B176" t="s">
        <v>907</v>
      </c>
    </row>
    <row r="177" spans="1:2">
      <c r="A177">
        <v>5000</v>
      </c>
      <c r="B177" t="s">
        <v>907</v>
      </c>
    </row>
    <row r="178" spans="1:2">
      <c r="A178">
        <v>20000</v>
      </c>
      <c r="B178" t="s">
        <v>907</v>
      </c>
    </row>
    <row r="179" spans="1:2">
      <c r="A179">
        <v>5000</v>
      </c>
      <c r="B179" t="s">
        <v>907</v>
      </c>
    </row>
    <row r="180" spans="1:2">
      <c r="A180">
        <v>100000</v>
      </c>
      <c r="B180" t="s">
        <v>907</v>
      </c>
    </row>
    <row r="181" spans="1:2">
      <c r="A181">
        <v>5000</v>
      </c>
      <c r="B181" t="s">
        <v>907</v>
      </c>
    </row>
    <row r="182" spans="1:2">
      <c r="A182">
        <v>100000</v>
      </c>
      <c r="B182" t="s">
        <v>909</v>
      </c>
    </row>
    <row r="183" spans="1:2">
      <c r="A183">
        <v>100000</v>
      </c>
      <c r="B183" t="s">
        <v>907</v>
      </c>
    </row>
    <row r="184" spans="1:2">
      <c r="A184">
        <v>20000</v>
      </c>
      <c r="B184" t="s">
        <v>907</v>
      </c>
    </row>
    <row r="185" spans="1:2">
      <c r="A185">
        <v>5000</v>
      </c>
      <c r="B185" t="s">
        <v>907</v>
      </c>
    </row>
    <row r="186" spans="1:2">
      <c r="A186">
        <v>10000</v>
      </c>
      <c r="B186" t="s">
        <v>907</v>
      </c>
    </row>
    <row r="187" spans="1:2">
      <c r="A187">
        <v>100000</v>
      </c>
      <c r="B187" t="s">
        <v>907</v>
      </c>
    </row>
    <row r="188" spans="1:2">
      <c r="A188">
        <v>5000</v>
      </c>
      <c r="B188" t="s">
        <v>907</v>
      </c>
    </row>
    <row r="189" spans="1:2">
      <c r="A189">
        <v>5000</v>
      </c>
      <c r="B189" t="s">
        <v>907</v>
      </c>
    </row>
    <row r="190" spans="1:2">
      <c r="A190">
        <v>100000</v>
      </c>
      <c r="B190" t="s">
        <v>907</v>
      </c>
    </row>
    <row r="191" spans="1:2">
      <c r="A191">
        <v>50000</v>
      </c>
      <c r="B191" t="s">
        <v>907</v>
      </c>
    </row>
    <row r="192" spans="1:2">
      <c r="A192">
        <v>50000</v>
      </c>
      <c r="B192" t="s">
        <v>907</v>
      </c>
    </row>
    <row r="193" spans="1:2">
      <c r="A193">
        <v>20000</v>
      </c>
      <c r="B193" t="s">
        <v>907</v>
      </c>
    </row>
    <row r="194" spans="1:2">
      <c r="A194">
        <v>50000</v>
      </c>
      <c r="B194" t="s">
        <v>907</v>
      </c>
    </row>
    <row r="195" spans="1:2">
      <c r="A195">
        <v>100000</v>
      </c>
      <c r="B195" t="s">
        <v>907</v>
      </c>
    </row>
    <row r="196" spans="1:2">
      <c r="A196">
        <v>20000</v>
      </c>
      <c r="B196" t="s">
        <v>907</v>
      </c>
    </row>
    <row r="197" spans="1:2">
      <c r="A197">
        <v>10000</v>
      </c>
      <c r="B197" t="s">
        <v>907</v>
      </c>
    </row>
    <row r="198" spans="1:2">
      <c r="A198">
        <v>100000</v>
      </c>
      <c r="B198" t="s">
        <v>907</v>
      </c>
    </row>
    <row r="199" spans="1:2">
      <c r="A199">
        <v>5000</v>
      </c>
      <c r="B199" t="s">
        <v>907</v>
      </c>
    </row>
    <row r="200" spans="1:2">
      <c r="A200">
        <v>5000</v>
      </c>
      <c r="B200" t="s">
        <v>909</v>
      </c>
    </row>
    <row r="201" spans="1:2">
      <c r="A201">
        <v>5000</v>
      </c>
      <c r="B201" t="s">
        <v>907</v>
      </c>
    </row>
    <row r="202" spans="1:2">
      <c r="A202">
        <v>50000</v>
      </c>
      <c r="B202" t="s">
        <v>907</v>
      </c>
    </row>
    <row r="203" spans="1:2">
      <c r="A203">
        <v>5000</v>
      </c>
      <c r="B203" t="s">
        <v>907</v>
      </c>
    </row>
    <row r="204" spans="1:2">
      <c r="A204">
        <v>5000</v>
      </c>
      <c r="B204" t="s">
        <v>907</v>
      </c>
    </row>
    <row r="205" spans="1:2">
      <c r="A205">
        <v>20000</v>
      </c>
      <c r="B205" t="s">
        <v>907</v>
      </c>
    </row>
    <row r="206" spans="1:2">
      <c r="A206">
        <v>20000</v>
      </c>
      <c r="B206" t="s">
        <v>907</v>
      </c>
    </row>
    <row r="207" spans="1:2">
      <c r="A207">
        <v>100000</v>
      </c>
      <c r="B207" t="s">
        <v>907</v>
      </c>
    </row>
    <row r="208" spans="1:2">
      <c r="A208">
        <v>20000</v>
      </c>
      <c r="B208" t="s">
        <v>909</v>
      </c>
    </row>
    <row r="209" spans="1:2">
      <c r="A209">
        <v>20000</v>
      </c>
      <c r="B209" t="s">
        <v>907</v>
      </c>
    </row>
    <row r="210" spans="1:2">
      <c r="A210">
        <v>50000</v>
      </c>
      <c r="B210" t="s">
        <v>907</v>
      </c>
    </row>
    <row r="211" spans="1:2">
      <c r="A211">
        <v>20000</v>
      </c>
      <c r="B211" t="s">
        <v>907</v>
      </c>
    </row>
    <row r="212" spans="1:2">
      <c r="A212">
        <v>5000</v>
      </c>
      <c r="B212" t="s">
        <v>907</v>
      </c>
    </row>
    <row r="213" spans="1:2">
      <c r="A213">
        <v>100000</v>
      </c>
      <c r="B213" t="s">
        <v>909</v>
      </c>
    </row>
    <row r="214" spans="1:2">
      <c r="A214">
        <v>50000</v>
      </c>
      <c r="B214" t="s">
        <v>907</v>
      </c>
    </row>
    <row r="215" spans="1:2">
      <c r="A215">
        <v>50000</v>
      </c>
      <c r="B215" t="s">
        <v>907</v>
      </c>
    </row>
    <row r="216" spans="1:2">
      <c r="A216">
        <v>20000</v>
      </c>
      <c r="B216" t="s">
        <v>907</v>
      </c>
    </row>
    <row r="217" spans="1:2">
      <c r="A217">
        <v>10000</v>
      </c>
      <c r="B217" t="s">
        <v>907</v>
      </c>
    </row>
    <row r="218" spans="1:2">
      <c r="A218">
        <v>100000</v>
      </c>
      <c r="B218" t="s">
        <v>907</v>
      </c>
    </row>
    <row r="219" spans="1:2">
      <c r="A219">
        <v>20000</v>
      </c>
      <c r="B219" t="s">
        <v>907</v>
      </c>
    </row>
    <row r="220" spans="1:2">
      <c r="A220">
        <v>50000</v>
      </c>
      <c r="B220" t="s">
        <v>907</v>
      </c>
    </row>
    <row r="221" spans="1:2">
      <c r="A221">
        <v>50000</v>
      </c>
      <c r="B221" t="s">
        <v>907</v>
      </c>
    </row>
    <row r="222" spans="1:2">
      <c r="A222">
        <v>10000</v>
      </c>
      <c r="B222" t="s">
        <v>907</v>
      </c>
    </row>
    <row r="223" spans="1:2">
      <c r="A223">
        <v>50000</v>
      </c>
      <c r="B223" t="s">
        <v>907</v>
      </c>
    </row>
    <row r="224" spans="1:2">
      <c r="A224">
        <v>100000</v>
      </c>
      <c r="B224" t="s">
        <v>907</v>
      </c>
    </row>
    <row r="225" spans="1:2">
      <c r="A225">
        <v>20000</v>
      </c>
      <c r="B225" t="s">
        <v>907</v>
      </c>
    </row>
    <row r="226" spans="1:2">
      <c r="A226">
        <v>5000</v>
      </c>
      <c r="B226" t="s">
        <v>907</v>
      </c>
    </row>
    <row r="227" spans="1:2">
      <c r="A227">
        <v>10000</v>
      </c>
      <c r="B227" t="s">
        <v>907</v>
      </c>
    </row>
    <row r="228" spans="1:2">
      <c r="A228">
        <v>10000</v>
      </c>
      <c r="B228" t="s">
        <v>907</v>
      </c>
    </row>
    <row r="229" spans="1:2">
      <c r="A229">
        <v>100000</v>
      </c>
      <c r="B229" t="s">
        <v>909</v>
      </c>
    </row>
    <row r="230" spans="1:2">
      <c r="A230">
        <v>50000</v>
      </c>
      <c r="B230" t="s">
        <v>907</v>
      </c>
    </row>
    <row r="231" spans="1:2">
      <c r="A231">
        <v>100000</v>
      </c>
      <c r="B231" t="s">
        <v>907</v>
      </c>
    </row>
    <row r="232" spans="1:2">
      <c r="A232">
        <v>10000</v>
      </c>
      <c r="B232" t="s">
        <v>907</v>
      </c>
    </row>
    <row r="233" spans="1:2">
      <c r="A233">
        <v>5000</v>
      </c>
      <c r="B233" t="s">
        <v>907</v>
      </c>
    </row>
    <row r="234" spans="1:2">
      <c r="A234">
        <v>5000</v>
      </c>
      <c r="B234" t="s">
        <v>907</v>
      </c>
    </row>
    <row r="235" spans="1:2">
      <c r="A235">
        <v>10000</v>
      </c>
      <c r="B235" t="s">
        <v>907</v>
      </c>
    </row>
    <row r="236" spans="1:2">
      <c r="A236">
        <v>50000</v>
      </c>
      <c r="B236" t="s">
        <v>907</v>
      </c>
    </row>
    <row r="237" spans="1:2">
      <c r="A237">
        <v>50000</v>
      </c>
      <c r="B237" t="s">
        <v>907</v>
      </c>
    </row>
    <row r="238" spans="1:2">
      <c r="A238">
        <v>100000</v>
      </c>
      <c r="B238" t="s">
        <v>907</v>
      </c>
    </row>
    <row r="239" spans="1:2">
      <c r="A239">
        <v>50000</v>
      </c>
      <c r="B239" t="s">
        <v>907</v>
      </c>
    </row>
    <row r="240" spans="1:2">
      <c r="A240">
        <v>5000</v>
      </c>
      <c r="B240" t="s">
        <v>907</v>
      </c>
    </row>
    <row r="241" spans="1:2">
      <c r="A241">
        <v>5000</v>
      </c>
      <c r="B241" t="s">
        <v>907</v>
      </c>
    </row>
    <row r="242" spans="1:2">
      <c r="A242">
        <v>5000</v>
      </c>
      <c r="B242" t="s">
        <v>907</v>
      </c>
    </row>
    <row r="243" spans="1:2">
      <c r="A243">
        <v>20000</v>
      </c>
      <c r="B243" t="s">
        <v>907</v>
      </c>
    </row>
    <row r="244" spans="1:2">
      <c r="A244">
        <v>20000</v>
      </c>
      <c r="B244" t="s">
        <v>907</v>
      </c>
    </row>
    <row r="245" spans="1:2">
      <c r="A245">
        <v>20000</v>
      </c>
      <c r="B245" t="s">
        <v>907</v>
      </c>
    </row>
    <row r="246" spans="1:2">
      <c r="A246">
        <v>100000</v>
      </c>
      <c r="B246" t="s">
        <v>907</v>
      </c>
    </row>
    <row r="247" spans="1:2">
      <c r="A247">
        <v>100000</v>
      </c>
      <c r="B247" t="s">
        <v>907</v>
      </c>
    </row>
    <row r="248" spans="1:2">
      <c r="A248">
        <v>50000</v>
      </c>
      <c r="B248" t="s">
        <v>907</v>
      </c>
    </row>
    <row r="249" spans="1:2">
      <c r="A249">
        <v>20000</v>
      </c>
      <c r="B249" t="s">
        <v>907</v>
      </c>
    </row>
    <row r="250" spans="1:2">
      <c r="A250">
        <v>10000</v>
      </c>
      <c r="B250" t="s">
        <v>907</v>
      </c>
    </row>
    <row r="251" spans="1:2">
      <c r="A251">
        <v>10000</v>
      </c>
      <c r="B251" t="s">
        <v>907</v>
      </c>
    </row>
    <row r="252" spans="1:2">
      <c r="A252">
        <v>100000</v>
      </c>
      <c r="B252" t="s">
        <v>907</v>
      </c>
    </row>
    <row r="253" spans="1:2">
      <c r="A253">
        <v>100000</v>
      </c>
      <c r="B253" t="s">
        <v>907</v>
      </c>
    </row>
    <row r="254" spans="1:2">
      <c r="A254">
        <v>5000</v>
      </c>
      <c r="B254" t="s">
        <v>909</v>
      </c>
    </row>
    <row r="255" spans="1:2">
      <c r="A255">
        <v>10000</v>
      </c>
      <c r="B255" t="s">
        <v>907</v>
      </c>
    </row>
    <row r="256" spans="1:2">
      <c r="A256">
        <v>10000</v>
      </c>
      <c r="B256" t="s">
        <v>907</v>
      </c>
    </row>
    <row r="257" spans="1:2">
      <c r="A257">
        <v>20000</v>
      </c>
      <c r="B257" t="s">
        <v>907</v>
      </c>
    </row>
    <row r="258" spans="1:2">
      <c r="A258">
        <v>100000</v>
      </c>
      <c r="B258" t="s">
        <v>907</v>
      </c>
    </row>
    <row r="259" spans="1:2">
      <c r="A259">
        <v>100000</v>
      </c>
      <c r="B259" t="s">
        <v>909</v>
      </c>
    </row>
    <row r="260" spans="1:2">
      <c r="A260">
        <v>100000</v>
      </c>
      <c r="B260" t="s">
        <v>909</v>
      </c>
    </row>
    <row r="261" spans="1:2">
      <c r="A261">
        <v>50000</v>
      </c>
      <c r="B261" t="s">
        <v>907</v>
      </c>
    </row>
    <row r="262" spans="1:2">
      <c r="A262">
        <v>20000</v>
      </c>
      <c r="B262" t="s">
        <v>907</v>
      </c>
    </row>
    <row r="263" spans="1:2">
      <c r="A263">
        <v>10000</v>
      </c>
      <c r="B263" t="s">
        <v>907</v>
      </c>
    </row>
    <row r="264" spans="1:2">
      <c r="A264">
        <v>50000</v>
      </c>
      <c r="B264" t="s">
        <v>907</v>
      </c>
    </row>
    <row r="265" spans="1:2">
      <c r="A265">
        <v>50000</v>
      </c>
      <c r="B265" t="s">
        <v>909</v>
      </c>
    </row>
    <row r="266" spans="1:2">
      <c r="A266">
        <v>50000</v>
      </c>
      <c r="B266" t="s">
        <v>907</v>
      </c>
    </row>
    <row r="267" spans="1:2">
      <c r="A267">
        <v>10000</v>
      </c>
      <c r="B267" t="s">
        <v>907</v>
      </c>
    </row>
    <row r="268" spans="1:2">
      <c r="A268">
        <v>50000</v>
      </c>
      <c r="B268" t="s">
        <v>907</v>
      </c>
    </row>
    <row r="269" spans="1:2">
      <c r="A269">
        <v>100000</v>
      </c>
      <c r="B269" t="s">
        <v>907</v>
      </c>
    </row>
    <row r="270" spans="1:2">
      <c r="A270">
        <v>20000</v>
      </c>
      <c r="B270" t="s">
        <v>907</v>
      </c>
    </row>
    <row r="271" spans="1:2">
      <c r="A271">
        <v>50000</v>
      </c>
      <c r="B271" t="s">
        <v>907</v>
      </c>
    </row>
    <row r="272" spans="1:2">
      <c r="A272">
        <v>100000</v>
      </c>
      <c r="B272" t="s">
        <v>907</v>
      </c>
    </row>
    <row r="273" spans="1:2">
      <c r="A273">
        <v>100000</v>
      </c>
      <c r="B273" t="s">
        <v>907</v>
      </c>
    </row>
    <row r="274" spans="1:2">
      <c r="A274">
        <v>100000</v>
      </c>
      <c r="B274" t="s">
        <v>907</v>
      </c>
    </row>
    <row r="275" spans="1:2">
      <c r="A275">
        <v>5000</v>
      </c>
      <c r="B275" t="s">
        <v>907</v>
      </c>
    </row>
    <row r="276" spans="1:2">
      <c r="A276">
        <v>20000</v>
      </c>
      <c r="B276" t="s">
        <v>907</v>
      </c>
    </row>
    <row r="277" spans="1:2">
      <c r="A277">
        <v>100000</v>
      </c>
      <c r="B277" t="s">
        <v>907</v>
      </c>
    </row>
    <row r="278" spans="1:2">
      <c r="A278">
        <v>50000</v>
      </c>
      <c r="B278" t="s">
        <v>907</v>
      </c>
    </row>
    <row r="279" spans="1:2">
      <c r="A279">
        <v>5000</v>
      </c>
      <c r="B279" t="s">
        <v>907</v>
      </c>
    </row>
    <row r="280" spans="1:2">
      <c r="A280">
        <v>100000</v>
      </c>
      <c r="B280" t="s">
        <v>907</v>
      </c>
    </row>
    <row r="281" spans="1:2">
      <c r="A281">
        <v>10000</v>
      </c>
      <c r="B281" t="s">
        <v>907</v>
      </c>
    </row>
    <row r="282" spans="1:2">
      <c r="A282">
        <v>50000</v>
      </c>
      <c r="B282" t="s">
        <v>909</v>
      </c>
    </row>
    <row r="283" spans="1:2">
      <c r="A283">
        <v>5000</v>
      </c>
      <c r="B283" t="s">
        <v>907</v>
      </c>
    </row>
    <row r="284" spans="1:2">
      <c r="A284">
        <v>100000</v>
      </c>
      <c r="B284" t="s">
        <v>907</v>
      </c>
    </row>
    <row r="285" spans="1:2">
      <c r="A285">
        <v>20000</v>
      </c>
      <c r="B285" t="s">
        <v>907</v>
      </c>
    </row>
    <row r="286" spans="1:2">
      <c r="A286">
        <v>20000</v>
      </c>
      <c r="B286" t="s">
        <v>907</v>
      </c>
    </row>
    <row r="287" spans="1:2">
      <c r="A287">
        <v>20000</v>
      </c>
      <c r="B287" t="s">
        <v>907</v>
      </c>
    </row>
    <row r="288" spans="1:2">
      <c r="A288">
        <v>50000</v>
      </c>
      <c r="B288" t="s">
        <v>907</v>
      </c>
    </row>
    <row r="289" spans="1:2">
      <c r="A289">
        <v>20000</v>
      </c>
      <c r="B289" t="s">
        <v>907</v>
      </c>
    </row>
    <row r="290" spans="1:2">
      <c r="A290">
        <v>100000</v>
      </c>
      <c r="B290" t="s">
        <v>907</v>
      </c>
    </row>
    <row r="291" spans="1:2">
      <c r="A291">
        <v>10000</v>
      </c>
      <c r="B291" t="s">
        <v>907</v>
      </c>
    </row>
    <row r="292" spans="1:2">
      <c r="A292">
        <v>50000</v>
      </c>
      <c r="B292" t="s">
        <v>907</v>
      </c>
    </row>
    <row r="293" spans="1:2">
      <c r="A293">
        <v>100000</v>
      </c>
      <c r="B293" t="s">
        <v>907</v>
      </c>
    </row>
    <row r="294" spans="1:2">
      <c r="A294">
        <v>20000</v>
      </c>
      <c r="B294" t="s">
        <v>907</v>
      </c>
    </row>
    <row r="295" spans="1:2">
      <c r="A295">
        <v>10000</v>
      </c>
      <c r="B295" t="s">
        <v>907</v>
      </c>
    </row>
    <row r="296" spans="1:2">
      <c r="A296">
        <v>5000</v>
      </c>
      <c r="B296" t="s">
        <v>907</v>
      </c>
    </row>
    <row r="297" spans="1:2">
      <c r="A297">
        <v>20000</v>
      </c>
      <c r="B297" t="s">
        <v>907</v>
      </c>
    </row>
    <row r="298" spans="1:2">
      <c r="A298">
        <v>100000</v>
      </c>
      <c r="B298" t="s">
        <v>907</v>
      </c>
    </row>
    <row r="299" spans="1:2">
      <c r="A299">
        <v>20000</v>
      </c>
      <c r="B299" t="s">
        <v>907</v>
      </c>
    </row>
    <row r="300" spans="1:2">
      <c r="A300">
        <v>10000</v>
      </c>
      <c r="B300" t="s">
        <v>907</v>
      </c>
    </row>
    <row r="301" spans="1:2">
      <c r="A301">
        <v>5000</v>
      </c>
      <c r="B301" t="s">
        <v>907</v>
      </c>
    </row>
    <row r="302" spans="1:2">
      <c r="A302">
        <v>10000</v>
      </c>
      <c r="B302" t="s">
        <v>909</v>
      </c>
    </row>
    <row r="303" spans="1:2">
      <c r="A303">
        <v>20000</v>
      </c>
      <c r="B303" t="s">
        <v>907</v>
      </c>
    </row>
    <row r="304" spans="1:2">
      <c r="A304">
        <v>10000</v>
      </c>
      <c r="B304" t="s">
        <v>907</v>
      </c>
    </row>
    <row r="305" spans="1:2">
      <c r="A305">
        <v>20000</v>
      </c>
      <c r="B305" t="s">
        <v>907</v>
      </c>
    </row>
    <row r="306" spans="1:2">
      <c r="A306">
        <v>50000</v>
      </c>
      <c r="B306" t="s">
        <v>907</v>
      </c>
    </row>
    <row r="307" spans="1:2">
      <c r="A307">
        <v>100000</v>
      </c>
      <c r="B307" t="s">
        <v>907</v>
      </c>
    </row>
    <row r="308" spans="1:2">
      <c r="A308">
        <v>100000</v>
      </c>
      <c r="B308" t="s">
        <v>907</v>
      </c>
    </row>
    <row r="309" spans="1:2">
      <c r="A309">
        <v>10000</v>
      </c>
      <c r="B309" t="s">
        <v>907</v>
      </c>
    </row>
    <row r="310" spans="1:2">
      <c r="A310">
        <v>5000</v>
      </c>
      <c r="B310" t="s">
        <v>907</v>
      </c>
    </row>
    <row r="311" spans="1:2">
      <c r="A311">
        <v>100000</v>
      </c>
      <c r="B311" t="s">
        <v>907</v>
      </c>
    </row>
    <row r="312" spans="1:2">
      <c r="A312">
        <v>20000</v>
      </c>
      <c r="B312" t="s">
        <v>907</v>
      </c>
    </row>
    <row r="313" spans="1:2">
      <c r="A313">
        <v>5000</v>
      </c>
      <c r="B313" t="s">
        <v>909</v>
      </c>
    </row>
    <row r="314" spans="1:2">
      <c r="A314">
        <v>10000</v>
      </c>
      <c r="B314" t="s">
        <v>907</v>
      </c>
    </row>
    <row r="315" spans="1:2">
      <c r="A315">
        <v>50000</v>
      </c>
      <c r="B315" t="s">
        <v>907</v>
      </c>
    </row>
    <row r="316" spans="1:2">
      <c r="A316">
        <v>10000</v>
      </c>
      <c r="B316" t="s">
        <v>907</v>
      </c>
    </row>
    <row r="317" spans="1:2">
      <c r="A317">
        <v>20000</v>
      </c>
      <c r="B317" t="s">
        <v>907</v>
      </c>
    </row>
    <row r="318" spans="1:2">
      <c r="A318">
        <v>10000</v>
      </c>
      <c r="B318" t="s">
        <v>907</v>
      </c>
    </row>
    <row r="319" spans="1:2">
      <c r="A319">
        <v>5000</v>
      </c>
      <c r="B319" t="s">
        <v>907</v>
      </c>
    </row>
    <row r="320" spans="1:2">
      <c r="A320">
        <v>100000</v>
      </c>
      <c r="B320" t="s">
        <v>907</v>
      </c>
    </row>
    <row r="321" spans="1:2">
      <c r="A321">
        <v>5000</v>
      </c>
      <c r="B321" t="s">
        <v>907</v>
      </c>
    </row>
    <row r="322" spans="1:2">
      <c r="A322">
        <v>10000</v>
      </c>
      <c r="B322" t="s">
        <v>907</v>
      </c>
    </row>
    <row r="323" spans="1:2">
      <c r="A323">
        <v>10000</v>
      </c>
      <c r="B323" t="s">
        <v>907</v>
      </c>
    </row>
    <row r="324" spans="1:2">
      <c r="A324">
        <v>100000</v>
      </c>
      <c r="B324" t="s">
        <v>907</v>
      </c>
    </row>
    <row r="325" spans="1:2">
      <c r="A325">
        <v>5000</v>
      </c>
      <c r="B325" t="s">
        <v>907</v>
      </c>
    </row>
    <row r="326" spans="1:2">
      <c r="A326">
        <v>10000</v>
      </c>
      <c r="B326" t="s">
        <v>907</v>
      </c>
    </row>
    <row r="327" spans="1:2">
      <c r="A327">
        <v>20000</v>
      </c>
      <c r="B327" t="s">
        <v>907</v>
      </c>
    </row>
    <row r="328" spans="1:2">
      <c r="A328">
        <v>100000</v>
      </c>
      <c r="B328" t="s">
        <v>907</v>
      </c>
    </row>
    <row r="329" spans="1:2">
      <c r="A329">
        <v>50000</v>
      </c>
      <c r="B329" t="s">
        <v>907</v>
      </c>
    </row>
    <row r="330" spans="1:2">
      <c r="A330">
        <v>100000</v>
      </c>
      <c r="B330" t="s">
        <v>909</v>
      </c>
    </row>
    <row r="331" spans="1:2">
      <c r="A331">
        <v>50000</v>
      </c>
      <c r="B331" t="s">
        <v>907</v>
      </c>
    </row>
    <row r="332" spans="1:2">
      <c r="A332">
        <v>50000</v>
      </c>
      <c r="B332" t="s">
        <v>907</v>
      </c>
    </row>
    <row r="333" spans="1:2">
      <c r="A333">
        <v>100000</v>
      </c>
      <c r="B333" t="s">
        <v>907</v>
      </c>
    </row>
    <row r="334" spans="1:2">
      <c r="A334">
        <v>20000</v>
      </c>
      <c r="B334" t="s">
        <v>907</v>
      </c>
    </row>
    <row r="335" spans="1:2">
      <c r="A335">
        <v>20000</v>
      </c>
      <c r="B335" t="s">
        <v>909</v>
      </c>
    </row>
    <row r="336" spans="1:2">
      <c r="A336">
        <v>10000</v>
      </c>
      <c r="B336" t="s">
        <v>907</v>
      </c>
    </row>
    <row r="337" spans="1:2">
      <c r="A337">
        <v>10000</v>
      </c>
      <c r="B337" t="s">
        <v>907</v>
      </c>
    </row>
    <row r="338" spans="1:2">
      <c r="A338">
        <v>100000</v>
      </c>
      <c r="B338" t="s">
        <v>907</v>
      </c>
    </row>
    <row r="339" spans="1:2">
      <c r="A339">
        <v>50000</v>
      </c>
      <c r="B339" t="s">
        <v>907</v>
      </c>
    </row>
    <row r="340" spans="1:2">
      <c r="A340">
        <v>10000</v>
      </c>
      <c r="B340" t="s">
        <v>907</v>
      </c>
    </row>
    <row r="341" spans="1:2">
      <c r="A341">
        <v>5000</v>
      </c>
      <c r="B341" t="s">
        <v>907</v>
      </c>
    </row>
    <row r="342" spans="1:2">
      <c r="A342">
        <v>5000</v>
      </c>
      <c r="B342" t="s">
        <v>907</v>
      </c>
    </row>
    <row r="343" spans="1:2">
      <c r="A343">
        <v>50000</v>
      </c>
      <c r="B343" t="s">
        <v>907</v>
      </c>
    </row>
    <row r="344" spans="1:2">
      <c r="A344">
        <v>20000</v>
      </c>
      <c r="B344" t="s">
        <v>909</v>
      </c>
    </row>
    <row r="345" spans="1:2">
      <c r="A345">
        <v>5000</v>
      </c>
      <c r="B345" t="s">
        <v>907</v>
      </c>
    </row>
    <row r="346" spans="1:2">
      <c r="A346">
        <v>20000</v>
      </c>
      <c r="B346" t="s">
        <v>907</v>
      </c>
    </row>
    <row r="347" spans="1:2">
      <c r="A347">
        <v>10000</v>
      </c>
      <c r="B347" t="s">
        <v>907</v>
      </c>
    </row>
    <row r="348" spans="1:2">
      <c r="A348">
        <v>50000</v>
      </c>
      <c r="B348" t="s">
        <v>907</v>
      </c>
    </row>
    <row r="349" spans="1:2">
      <c r="A349">
        <v>5000</v>
      </c>
      <c r="B349" t="s">
        <v>907</v>
      </c>
    </row>
    <row r="350" spans="1:2">
      <c r="A350">
        <v>10000</v>
      </c>
      <c r="B350" t="s">
        <v>907</v>
      </c>
    </row>
    <row r="351" spans="1:2">
      <c r="A351">
        <v>20000</v>
      </c>
      <c r="B351" t="s">
        <v>909</v>
      </c>
    </row>
    <row r="352" spans="1:2">
      <c r="A352">
        <v>100000</v>
      </c>
      <c r="B352" t="s">
        <v>909</v>
      </c>
    </row>
    <row r="353" spans="1:2">
      <c r="A353">
        <v>100000</v>
      </c>
      <c r="B353" t="s">
        <v>907</v>
      </c>
    </row>
    <row r="354" spans="1:2">
      <c r="A354">
        <v>5000</v>
      </c>
      <c r="B354" t="s">
        <v>907</v>
      </c>
    </row>
    <row r="355" spans="1:2">
      <c r="A355">
        <v>20000</v>
      </c>
      <c r="B355" t="s">
        <v>907</v>
      </c>
    </row>
    <row r="356" spans="1:2">
      <c r="A356">
        <v>5000</v>
      </c>
      <c r="B356" t="s">
        <v>907</v>
      </c>
    </row>
    <row r="357" spans="1:2">
      <c r="A357">
        <v>50000</v>
      </c>
      <c r="B357" t="s">
        <v>907</v>
      </c>
    </row>
    <row r="358" spans="1:2">
      <c r="A358">
        <v>20000</v>
      </c>
      <c r="B358" t="s">
        <v>909</v>
      </c>
    </row>
    <row r="359" spans="1:2">
      <c r="A359">
        <v>50000</v>
      </c>
      <c r="B359" t="s">
        <v>907</v>
      </c>
    </row>
    <row r="360" spans="1:2">
      <c r="A360">
        <v>20000</v>
      </c>
      <c r="B360" t="s">
        <v>907</v>
      </c>
    </row>
    <row r="361" spans="1:2">
      <c r="A361">
        <v>100000</v>
      </c>
      <c r="B361" t="s">
        <v>907</v>
      </c>
    </row>
    <row r="362" spans="1:2">
      <c r="A362">
        <v>100000</v>
      </c>
      <c r="B362" t="s">
        <v>907</v>
      </c>
    </row>
    <row r="363" spans="1:2">
      <c r="A363">
        <v>100000</v>
      </c>
      <c r="B363" t="s">
        <v>907</v>
      </c>
    </row>
    <row r="364" spans="1:2">
      <c r="A364">
        <v>20000</v>
      </c>
      <c r="B364" t="s">
        <v>907</v>
      </c>
    </row>
    <row r="365" spans="1:2">
      <c r="A365">
        <v>50000</v>
      </c>
      <c r="B365" t="s">
        <v>907</v>
      </c>
    </row>
    <row r="366" spans="1:2">
      <c r="A366">
        <v>100000</v>
      </c>
      <c r="B366" t="s">
        <v>907</v>
      </c>
    </row>
    <row r="367" spans="1:2">
      <c r="A367">
        <v>20000</v>
      </c>
      <c r="B367" t="s">
        <v>907</v>
      </c>
    </row>
    <row r="368" spans="1:2">
      <c r="A368">
        <v>20000</v>
      </c>
      <c r="B368" t="s">
        <v>907</v>
      </c>
    </row>
    <row r="369" spans="1:2">
      <c r="A369">
        <v>20000</v>
      </c>
      <c r="B369" t="s">
        <v>907</v>
      </c>
    </row>
    <row r="370" spans="1:2">
      <c r="A370">
        <v>50000</v>
      </c>
      <c r="B370" t="s">
        <v>907</v>
      </c>
    </row>
    <row r="371" spans="1:2">
      <c r="A371">
        <v>100000</v>
      </c>
      <c r="B371" t="s">
        <v>907</v>
      </c>
    </row>
    <row r="372" spans="1:2">
      <c r="A372">
        <v>5000</v>
      </c>
      <c r="B372" t="s">
        <v>907</v>
      </c>
    </row>
    <row r="373" spans="1:2">
      <c r="A373">
        <v>10000</v>
      </c>
      <c r="B373" t="s">
        <v>907</v>
      </c>
    </row>
    <row r="374" spans="1:2">
      <c r="A374">
        <v>100000</v>
      </c>
      <c r="B374" t="s">
        <v>907</v>
      </c>
    </row>
    <row r="375" spans="1:2">
      <c r="A375">
        <v>100000</v>
      </c>
      <c r="B375" t="s">
        <v>907</v>
      </c>
    </row>
    <row r="376" spans="1:2">
      <c r="A376">
        <v>10000</v>
      </c>
      <c r="B376" t="s">
        <v>907</v>
      </c>
    </row>
    <row r="377" spans="1:2">
      <c r="A377">
        <v>20000</v>
      </c>
      <c r="B377" t="s">
        <v>907</v>
      </c>
    </row>
    <row r="378" spans="1:2">
      <c r="A378">
        <v>50000</v>
      </c>
      <c r="B378" t="s">
        <v>907</v>
      </c>
    </row>
    <row r="379" spans="1:2">
      <c r="A379">
        <v>20000</v>
      </c>
      <c r="B379" t="s">
        <v>907</v>
      </c>
    </row>
    <row r="380" spans="1:2">
      <c r="A380">
        <v>5000</v>
      </c>
      <c r="B380" t="s">
        <v>907</v>
      </c>
    </row>
    <row r="381" spans="1:2">
      <c r="A381">
        <v>100000</v>
      </c>
      <c r="B381" t="s">
        <v>907</v>
      </c>
    </row>
    <row r="382" spans="1:2">
      <c r="A382">
        <v>20000</v>
      </c>
      <c r="B382" t="s">
        <v>907</v>
      </c>
    </row>
    <row r="383" spans="1:2">
      <c r="A383">
        <v>5000</v>
      </c>
      <c r="B383" t="s">
        <v>909</v>
      </c>
    </row>
    <row r="384" spans="1:2">
      <c r="A384">
        <v>100000</v>
      </c>
      <c r="B384" t="s">
        <v>907</v>
      </c>
    </row>
    <row r="385" spans="1:2">
      <c r="A385">
        <v>50000</v>
      </c>
      <c r="B385" t="s">
        <v>907</v>
      </c>
    </row>
    <row r="386" spans="1:2">
      <c r="A386">
        <v>5000</v>
      </c>
      <c r="B386" t="s">
        <v>907</v>
      </c>
    </row>
    <row r="387" spans="1:2">
      <c r="A387">
        <v>100000</v>
      </c>
      <c r="B387" t="s">
        <v>907</v>
      </c>
    </row>
    <row r="388" spans="1:2">
      <c r="A388">
        <v>20000</v>
      </c>
      <c r="B388" t="s">
        <v>907</v>
      </c>
    </row>
    <row r="389" spans="1:2">
      <c r="A389">
        <v>100000</v>
      </c>
      <c r="B389" t="s">
        <v>907</v>
      </c>
    </row>
    <row r="390" spans="1:2">
      <c r="A390">
        <v>100000</v>
      </c>
      <c r="B390" t="s">
        <v>907</v>
      </c>
    </row>
    <row r="391" spans="1:2">
      <c r="A391">
        <v>10000</v>
      </c>
      <c r="B391" t="s">
        <v>907</v>
      </c>
    </row>
    <row r="392" spans="1:2">
      <c r="A392">
        <v>100000</v>
      </c>
      <c r="B392" t="s">
        <v>907</v>
      </c>
    </row>
    <row r="393" spans="1:2">
      <c r="A393">
        <v>100000</v>
      </c>
      <c r="B393" t="s">
        <v>907</v>
      </c>
    </row>
    <row r="394" spans="1:2">
      <c r="A394">
        <v>100000</v>
      </c>
      <c r="B394" t="s">
        <v>907</v>
      </c>
    </row>
    <row r="395" spans="1:2">
      <c r="A395">
        <v>100000</v>
      </c>
      <c r="B395" t="s">
        <v>907</v>
      </c>
    </row>
    <row r="396" spans="1:2">
      <c r="A396">
        <v>50000</v>
      </c>
      <c r="B396" t="s">
        <v>907</v>
      </c>
    </row>
    <row r="397" spans="1:2">
      <c r="A397">
        <v>10000</v>
      </c>
      <c r="B397" t="s">
        <v>907</v>
      </c>
    </row>
    <row r="398" spans="1:2">
      <c r="A398">
        <v>100000</v>
      </c>
      <c r="B398" t="s">
        <v>907</v>
      </c>
    </row>
    <row r="399" spans="1:2">
      <c r="A399">
        <v>100000</v>
      </c>
      <c r="B399" t="s">
        <v>907</v>
      </c>
    </row>
    <row r="400" spans="1:2">
      <c r="A400">
        <v>10000</v>
      </c>
      <c r="B400" t="s">
        <v>907</v>
      </c>
    </row>
    <row r="401" spans="1:2">
      <c r="A401">
        <v>50000</v>
      </c>
      <c r="B401" t="s">
        <v>907</v>
      </c>
    </row>
    <row r="402" spans="1:2">
      <c r="A402">
        <v>10000</v>
      </c>
      <c r="B402" t="s">
        <v>907</v>
      </c>
    </row>
    <row r="403" spans="1:2">
      <c r="A403">
        <v>100000</v>
      </c>
      <c r="B403" t="s">
        <v>907</v>
      </c>
    </row>
    <row r="404" spans="1:2">
      <c r="A404">
        <v>100000</v>
      </c>
      <c r="B404" t="s">
        <v>907</v>
      </c>
    </row>
    <row r="405" spans="1:2">
      <c r="A405">
        <v>10000</v>
      </c>
      <c r="B405" t="s">
        <v>907</v>
      </c>
    </row>
    <row r="406" spans="1:2">
      <c r="A406">
        <v>100000</v>
      </c>
      <c r="B406" t="s">
        <v>907</v>
      </c>
    </row>
    <row r="407" spans="1:2">
      <c r="A407">
        <v>50000</v>
      </c>
      <c r="B407" t="s">
        <v>909</v>
      </c>
    </row>
    <row r="408" spans="1:2">
      <c r="A408">
        <v>20000</v>
      </c>
      <c r="B408" t="s">
        <v>907</v>
      </c>
    </row>
    <row r="409" spans="1:2">
      <c r="A409">
        <v>5000</v>
      </c>
      <c r="B409" t="s">
        <v>907</v>
      </c>
    </row>
    <row r="410" spans="1:2">
      <c r="A410">
        <v>20000</v>
      </c>
      <c r="B410" t="s">
        <v>907</v>
      </c>
    </row>
    <row r="411" spans="1:2">
      <c r="A411">
        <v>20000</v>
      </c>
      <c r="B411" t="s">
        <v>909</v>
      </c>
    </row>
    <row r="412" spans="1:2">
      <c r="A412">
        <v>5000</v>
      </c>
      <c r="B412" t="s">
        <v>907</v>
      </c>
    </row>
    <row r="413" spans="1:2">
      <c r="A413">
        <v>10000</v>
      </c>
      <c r="B413" t="s">
        <v>907</v>
      </c>
    </row>
    <row r="414" spans="1:2">
      <c r="A414">
        <v>20000</v>
      </c>
      <c r="B414" t="s">
        <v>907</v>
      </c>
    </row>
    <row r="415" spans="1:2">
      <c r="A415">
        <v>50000</v>
      </c>
      <c r="B415" t="s">
        <v>907</v>
      </c>
    </row>
    <row r="416" spans="1:2">
      <c r="A416">
        <v>100000</v>
      </c>
      <c r="B416" t="s">
        <v>907</v>
      </c>
    </row>
    <row r="417" spans="1:2">
      <c r="A417">
        <v>50000</v>
      </c>
      <c r="B417" t="s">
        <v>907</v>
      </c>
    </row>
    <row r="418" spans="1:2">
      <c r="A418">
        <v>5000</v>
      </c>
      <c r="B418" t="s">
        <v>907</v>
      </c>
    </row>
    <row r="419" spans="1:2">
      <c r="A419">
        <v>10000</v>
      </c>
      <c r="B419" t="s">
        <v>907</v>
      </c>
    </row>
    <row r="420" spans="1:2">
      <c r="A420">
        <v>20000</v>
      </c>
      <c r="B420" t="s">
        <v>907</v>
      </c>
    </row>
    <row r="421" spans="1:2">
      <c r="A421">
        <v>5000</v>
      </c>
      <c r="B421" t="s">
        <v>907</v>
      </c>
    </row>
    <row r="422" spans="1:2">
      <c r="A422">
        <v>20000</v>
      </c>
      <c r="B422" t="s">
        <v>907</v>
      </c>
    </row>
    <row r="423" spans="1:2">
      <c r="A423">
        <v>100000</v>
      </c>
      <c r="B423" t="s">
        <v>909</v>
      </c>
    </row>
    <row r="424" spans="1:2">
      <c r="A424">
        <v>20000</v>
      </c>
      <c r="B424" t="s">
        <v>909</v>
      </c>
    </row>
    <row r="425" spans="1:2">
      <c r="A425">
        <v>5000</v>
      </c>
      <c r="B425" t="s">
        <v>907</v>
      </c>
    </row>
    <row r="426" spans="1:2">
      <c r="A426">
        <v>100000</v>
      </c>
      <c r="B426" t="s">
        <v>907</v>
      </c>
    </row>
    <row r="427" spans="1:2">
      <c r="A427">
        <v>20000</v>
      </c>
      <c r="B427" t="s">
        <v>907</v>
      </c>
    </row>
    <row r="428" spans="1:2">
      <c r="A428">
        <v>5000</v>
      </c>
      <c r="B428" t="s">
        <v>909</v>
      </c>
    </row>
    <row r="429" spans="1:2">
      <c r="A429">
        <v>50000</v>
      </c>
      <c r="B429" t="s">
        <v>907</v>
      </c>
    </row>
    <row r="430" spans="1:2">
      <c r="A430">
        <v>20000</v>
      </c>
      <c r="B430" t="s">
        <v>907</v>
      </c>
    </row>
    <row r="431" spans="1:2">
      <c r="A431">
        <v>100000</v>
      </c>
      <c r="B431" t="s">
        <v>907</v>
      </c>
    </row>
    <row r="432" spans="1:2">
      <c r="A432">
        <v>20000</v>
      </c>
      <c r="B432" t="s">
        <v>907</v>
      </c>
    </row>
    <row r="433" spans="1:2">
      <c r="A433">
        <v>5000</v>
      </c>
      <c r="B433" t="s">
        <v>907</v>
      </c>
    </row>
    <row r="434" spans="1:2">
      <c r="A434">
        <v>5000</v>
      </c>
      <c r="B434" t="s">
        <v>907</v>
      </c>
    </row>
    <row r="435" spans="1:2">
      <c r="A435">
        <v>100000</v>
      </c>
      <c r="B435" t="s">
        <v>909</v>
      </c>
    </row>
    <row r="436" spans="1:2">
      <c r="A436">
        <v>5000</v>
      </c>
      <c r="B436" t="s">
        <v>907</v>
      </c>
    </row>
    <row r="437" spans="1:2">
      <c r="A437">
        <v>100000</v>
      </c>
      <c r="B437" t="s">
        <v>907</v>
      </c>
    </row>
    <row r="438" spans="1:2">
      <c r="A438">
        <v>100000</v>
      </c>
      <c r="B438" t="s">
        <v>907</v>
      </c>
    </row>
    <row r="439" spans="1:2">
      <c r="A439">
        <v>10000</v>
      </c>
      <c r="B439" t="s">
        <v>907</v>
      </c>
    </row>
    <row r="440" spans="1:2">
      <c r="A440">
        <v>20000</v>
      </c>
      <c r="B440" t="s">
        <v>907</v>
      </c>
    </row>
    <row r="441" spans="1:2">
      <c r="A441">
        <v>10000</v>
      </c>
      <c r="B441" t="s">
        <v>907</v>
      </c>
    </row>
    <row r="442" spans="1:2">
      <c r="A442">
        <v>100000</v>
      </c>
      <c r="B442" t="s">
        <v>907</v>
      </c>
    </row>
    <row r="443" spans="1:2">
      <c r="A443">
        <v>5000</v>
      </c>
      <c r="B443" t="s">
        <v>909</v>
      </c>
    </row>
    <row r="444" spans="1:2">
      <c r="A444">
        <v>5000</v>
      </c>
      <c r="B444" t="s">
        <v>907</v>
      </c>
    </row>
    <row r="445" spans="1:2">
      <c r="A445">
        <v>50000</v>
      </c>
      <c r="B445" t="s">
        <v>907</v>
      </c>
    </row>
    <row r="446" spans="1:2">
      <c r="A446">
        <v>10000</v>
      </c>
      <c r="B446" t="s">
        <v>907</v>
      </c>
    </row>
    <row r="447" spans="1:2">
      <c r="A447">
        <v>20000</v>
      </c>
      <c r="B447" t="s">
        <v>907</v>
      </c>
    </row>
    <row r="448" spans="1:2">
      <c r="A448">
        <v>10000</v>
      </c>
      <c r="B448" t="s">
        <v>909</v>
      </c>
    </row>
    <row r="449" spans="1:2">
      <c r="A449">
        <v>10000</v>
      </c>
      <c r="B449" t="s">
        <v>907</v>
      </c>
    </row>
    <row r="450" spans="1:2">
      <c r="A450">
        <v>50000</v>
      </c>
      <c r="B450" t="s">
        <v>907</v>
      </c>
    </row>
    <row r="451" spans="1:2">
      <c r="A451">
        <v>10000</v>
      </c>
      <c r="B451" t="s">
        <v>907</v>
      </c>
    </row>
    <row r="452" spans="1:2">
      <c r="A452">
        <v>20000</v>
      </c>
      <c r="B452" t="s">
        <v>907</v>
      </c>
    </row>
    <row r="453" spans="1:2">
      <c r="A453">
        <v>10000</v>
      </c>
      <c r="B453" t="s">
        <v>907</v>
      </c>
    </row>
    <row r="454" spans="1:2">
      <c r="A454">
        <v>10000</v>
      </c>
      <c r="B454" t="s">
        <v>907</v>
      </c>
    </row>
    <row r="455" spans="1:2">
      <c r="A455">
        <v>100000</v>
      </c>
      <c r="B455" t="s">
        <v>909</v>
      </c>
    </row>
    <row r="456" spans="1:2">
      <c r="A456">
        <v>50000</v>
      </c>
      <c r="B456" t="s">
        <v>907</v>
      </c>
    </row>
    <row r="457" spans="1:2">
      <c r="A457">
        <v>50000</v>
      </c>
      <c r="B457" t="s">
        <v>909</v>
      </c>
    </row>
    <row r="458" spans="1:2">
      <c r="A458">
        <v>5000</v>
      </c>
      <c r="B458" t="s">
        <v>907</v>
      </c>
    </row>
    <row r="459" spans="1:2">
      <c r="A459">
        <v>5000</v>
      </c>
      <c r="B459" t="s">
        <v>907</v>
      </c>
    </row>
    <row r="460" spans="1:2">
      <c r="A460">
        <v>50000</v>
      </c>
      <c r="B460" t="s">
        <v>907</v>
      </c>
    </row>
    <row r="461" spans="1:2">
      <c r="A461">
        <v>10000</v>
      </c>
      <c r="B461" t="s">
        <v>907</v>
      </c>
    </row>
    <row r="462" spans="1:2">
      <c r="A462">
        <v>10000</v>
      </c>
      <c r="B462" t="s">
        <v>907</v>
      </c>
    </row>
    <row r="463" spans="1:2">
      <c r="A463">
        <v>5000</v>
      </c>
      <c r="B463" t="s">
        <v>907</v>
      </c>
    </row>
    <row r="464" spans="1:2">
      <c r="A464">
        <v>100000</v>
      </c>
      <c r="B464" t="s">
        <v>907</v>
      </c>
    </row>
    <row r="465" spans="1:2">
      <c r="A465">
        <v>100000</v>
      </c>
      <c r="B465" t="s">
        <v>907</v>
      </c>
    </row>
    <row r="466" spans="1:2">
      <c r="A466">
        <v>50000</v>
      </c>
      <c r="B466" t="s">
        <v>907</v>
      </c>
    </row>
    <row r="467" spans="1:2">
      <c r="A467">
        <v>10000</v>
      </c>
      <c r="B467" t="s">
        <v>907</v>
      </c>
    </row>
    <row r="468" spans="1:2">
      <c r="A468">
        <v>5000</v>
      </c>
      <c r="B468" t="s">
        <v>907</v>
      </c>
    </row>
    <row r="469" spans="1:2">
      <c r="A469">
        <v>10000</v>
      </c>
      <c r="B469" t="s">
        <v>907</v>
      </c>
    </row>
    <row r="470" spans="1:2">
      <c r="A470">
        <v>100000</v>
      </c>
      <c r="B470" t="s">
        <v>907</v>
      </c>
    </row>
    <row r="471" spans="1:2">
      <c r="A471">
        <v>100000</v>
      </c>
      <c r="B471" t="s">
        <v>907</v>
      </c>
    </row>
    <row r="472" spans="1:2">
      <c r="A472">
        <v>50000</v>
      </c>
      <c r="B472" t="s">
        <v>909</v>
      </c>
    </row>
    <row r="473" spans="1:2">
      <c r="A473">
        <v>100000</v>
      </c>
      <c r="B473" t="s">
        <v>909</v>
      </c>
    </row>
    <row r="474" spans="1:2">
      <c r="A474">
        <v>10000</v>
      </c>
      <c r="B474" t="s">
        <v>907</v>
      </c>
    </row>
    <row r="475" spans="1:2">
      <c r="A475">
        <v>10000</v>
      </c>
      <c r="B475" t="s">
        <v>909</v>
      </c>
    </row>
    <row r="476" spans="1:2">
      <c r="A476">
        <v>100000</v>
      </c>
      <c r="B476" t="s">
        <v>907</v>
      </c>
    </row>
    <row r="477" spans="1:2">
      <c r="A477">
        <v>50000</v>
      </c>
      <c r="B477" t="s">
        <v>907</v>
      </c>
    </row>
    <row r="478" spans="1:2">
      <c r="A478">
        <v>10000</v>
      </c>
      <c r="B478" t="s">
        <v>907</v>
      </c>
    </row>
    <row r="479" spans="1:2">
      <c r="A479">
        <v>10000</v>
      </c>
      <c r="B479" t="s">
        <v>907</v>
      </c>
    </row>
    <row r="480" spans="1:2">
      <c r="A480">
        <v>10000</v>
      </c>
      <c r="B480" t="s">
        <v>907</v>
      </c>
    </row>
    <row r="481" spans="1:2">
      <c r="A481">
        <v>10000</v>
      </c>
      <c r="B481" t="s">
        <v>907</v>
      </c>
    </row>
    <row r="482" spans="1:2">
      <c r="A482">
        <v>5000</v>
      </c>
      <c r="B482" t="s">
        <v>907</v>
      </c>
    </row>
    <row r="483" spans="1:2">
      <c r="A483">
        <v>5000</v>
      </c>
      <c r="B483" t="s">
        <v>907</v>
      </c>
    </row>
    <row r="484" spans="1:2">
      <c r="A484">
        <v>50000</v>
      </c>
      <c r="B484" t="s">
        <v>909</v>
      </c>
    </row>
    <row r="485" spans="1:2">
      <c r="A485">
        <v>50000</v>
      </c>
      <c r="B485" t="s">
        <v>907</v>
      </c>
    </row>
    <row r="486" spans="1:2">
      <c r="A486">
        <v>20000</v>
      </c>
      <c r="B486" t="s">
        <v>907</v>
      </c>
    </row>
    <row r="487" spans="1:2">
      <c r="A487">
        <v>10000</v>
      </c>
      <c r="B487" t="s">
        <v>907</v>
      </c>
    </row>
    <row r="488" spans="1:2">
      <c r="A488">
        <v>5000</v>
      </c>
      <c r="B488" t="s">
        <v>907</v>
      </c>
    </row>
    <row r="489" spans="1:2">
      <c r="A489">
        <v>20000</v>
      </c>
      <c r="B489" t="s">
        <v>909</v>
      </c>
    </row>
    <row r="490" spans="1:2">
      <c r="A490">
        <v>20000</v>
      </c>
      <c r="B490" t="s">
        <v>907</v>
      </c>
    </row>
    <row r="491" spans="1:2">
      <c r="A491">
        <v>10000</v>
      </c>
      <c r="B491" t="s">
        <v>907</v>
      </c>
    </row>
    <row r="492" spans="1:2">
      <c r="A492">
        <v>10000</v>
      </c>
      <c r="B492" t="s">
        <v>907</v>
      </c>
    </row>
    <row r="493" spans="1:2">
      <c r="A493">
        <v>50000</v>
      </c>
      <c r="B493" t="s">
        <v>907</v>
      </c>
    </row>
    <row r="494" spans="1:2">
      <c r="A494">
        <v>5000</v>
      </c>
      <c r="B494" t="s">
        <v>907</v>
      </c>
    </row>
    <row r="495" spans="1:2">
      <c r="A495">
        <v>10000</v>
      </c>
      <c r="B495" t="s">
        <v>907</v>
      </c>
    </row>
    <row r="496" spans="1:2">
      <c r="A496">
        <v>100000</v>
      </c>
      <c r="B496" t="s">
        <v>907</v>
      </c>
    </row>
    <row r="497" spans="1:2">
      <c r="A497">
        <v>100000</v>
      </c>
      <c r="B497" t="s">
        <v>907</v>
      </c>
    </row>
    <row r="498" spans="1:2">
      <c r="A498">
        <v>100000</v>
      </c>
      <c r="B498" t="s">
        <v>907</v>
      </c>
    </row>
    <row r="499" spans="1:2">
      <c r="A499">
        <v>100000</v>
      </c>
      <c r="B499" t="s">
        <v>907</v>
      </c>
    </row>
    <row r="500" spans="1:2">
      <c r="A500">
        <v>10000</v>
      </c>
      <c r="B500" t="s">
        <v>909</v>
      </c>
    </row>
    <row r="501" spans="1:2">
      <c r="A501">
        <v>10000</v>
      </c>
      <c r="B501" t="s">
        <v>907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t="s">
        <v>936</v>
      </c>
      <c r="C1" t="s">
        <v>983</v>
      </c>
      <c r="D1" t="s">
        <v>984</v>
      </c>
    </row>
    <row r="2" spans="1:4">
      <c r="A2" t="s">
        <v>937</v>
      </c>
      <c r="C2" t="s">
        <v>907</v>
      </c>
      <c r="D2">
        <v>38563.47438752784</v>
      </c>
    </row>
    <row r="3" spans="1:4">
      <c r="A3" t="s">
        <v>938</v>
      </c>
      <c r="C3" t="s">
        <v>909</v>
      </c>
      <c r="D3">
        <v>44117.64705882353</v>
      </c>
    </row>
    <row r="4" spans="1:4">
      <c r="A4" t="s">
        <v>939</v>
      </c>
    </row>
    <row r="5" spans="1:4">
      <c r="A5" t="s">
        <v>940</v>
      </c>
    </row>
    <row r="6" spans="1:4">
      <c r="A6" t="s">
        <v>941</v>
      </c>
    </row>
    <row r="7" spans="1:4">
      <c r="A7" t="s">
        <v>942</v>
      </c>
    </row>
    <row r="8" spans="1:4">
      <c r="A8" t="s">
        <v>943</v>
      </c>
    </row>
    <row r="9" spans="1:4">
      <c r="A9" t="s">
        <v>944</v>
      </c>
    </row>
    <row r="10" spans="1:4">
      <c r="A10" t="s">
        <v>945</v>
      </c>
    </row>
    <row r="11" spans="1:4">
      <c r="A11" t="s">
        <v>946</v>
      </c>
    </row>
    <row r="12" spans="1:4">
      <c r="A12" t="s">
        <v>947</v>
      </c>
    </row>
    <row r="13" spans="1:4">
      <c r="A13" t="s">
        <v>948</v>
      </c>
    </row>
    <row r="14" spans="1:4">
      <c r="A14" t="s">
        <v>949</v>
      </c>
    </row>
    <row r="15" spans="1:4">
      <c r="A15" t="s">
        <v>950</v>
      </c>
    </row>
    <row r="16" spans="1:4">
      <c r="A16" t="s">
        <v>951</v>
      </c>
    </row>
    <row r="17" spans="1:1">
      <c r="A17" t="s">
        <v>952</v>
      </c>
    </row>
    <row r="18" spans="1:1">
      <c r="A18" t="s">
        <v>953</v>
      </c>
    </row>
    <row r="19" spans="1:1">
      <c r="A19" t="s">
        <v>954</v>
      </c>
    </row>
    <row r="20" spans="1:1">
      <c r="A20" t="s">
        <v>955</v>
      </c>
    </row>
    <row r="21" spans="1:1">
      <c r="A21" t="s">
        <v>956</v>
      </c>
    </row>
    <row r="22" spans="1:1">
      <c r="A22" t="s">
        <v>957</v>
      </c>
    </row>
    <row r="23" spans="1:1">
      <c r="A23" t="s">
        <v>958</v>
      </c>
    </row>
    <row r="24" spans="1:1">
      <c r="A24" t="s">
        <v>959</v>
      </c>
    </row>
    <row r="25" spans="1:1">
      <c r="A25" t="s">
        <v>960</v>
      </c>
    </row>
    <row r="26" spans="1:1">
      <c r="A26" t="s">
        <v>961</v>
      </c>
    </row>
    <row r="27" spans="1:1">
      <c r="A27" t="s">
        <v>962</v>
      </c>
    </row>
    <row r="28" spans="1:1">
      <c r="A28" t="s">
        <v>963</v>
      </c>
    </row>
    <row r="29" spans="1:1">
      <c r="A29" t="s">
        <v>964</v>
      </c>
    </row>
    <row r="30" spans="1:1">
      <c r="A30" t="s">
        <v>965</v>
      </c>
    </row>
    <row r="31" spans="1:1">
      <c r="A31" t="s">
        <v>966</v>
      </c>
    </row>
    <row r="32" spans="1:1">
      <c r="A32" t="s">
        <v>967</v>
      </c>
    </row>
    <row r="33" spans="1:1">
      <c r="A33" t="s">
        <v>968</v>
      </c>
    </row>
    <row r="34" spans="1:1">
      <c r="A34" t="s">
        <v>969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cols>
    <col min="2" max="2" width="15.7109375" style="1" customWidth="1"/>
  </cols>
  <sheetData>
    <row r="1" spans="1:5">
      <c r="A1" s="2" t="s">
        <v>985</v>
      </c>
    </row>
    <row r="3" spans="1:5">
      <c r="A3" s="3" t="s">
        <v>986</v>
      </c>
      <c r="B3" s="1" t="s">
        <v>969</v>
      </c>
    </row>
    <row r="6" spans="1:5">
      <c r="A6" s="3" t="s">
        <v>987</v>
      </c>
      <c r="B6" s="1">
        <f>IFERROR(VLOOKUP($B$3,MonthlyMetrics!$B:$H,3,FALSE),"N/A")</f>
        <v>0</v>
      </c>
    </row>
    <row r="7" spans="1:5">
      <c r="A7" s="3" t="s">
        <v>988</v>
      </c>
      <c r="B7" s="1">
        <f>IFERROR(VLOOKUP($B$3,MonthlyMetrics!$B:$H,7,FALSE),"N/A")</f>
        <v>0</v>
      </c>
    </row>
    <row r="8" spans="1:5">
      <c r="A8" s="3" t="s">
        <v>973</v>
      </c>
      <c r="B8" s="1">
        <f>IFERROR(VLOOKUP($B$3,MonthlyMetrics!$B:$H,6,FALSE),"N/A")</f>
        <v>0</v>
      </c>
    </row>
    <row r="9" spans="1:5">
      <c r="A9" s="3" t="s">
        <v>989</v>
      </c>
      <c r="B9" s="1">
        <f>IFERROR(VLOOKUP($B$3,MonthlyMetrics!$B:$H,8,FALSE),"N/A")</f>
        <v>0</v>
      </c>
    </row>
    <row r="11" spans="1:5">
      <c r="A11" s="3" t="s">
        <v>990</v>
      </c>
      <c r="B11" s="3" t="s">
        <v>991</v>
      </c>
      <c r="C11" s="3" t="s">
        <v>977</v>
      </c>
      <c r="D11" s="3" t="s">
        <v>992</v>
      </c>
    </row>
    <row r="12" spans="1:5">
      <c r="A12" t="s">
        <v>502</v>
      </c>
      <c r="B12" s="1">
        <v>0</v>
      </c>
      <c r="C12" s="1">
        <v>0</v>
      </c>
      <c r="D12" s="4">
        <v>0</v>
      </c>
      <c r="E12">
        <f>B12-C12</f>
        <v>0</v>
      </c>
    </row>
    <row r="13" spans="1:5">
      <c r="A13" t="s">
        <v>503</v>
      </c>
      <c r="B13" s="1">
        <v>0</v>
      </c>
      <c r="C13" s="1">
        <v>0</v>
      </c>
      <c r="D13" s="4">
        <v>0</v>
      </c>
      <c r="E13">
        <f>B13-C13</f>
        <v>0</v>
      </c>
    </row>
    <row r="14" spans="1:5">
      <c r="A14" t="s">
        <v>504</v>
      </c>
      <c r="B14" s="1">
        <v>0</v>
      </c>
      <c r="C14" s="1">
        <v>0</v>
      </c>
      <c r="D14" s="4">
        <v>0</v>
      </c>
      <c r="E14">
        <f>B14-C14</f>
        <v>0</v>
      </c>
    </row>
    <row r="15" spans="1:5">
      <c r="A15" t="s">
        <v>505</v>
      </c>
      <c r="B15" s="1">
        <v>0</v>
      </c>
      <c r="C15" s="1">
        <v>0</v>
      </c>
      <c r="D15" s="4">
        <v>0</v>
      </c>
      <c r="E15">
        <f>B15-C15</f>
        <v>0</v>
      </c>
    </row>
    <row r="16" spans="1:5">
      <c r="A16" t="s">
        <v>506</v>
      </c>
      <c r="B16" s="1">
        <v>0</v>
      </c>
      <c r="C16" s="1">
        <v>0</v>
      </c>
      <c r="D16" s="4">
        <v>0</v>
      </c>
      <c r="E16">
        <f>B16-C16</f>
        <v>0</v>
      </c>
    </row>
    <row r="19" spans="1:4">
      <c r="A19" s="3" t="s">
        <v>993</v>
      </c>
      <c r="B19" s="3" t="s">
        <v>994</v>
      </c>
      <c r="C19" s="3" t="s">
        <v>992</v>
      </c>
    </row>
    <row r="20" spans="1:4">
      <c r="A20" t="s">
        <v>900</v>
      </c>
      <c r="B20" s="1">
        <v>0</v>
      </c>
      <c r="C20" s="4">
        <v>0</v>
      </c>
    </row>
    <row r="21" spans="1:4">
      <c r="A21" t="s">
        <v>901</v>
      </c>
      <c r="B21" s="1">
        <v>0</v>
      </c>
      <c r="C21" s="4">
        <v>0</v>
      </c>
    </row>
    <row r="22" spans="1:4">
      <c r="A22" t="s">
        <v>902</v>
      </c>
      <c r="B22" s="1">
        <v>0</v>
      </c>
      <c r="C22" s="4">
        <v>0</v>
      </c>
    </row>
    <row r="26" spans="1:4">
      <c r="A26" s="3" t="s">
        <v>978</v>
      </c>
      <c r="B26" s="3" t="s">
        <v>911</v>
      </c>
      <c r="C26" s="3" t="s">
        <v>908</v>
      </c>
      <c r="D26" s="3" t="s">
        <v>909</v>
      </c>
    </row>
    <row r="27" spans="1:4">
      <c r="A27" t="s">
        <v>900</v>
      </c>
      <c r="B27" s="1">
        <v>0</v>
      </c>
      <c r="C27" s="1">
        <v>0</v>
      </c>
      <c r="D27" s="1">
        <v>0</v>
      </c>
    </row>
    <row r="28" spans="1:4">
      <c r="A28" t="s">
        <v>901</v>
      </c>
      <c r="B28" s="1">
        <v>0</v>
      </c>
      <c r="C28" s="1">
        <v>0</v>
      </c>
      <c r="D28" s="1">
        <v>0</v>
      </c>
    </row>
    <row r="29" spans="1:4">
      <c r="A29" t="s">
        <v>902</v>
      </c>
      <c r="B29" s="1">
        <v>0</v>
      </c>
      <c r="C29" s="1">
        <v>0</v>
      </c>
      <c r="D29" s="1">
        <v>0</v>
      </c>
    </row>
    <row r="35" spans="1:2">
      <c r="A35" s="3" t="s">
        <v>995</v>
      </c>
    </row>
    <row r="36" spans="1:2">
      <c r="A36" t="s">
        <v>958</v>
      </c>
      <c r="B36" s="1">
        <v>0.9931972789115646</v>
      </c>
    </row>
    <row r="37" spans="1:2">
      <c r="A37" t="s">
        <v>959</v>
      </c>
      <c r="B37" s="1">
        <v>0.9978070175438597</v>
      </c>
    </row>
    <row r="38" spans="1:2">
      <c r="A38" t="s">
        <v>960</v>
      </c>
      <c r="B38" s="1">
        <v>0.9978947368421053</v>
      </c>
    </row>
    <row r="39" spans="1:2">
      <c r="A39" t="s">
        <v>961</v>
      </c>
      <c r="B39" s="1">
        <v>0.989451476793249</v>
      </c>
    </row>
    <row r="40" spans="1:2">
      <c r="A40" t="s">
        <v>962</v>
      </c>
      <c r="B40" s="1">
        <v>0.997867803837953</v>
      </c>
    </row>
    <row r="41" spans="1:2">
      <c r="A41" t="s">
        <v>963</v>
      </c>
      <c r="B41" s="1">
        <v>0.9935897435897436</v>
      </c>
    </row>
    <row r="42" spans="1:2">
      <c r="A42" t="s">
        <v>964</v>
      </c>
      <c r="B42" s="1">
        <v>0.9956989247311828</v>
      </c>
    </row>
    <row r="43" spans="1:2">
      <c r="A43" t="s">
        <v>965</v>
      </c>
      <c r="B43" s="1">
        <v>0.9978401727861771</v>
      </c>
    </row>
    <row r="44" spans="1:2">
      <c r="A44" t="s">
        <v>966</v>
      </c>
      <c r="B44" s="1">
        <v>0.9935064935064936</v>
      </c>
    </row>
    <row r="45" spans="1:2">
      <c r="A45" t="s">
        <v>967</v>
      </c>
      <c r="B45" s="1">
        <v>1</v>
      </c>
    </row>
    <row r="46" spans="1:2">
      <c r="A46" t="s">
        <v>968</v>
      </c>
      <c r="B46" s="1">
        <v>0.9956427015250545</v>
      </c>
    </row>
    <row r="47" spans="1:2">
      <c r="A47" t="s">
        <v>969</v>
      </c>
      <c r="B47" s="1">
        <v>1</v>
      </c>
    </row>
    <row r="51" spans="1:1">
      <c r="A51" s="3" t="s">
        <v>996</v>
      </c>
    </row>
    <row r="70" spans="1:2">
      <c r="A70" s="3" t="s">
        <v>997</v>
      </c>
      <c r="B70" s="1">
        <v>0.01174642145470194</v>
      </c>
    </row>
  </sheetData>
  <dataValidations count="1">
    <dataValidation type="list" allowBlank="1" showInputMessage="1" showErrorMessage="1" sqref="B3">
      <formula1>MonthList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RawData</vt:lpstr>
      <vt:lpstr>MonthlyMetrics</vt:lpstr>
      <vt:lpstr>ProductMetrics</vt:lpstr>
      <vt:lpstr>SegmentMetrics</vt:lpstr>
      <vt:lpstr>HealthDistribution</vt:lpstr>
      <vt:lpstr>ScatterData</vt:lpstr>
      <vt:lpstr>BoxData</vt:lpstr>
      <vt:lpstr>Lists</vt:lpstr>
      <vt:lpstr>Dashboard</vt:lpstr>
      <vt:lpstr>MonthList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2025-10-27T18:50:55Z</dcterms:created>
  <dcterms:modified xsi:type="dcterms:W3CDTF">2025-10-27T18:50:55Z</dcterms:modified>
</cp:coreProperties>
</file>